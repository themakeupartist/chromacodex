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1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19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33.xml" ContentType="application/vnd.openxmlformats-officedocument.spreadsheetml.worksheet+xml"/>
  <Override PartName="/xl/worksheets/sheet45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uery_Interface" sheetId="1" state="visible" r:id="rId3"/>
    <sheet name="Query_Results" sheetId="2" state="visible" r:id="rId4"/>
    <sheet name="Query_Filter_Lists" sheetId="3" state="visible" r:id="rId5"/>
    <sheet name="Dashboard" sheetId="4" state="visible" r:id="rId6"/>
    <sheet name="Query_Dashboard_v8" sheetId="5" state="visible" r:id="rId7"/>
    <sheet name="Query_Dashboard_v6" sheetId="6" state="visible" r:id="rId8"/>
    <sheet name="Query_Output" sheetId="7" state="visible" r:id="rId9"/>
    <sheet name="Query_Dashboard" sheetId="8" state="visible" r:id="rId10"/>
    <sheet name="Query_Source_View" sheetId="9" state="visible" r:id="rId11"/>
    <sheet name="Query_Filter_Instructions" sheetId="10" state="visible" r:id="rId12"/>
    <sheet name="Version_History" sheetId="11" state="visible" r:id="rId13"/>
    <sheet name="Schema_Overview" sheetId="12" state="visible" r:id="rId14"/>
    <sheet name="Brands" sheetId="13" state="visible" r:id="rId15"/>
    <sheet name="Mediums" sheetId="14" state="visible" r:id="rId16"/>
    <sheet name="Product_Lines_Formulations" sheetId="15" state="visible" r:id="rId17"/>
    <sheet name="Product_Line_Attributes" sheetId="16" state="visible" r:id="rId18"/>
    <sheet name="Brand_Specific_Attributes" sheetId="17" state="visible" r:id="rId19"/>
    <sheet name="Attribute_Definitions" sheetId="18" state="visible" r:id="rId20"/>
    <sheet name="Master_Paint_Records" sheetId="19" state="visible" r:id="rId21"/>
    <sheet name="Source_Audit" sheetId="20" state="visible" r:id="rId22"/>
    <sheet name="Raw_Import_Staging" sheetId="21" state="visible" r:id="rId23"/>
    <sheet name="Normalization_Mapping" sheetId="22" state="visible" r:id="rId24"/>
    <sheet name="Lookup_Brands" sheetId="23" state="visible" r:id="rId25"/>
    <sheet name="Lookup_Paint_Types" sheetId="24" state="visible" r:id="rId26"/>
    <sheet name="Lookup_Verification_Status" sheetId="25" state="visible" r:id="rId27"/>
    <sheet name="Lookup_Mediums" sheetId="26" state="visible" r:id="rId28"/>
    <sheet name="Lookup_Product_Line_Types" sheetId="27" state="visible" r:id="rId29"/>
    <sheet name="Lookup_Viscosity" sheetId="28" state="visible" r:id="rId30"/>
    <sheet name="Lookup_Finish" sheetId="29" state="visible" r:id="rId31"/>
    <sheet name="Lookup_Open_Time_Profile" sheetId="30" state="visible" r:id="rId32"/>
    <sheet name="Sources" sheetId="31" state="visible" r:id="rId33"/>
    <sheet name="Paints" sheetId="32" state="visible" r:id="rId34"/>
    <sheet name="Measurements" sheetId="33" state="visible" r:id="rId35"/>
    <sheet name="Paint_Behavior" sheetId="34" state="visible" r:id="rId36"/>
    <sheet name="Pigments" sheetId="35" state="visible" r:id="rId37"/>
    <sheet name="Paint_Pigments" sheetId="36" state="visible" r:id="rId38"/>
    <sheet name="ID_Crosswalk" sheetId="37" state="visible" r:id="rId39"/>
    <sheet name="Relationship_Map" sheetId="38" state="visible" r:id="rId40"/>
    <sheet name="Relational_Data_Dictionary" sheetId="39" state="visible" r:id="rId41"/>
    <sheet name="Query_Report_Starter" sheetId="40" state="visible" r:id="rId42"/>
    <sheet name="Query_Filter_Values" sheetId="41" state="visible" r:id="rId43"/>
    <sheet name="Query_Dashboard_v7" sheetId="42" state="visible" r:id="rId44"/>
    <sheet name="Architecture_Fix_Log" sheetId="43" state="visible" r:id="rId45"/>
    <sheet name="Relational_Integrity_Checks" sheetId="44" state="visible" r:id="rId46"/>
    <sheet name="Query_System_Status" sheetId="45" state="visible" r:id="rId47"/>
  </sheets>
  <definedNames>
    <definedName function="false" hidden="true" localSheetId="18" name="_xlnm._FilterDatabase" vbProcedure="false">Master_Paint_Records!$A$1:$AR$280</definedName>
    <definedName function="false" hidden="true" localSheetId="35" name="_xlnm._FilterDatabase" vbProcedure="false">Paint_Pigments!$A$1:$H$347</definedName>
    <definedName function="false" hidden="true" localSheetId="34" name="_xlnm._FilterDatabase" vbProcedure="false">Pigments!$A$1:$I$85</definedName>
    <definedName function="false" hidden="true" localSheetId="40" name="_xlnm._FilterDatabase" vbProcedure="false">Query_Filter_Values!$A$1:$B$90</definedName>
    <definedName function="false" hidden="true" localSheetId="6" name="_xlnm._FilterDatabase" vbProcedure="false">Query_Output!$A$1:$O$356</definedName>
    <definedName function="false" hidden="true" localSheetId="8" name="_xlnm._FilterDatabase" vbProcedure="false">Query_Source_View!$A$1:$X$353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<sst xmlns="http://schemas.openxmlformats.org/spreadsheetml/2006/main" count="34779" uniqueCount="3054">
  <si>
    <t xml:space="preserve">ChromaCodex Query Interface</t>
  </si>
  <si>
    <t xml:space="preserve">Choose filter values below. Use All to include every value. Results appear on Query_Results.</t>
  </si>
  <si>
    <t xml:space="preserve">FILTER FIELD</t>
  </si>
  <si>
    <t xml:space="preserve">SELECT VALUE</t>
  </si>
  <si>
    <t xml:space="preserve">Status / Notes</t>
  </si>
  <si>
    <t xml:space="preserve">Brand</t>
  </si>
  <si>
    <t xml:space="preserve">All</t>
  </si>
  <si>
    <t xml:space="preserve">Dropdown is populated from Query_Filter_Lists, which is rebuilt from live database tables.</t>
  </si>
  <si>
    <t xml:space="preserve">Medium</t>
  </si>
  <si>
    <t xml:space="preserve">Product Line</t>
  </si>
  <si>
    <t xml:space="preserve">Pigment Code</t>
  </si>
  <si>
    <t xml:space="preserve">Color Family</t>
  </si>
  <si>
    <t xml:space="preserve">Transparency</t>
  </si>
  <si>
    <t xml:space="preserve">Permanence</t>
  </si>
  <si>
    <t xml:space="preserve">Single Pigment</t>
  </si>
  <si>
    <t xml:space="preserve">REPORT OUTPUT</t>
  </si>
  <si>
    <t xml:space="preserve">Go to Query_Results to view the filtered report. Query_Source_View contains the helper formulas.</t>
  </si>
  <si>
    <t xml:space="preserve">Important</t>
  </si>
  <si>
    <t xml:space="preserve">This version uses the Pigments table to populate the Pigment Code dropdown and uses Paint_Pigments to validate paint-pigment links.</t>
  </si>
  <si>
    <t xml:space="preserve">ChromaCodex Query Results</t>
  </si>
  <si>
    <t xml:space="preserve">Results update from Query_Interface selections. Use All to include every value.</t>
  </si>
  <si>
    <t xml:space="preserve">Matching Record Count</t>
  </si>
  <si>
    <t xml:space="preserve">Paint_ID</t>
  </si>
  <si>
    <t xml:space="preserve">Brand_Name</t>
  </si>
  <si>
    <t xml:space="preserve">Product_Line_Name</t>
  </si>
  <si>
    <t xml:space="preserve">Paint_Name</t>
  </si>
  <si>
    <t xml:space="preserve">Color_Family</t>
  </si>
  <si>
    <t xml:space="preserve">Pigment_Code</t>
  </si>
  <si>
    <t xml:space="preserve">Pigment_Count</t>
  </si>
  <si>
    <t xml:space="preserve">Single_Pigment</t>
  </si>
  <si>
    <t xml:space="preserve">ASTM_Rating</t>
  </si>
  <si>
    <t xml:space="preserve">WN_Series_Number</t>
  </si>
  <si>
    <t xml:space="preserve">Verification_Status</t>
  </si>
  <si>
    <t xml:space="preserve">Source_URL</t>
  </si>
  <si>
    <t xml:space="preserve">Winsor And Newton</t>
  </si>
  <si>
    <t xml:space="preserve">Acrylic</t>
  </si>
  <si>
    <t xml:space="preserve">Artists Oil</t>
  </si>
  <si>
    <t xml:space="preserve">NBr8</t>
  </si>
  <si>
    <t xml:space="preserve">Black Or Gray</t>
  </si>
  <si>
    <t xml:space="preserve">Opaque</t>
  </si>
  <si>
    <t xml:space="preserve">A</t>
  </si>
  <si>
    <t xml:space="preserve">No</t>
  </si>
  <si>
    <t xml:space="preserve">Gouache</t>
  </si>
  <si>
    <t xml:space="preserve">Designers Gouache</t>
  </si>
  <si>
    <t xml:space="preserve">NR9</t>
  </si>
  <si>
    <t xml:space="preserve">Blue</t>
  </si>
  <si>
    <t xml:space="preserve">Semi Opaque</t>
  </si>
  <si>
    <t xml:space="preserve">AA</t>
  </si>
  <si>
    <t xml:space="preserve">Not Applicable</t>
  </si>
  <si>
    <t xml:space="preserve">Oil</t>
  </si>
  <si>
    <t xml:space="preserve">Galeria Acrylic</t>
  </si>
  <si>
    <t xml:space="preserve">PB15</t>
  </si>
  <si>
    <t xml:space="preserve">Earth</t>
  </si>
  <si>
    <t xml:space="preserve">Semi Transparent</t>
  </si>
  <si>
    <t xml:space="preserve">B</t>
  </si>
  <si>
    <t xml:space="preserve">Unknown</t>
  </si>
  <si>
    <t xml:space="preserve">Professional Acrylic</t>
  </si>
  <si>
    <t xml:space="preserve">PB15:1</t>
  </si>
  <si>
    <t xml:space="preserve">Green</t>
  </si>
  <si>
    <t xml:space="preserve">Transparent</t>
  </si>
  <si>
    <t xml:space="preserve">C</t>
  </si>
  <si>
    <t xml:space="preserve">Yes</t>
  </si>
  <si>
    <t xml:space="preserve">PB15:3</t>
  </si>
  <si>
    <t xml:space="preserve">Metallic</t>
  </si>
  <si>
    <t xml:space="preserve">Extremely Permanent</t>
  </si>
  <si>
    <t xml:space="preserve">PB16</t>
  </si>
  <si>
    <t xml:space="preserve">Orange</t>
  </si>
  <si>
    <t xml:space="preserve">Permanent</t>
  </si>
  <si>
    <t xml:space="preserve">PB27</t>
  </si>
  <si>
    <t xml:space="preserve">Red</t>
  </si>
  <si>
    <t xml:space="preserve">PB28</t>
  </si>
  <si>
    <t xml:space="preserve">Violet</t>
  </si>
  <si>
    <t xml:space="preserve">PB29</t>
  </si>
  <si>
    <t xml:space="preserve">White</t>
  </si>
  <si>
    <t xml:space="preserve">PB35</t>
  </si>
  <si>
    <t xml:space="preserve">Yellow</t>
  </si>
  <si>
    <t xml:space="preserve">PB36</t>
  </si>
  <si>
    <t xml:space="preserve">PB60</t>
  </si>
  <si>
    <t xml:space="preserve">PB73</t>
  </si>
  <si>
    <t xml:space="preserve">PB74</t>
  </si>
  <si>
    <t xml:space="preserve">PBk1</t>
  </si>
  <si>
    <t xml:space="preserve">PBk10</t>
  </si>
  <si>
    <t xml:space="preserve">PBk11</t>
  </si>
  <si>
    <t xml:space="preserve">PBk19</t>
  </si>
  <si>
    <t xml:space="preserve">PBk31</t>
  </si>
  <si>
    <t xml:space="preserve">PBk6</t>
  </si>
  <si>
    <t xml:space="preserve">PBk7</t>
  </si>
  <si>
    <t xml:space="preserve">PBk9</t>
  </si>
  <si>
    <t xml:space="preserve">PBr24</t>
  </si>
  <si>
    <t xml:space="preserve">PBr25</t>
  </si>
  <si>
    <t xml:space="preserve">PBr7</t>
  </si>
  <si>
    <t xml:space="preserve">PG17</t>
  </si>
  <si>
    <t xml:space="preserve">PG18</t>
  </si>
  <si>
    <t xml:space="preserve">PG23</t>
  </si>
  <si>
    <t xml:space="preserve">PG26</t>
  </si>
  <si>
    <t xml:space="preserve">PG36</t>
  </si>
  <si>
    <t xml:space="preserve">PG50</t>
  </si>
  <si>
    <t xml:space="preserve">PG7</t>
  </si>
  <si>
    <t xml:space="preserve">PO20</t>
  </si>
  <si>
    <t xml:space="preserve">PO48</t>
  </si>
  <si>
    <t xml:space="preserve">PO62</t>
  </si>
  <si>
    <t xml:space="preserve">PO72</t>
  </si>
  <si>
    <t xml:space="preserve">PO73</t>
  </si>
  <si>
    <t xml:space="preserve">PR</t>
  </si>
  <si>
    <t xml:space="preserve">PR101</t>
  </si>
  <si>
    <t xml:space="preserve">PR102</t>
  </si>
  <si>
    <t xml:space="preserve">PR108</t>
  </si>
  <si>
    <t xml:space="preserve">PR112</t>
  </si>
  <si>
    <t xml:space="preserve">PR122</t>
  </si>
  <si>
    <t xml:space="preserve">PR149</t>
  </si>
  <si>
    <t xml:space="preserve">PR170</t>
  </si>
  <si>
    <t xml:space="preserve">PR173</t>
  </si>
  <si>
    <t xml:space="preserve">PR176</t>
  </si>
  <si>
    <t xml:space="preserve">PR177</t>
  </si>
  <si>
    <t xml:space="preserve">PR179</t>
  </si>
  <si>
    <t xml:space="preserve">PR209</t>
  </si>
  <si>
    <t xml:space="preserve">PR233</t>
  </si>
  <si>
    <t xml:space="preserve">PR254</t>
  </si>
  <si>
    <t xml:space="preserve">PR255</t>
  </si>
  <si>
    <t xml:space="preserve">PR83</t>
  </si>
  <si>
    <t xml:space="preserve">PR9</t>
  </si>
  <si>
    <t xml:space="preserve">PV14</t>
  </si>
  <si>
    <t xml:space="preserve">PV15</t>
  </si>
  <si>
    <t xml:space="preserve">PV16</t>
  </si>
  <si>
    <t xml:space="preserve">PV19</t>
  </si>
  <si>
    <t xml:space="preserve">PV2</t>
  </si>
  <si>
    <t xml:space="preserve">PV23</t>
  </si>
  <si>
    <t xml:space="preserve">PV29</t>
  </si>
  <si>
    <t xml:space="preserve">PV3</t>
  </si>
  <si>
    <t xml:space="preserve">PW4</t>
  </si>
  <si>
    <t xml:space="preserve">PW5</t>
  </si>
  <si>
    <t xml:space="preserve">PW6</t>
  </si>
  <si>
    <t xml:space="preserve">PY110</t>
  </si>
  <si>
    <t xml:space="preserve">PY128</t>
  </si>
  <si>
    <t xml:space="preserve">PY129</t>
  </si>
  <si>
    <t xml:space="preserve">PY138</t>
  </si>
  <si>
    <t xml:space="preserve">PY139</t>
  </si>
  <si>
    <t xml:space="preserve">PY14</t>
  </si>
  <si>
    <t xml:space="preserve">PY150</t>
  </si>
  <si>
    <t xml:space="preserve">PY184</t>
  </si>
  <si>
    <t xml:space="preserve">PY3</t>
  </si>
  <si>
    <t xml:space="preserve">PY35</t>
  </si>
  <si>
    <t xml:space="preserve">PY42</t>
  </si>
  <si>
    <t xml:space="preserve">PY43</t>
  </si>
  <si>
    <t xml:space="preserve">PY53</t>
  </si>
  <si>
    <t xml:space="preserve">PY65</t>
  </si>
  <si>
    <t xml:space="preserve">PY73</t>
  </si>
  <si>
    <t xml:space="preserve">PY74</t>
  </si>
  <si>
    <t xml:space="preserve">PY83</t>
  </si>
  <si>
    <t xml:space="preserve">Not Provided By Source</t>
  </si>
  <si>
    <t xml:space="preserve">ChromaCodex Database v2</t>
  </si>
  <si>
    <t xml:space="preserve">Current Version Purpose</t>
  </si>
  <si>
    <t xml:space="preserve">Adds relational IDs and linked entity tables so future query/report logic can be built properly.</t>
  </si>
  <si>
    <t xml:space="preserve">New in v2</t>
  </si>
  <si>
    <t xml:space="preserve">Paint_ID, Pigment_ID structure, Measurement_ID, Source_ID, Paint_Pigments join table, Paint_Behavior table, ID crosswalk, relationship map.</t>
  </si>
  <si>
    <t xml:space="preserve">Query Readiness</t>
  </si>
  <si>
    <t xml:space="preserve">Relational structure is ready. Full interactive reports/dashboards still need to be built in a later version.</t>
  </si>
  <si>
    <t xml:space="preserve">Current Imported Dataset</t>
  </si>
  <si>
    <t xml:space="preserve">Winsor And Newton Professional Acrylic rows from Sensual Logic Artist Color Data. Source did not provide pigment code, opacity, or permanence in the imported table rows.</t>
  </si>
  <si>
    <t xml:space="preserve">File Naming Convention</t>
  </si>
  <si>
    <t xml:space="preserve">Use ChromaCodex-Database-v1, ChromaCodex-Database-v2, etc. for future database versions.</t>
  </si>
  <si>
    <t xml:space="preserve">Key Sheets</t>
  </si>
  <si>
    <t xml:space="preserve">Master_Paint_Records</t>
  </si>
  <si>
    <t xml:space="preserve">Actual paint product records with corrected relational fields.</t>
  </si>
  <si>
    <t xml:space="preserve">Brands</t>
  </si>
  <si>
    <t xml:space="preserve">Brand-level entities.</t>
  </si>
  <si>
    <t xml:space="preserve">Mediums</t>
  </si>
  <si>
    <t xml:space="preserve">Medium-level entities such as Acrylic, Watercolor, Oil.</t>
  </si>
  <si>
    <t xml:space="preserve">Product_Lines_Formulations</t>
  </si>
  <si>
    <t xml:space="preserve">Brand + medium + product line/formulation records.</t>
  </si>
  <si>
    <t xml:space="preserve">Product_Line_Attributes</t>
  </si>
  <si>
    <t xml:space="preserve">Attributes that belong to a formulation/product line.</t>
  </si>
  <si>
    <t xml:space="preserve">Brand_Specific_Attributes</t>
  </si>
  <si>
    <t xml:space="preserve">Flexible brand-unique attributes.</t>
  </si>
  <si>
    <t xml:space="preserve">Schema_Overview</t>
  </si>
  <si>
    <t xml:space="preserve">Plain-English explanation of the corrected relational structure.</t>
  </si>
  <si>
    <t xml:space="preserve">Raw_Import_Staging</t>
  </si>
  <si>
    <t xml:space="preserve">Raw source data preserved before normalization.</t>
  </si>
  <si>
    <t xml:space="preserve">Current query interface: Query_Interface</t>
  </si>
  <si>
    <t xml:space="preserve">Current query output: Query_Results</t>
  </si>
  <si>
    <t xml:space="preserve">Use Query_Source_View or Query_Output filters to query by Pigment_Code, Product_Line, Medium, Transparency, Permanence, ASTM, and Single_Pigment.</t>
  </si>
  <si>
    <t xml:space="preserve">ChromaCodex Database v8 - Query Dashboard</t>
  </si>
  <si>
    <t xml:space="preserve">Select filters below. Leave any field as All. Results appear on Query_Output.</t>
  </si>
  <si>
    <t xml:space="preserve">Matching records</t>
  </si>
  <si>
    <t xml:space="preserve">Source note</t>
  </si>
  <si>
    <t xml:space="preserve">Winsor And Newton official chart rows have WN colour codes but no Color Index pigment codes in the PDF.</t>
  </si>
  <si>
    <t xml:space="preserve">Product Line Type</t>
  </si>
  <si>
    <t xml:space="preserve">Opacity Code</t>
  </si>
  <si>
    <t xml:space="preserve">Verification Status</t>
  </si>
  <si>
    <t xml:space="preserve">ChromaCodex Database v6 - Working Query Dashboard</t>
  </si>
  <si>
    <t xml:space="preserve">Field: Brand_Name</t>
  </si>
  <si>
    <t xml:space="preserve">Matching Records</t>
  </si>
  <si>
    <t xml:space="preserve">Field: Medium</t>
  </si>
  <si>
    <t xml:space="preserve">Field: Product_Line_Name</t>
  </si>
  <si>
    <t xml:space="preserve">Open Query_Output to view results.</t>
  </si>
  <si>
    <t xml:space="preserve">Field: Product_Line_Type</t>
  </si>
  <si>
    <t xml:space="preserve">All original v3 repaired sheets are preserved.</t>
  </si>
  <si>
    <t xml:space="preserve">Field: Pigment_Code</t>
  </si>
  <si>
    <t xml:space="preserve">This uses standard INDEX/MATCH helper formulas, not FILTER().</t>
  </si>
  <si>
    <t xml:space="preserve">Field: Color_Family</t>
  </si>
  <si>
    <t xml:space="preserve">Field: Transparency</t>
  </si>
  <si>
    <t xml:space="preserve">Granulation</t>
  </si>
  <si>
    <t xml:space="preserve">Field: Granulation</t>
  </si>
  <si>
    <t xml:space="preserve">Staining</t>
  </si>
  <si>
    <t xml:space="preserve">Field: Staining</t>
  </si>
  <si>
    <t xml:space="preserve">Field: Verification_Status</t>
  </si>
  <si>
    <t xml:space="preserve">Query Output / Report View</t>
  </si>
  <si>
    <t xml:space="preserve">This workbook avoids formulas that can trigger Excel repair errors. Use filter arrows on Query_Source_View or Query_Filterable_View. Pigment Code filters now come from the real Pigments table and Paint_Pigments relationships.</t>
  </si>
  <si>
    <t xml:space="preserve">Opacity_Code</t>
  </si>
  <si>
    <t xml:space="preserve">PNT000001</t>
  </si>
  <si>
    <t xml:space="preserve">Alizarin Crimson</t>
  </si>
  <si>
    <t xml:space="preserve">T</t>
  </si>
  <si>
    <t xml:space="preserve">Needs Review</t>
  </si>
  <si>
    <t xml:space="preserve">PNT000002</t>
  </si>
  <si>
    <t xml:space="preserve">Bismuth Yellow</t>
  </si>
  <si>
    <t xml:space="preserve">O</t>
  </si>
  <si>
    <t xml:space="preserve">PNT000003</t>
  </si>
  <si>
    <t xml:space="preserve">Bright Red</t>
  </si>
  <si>
    <t xml:space="preserve">PNT000004</t>
  </si>
  <si>
    <t xml:space="preserve">Burnt Sienna</t>
  </si>
  <si>
    <t xml:space="preserve">PNT000005</t>
  </si>
  <si>
    <t xml:space="preserve">Cadmium Lemon</t>
  </si>
  <si>
    <t xml:space="preserve">PNT000006</t>
  </si>
  <si>
    <t xml:space="preserve">Cadmium Red</t>
  </si>
  <si>
    <t xml:space="preserve">PNT000007</t>
  </si>
  <si>
    <t xml:space="preserve">Cadmium Yellow</t>
  </si>
  <si>
    <t xml:space="preserve">PNT000008</t>
  </si>
  <si>
    <t xml:space="preserve">Cadmium Yellow Deep</t>
  </si>
  <si>
    <t xml:space="preserve">PNT000009</t>
  </si>
  <si>
    <t xml:space="preserve">Cerulean Blue</t>
  </si>
  <si>
    <t xml:space="preserve">SO</t>
  </si>
  <si>
    <t xml:space="preserve">PNT000010</t>
  </si>
  <si>
    <t xml:space="preserve">Cobalt Blue</t>
  </si>
  <si>
    <t xml:space="preserve">ST</t>
  </si>
  <si>
    <t xml:space="preserve">PNT000011</t>
  </si>
  <si>
    <t xml:space="preserve">Cobalt Blue Deep</t>
  </si>
  <si>
    <t xml:space="preserve">PNT000012</t>
  </si>
  <si>
    <t xml:space="preserve">Cobalt Chromite Green</t>
  </si>
  <si>
    <t xml:space="preserve">PNT000013</t>
  </si>
  <si>
    <t xml:space="preserve">Cobalt Green</t>
  </si>
  <si>
    <t xml:space="preserve">PNT000014</t>
  </si>
  <si>
    <t xml:space="preserve">Cobalt Turquoise</t>
  </si>
  <si>
    <t xml:space="preserve">PNT000015</t>
  </si>
  <si>
    <t xml:space="preserve">Cobalt Turquoise Light</t>
  </si>
  <si>
    <t xml:space="preserve">PNT000016</t>
  </si>
  <si>
    <t xml:space="preserve">Cobalt Violet</t>
  </si>
  <si>
    <t xml:space="preserve">PNT000017</t>
  </si>
  <si>
    <t xml:space="preserve">French Ultramarine</t>
  </si>
  <si>
    <t xml:space="preserve">PNT000018</t>
  </si>
  <si>
    <t xml:space="preserve">Gold Ochre</t>
  </si>
  <si>
    <t xml:space="preserve">PNT000019</t>
  </si>
  <si>
    <t xml:space="preserve">Green Gold</t>
  </si>
  <si>
    <t xml:space="preserve">PNT000020</t>
  </si>
  <si>
    <t xml:space="preserve">Indian Yellow</t>
  </si>
  <si>
    <t xml:space="preserve">PNT000021</t>
  </si>
  <si>
    <t xml:space="preserve">Indian Yellow Deep</t>
  </si>
  <si>
    <t xml:space="preserve">PNT000022</t>
  </si>
  <si>
    <t xml:space="preserve">Indanthrene Blue</t>
  </si>
  <si>
    <t xml:space="preserve">PNT000023</t>
  </si>
  <si>
    <t xml:space="preserve">Ivory Black</t>
  </si>
  <si>
    <t xml:space="preserve">PNT000024</t>
  </si>
  <si>
    <t xml:space="preserve">Lamp Black</t>
  </si>
  <si>
    <t xml:space="preserve">PNT000025</t>
  </si>
  <si>
    <t xml:space="preserve">Lemon Yellow Hue</t>
  </si>
  <si>
    <t xml:space="preserve">PNT000026</t>
  </si>
  <si>
    <t xml:space="preserve">Mars Black</t>
  </si>
  <si>
    <t xml:space="preserve">PNT000027</t>
  </si>
  <si>
    <t xml:space="preserve">Naples Yellow Deep</t>
  </si>
  <si>
    <t xml:space="preserve">PNT000028</t>
  </si>
  <si>
    <t xml:space="preserve">Naples Yellow Light</t>
  </si>
  <si>
    <t xml:space="preserve">PNT000029</t>
  </si>
  <si>
    <t xml:space="preserve">Olive Green</t>
  </si>
  <si>
    <t xml:space="preserve">PNT000030</t>
  </si>
  <si>
    <t xml:space="preserve">Oxide of Chromium</t>
  </si>
  <si>
    <t xml:space="preserve">PNT000031</t>
  </si>
  <si>
    <t xml:space="preserve">Permanent Alizarin Crimson</t>
  </si>
  <si>
    <t xml:space="preserve">PNT000032</t>
  </si>
  <si>
    <t xml:space="preserve">Permanent Magenta</t>
  </si>
  <si>
    <t xml:space="preserve">PNT000033</t>
  </si>
  <si>
    <t xml:space="preserve">Permanent Mauve</t>
  </si>
  <si>
    <t xml:space="preserve">PNT000034</t>
  </si>
  <si>
    <t xml:space="preserve">Perylene Black</t>
  </si>
  <si>
    <t xml:space="preserve">PNT000035</t>
  </si>
  <si>
    <t xml:space="preserve">Prussian Blue</t>
  </si>
  <si>
    <t xml:space="preserve">PNT000036</t>
  </si>
  <si>
    <t xml:space="preserve">Quinacridone Magenta</t>
  </si>
  <si>
    <t xml:space="preserve">PNT000037</t>
  </si>
  <si>
    <t xml:space="preserve">Quinacridone Red</t>
  </si>
  <si>
    <t xml:space="preserve">PNT000038</t>
  </si>
  <si>
    <t xml:space="preserve">Raw Sienna</t>
  </si>
  <si>
    <t xml:space="preserve">PNT000039</t>
  </si>
  <si>
    <t xml:space="preserve">Raw Umber</t>
  </si>
  <si>
    <t xml:space="preserve">PNT000040</t>
  </si>
  <si>
    <t xml:space="preserve">Rose Madder Genuine</t>
  </si>
  <si>
    <t xml:space="preserve">PNT000041</t>
  </si>
  <si>
    <t xml:space="preserve">Scarlet Lake</t>
  </si>
  <si>
    <t xml:space="preserve">PNT000042</t>
  </si>
  <si>
    <t xml:space="preserve">Terra Rosa</t>
  </si>
  <si>
    <t xml:space="preserve">PNT000043</t>
  </si>
  <si>
    <t xml:space="preserve">Terre Verte</t>
  </si>
  <si>
    <t xml:space="preserve">PNT000044</t>
  </si>
  <si>
    <t xml:space="preserve">Titanium White</t>
  </si>
  <si>
    <t xml:space="preserve">PNT000045</t>
  </si>
  <si>
    <t xml:space="preserve">Transparent Red Ochre</t>
  </si>
  <si>
    <t xml:space="preserve">PNT000046</t>
  </si>
  <si>
    <t xml:space="preserve">Transparent Yellow</t>
  </si>
  <si>
    <t xml:space="preserve">PNT000047</t>
  </si>
  <si>
    <t xml:space="preserve">Transparent Maroon</t>
  </si>
  <si>
    <t xml:space="preserve">PNT000048</t>
  </si>
  <si>
    <t xml:space="preserve">Ultramarine Violet</t>
  </si>
  <si>
    <t xml:space="preserve">PNT000049</t>
  </si>
  <si>
    <t xml:space="preserve">Vandyke Brown</t>
  </si>
  <si>
    <t xml:space="preserve">PNT000050</t>
  </si>
  <si>
    <t xml:space="preserve">Venetian Red</t>
  </si>
  <si>
    <t xml:space="preserve">PNT000051</t>
  </si>
  <si>
    <t xml:space="preserve">Viridian</t>
  </si>
  <si>
    <t xml:space="preserve">PNT000052</t>
  </si>
  <si>
    <t xml:space="preserve">Winsor Emerald</t>
  </si>
  <si>
    <t xml:space="preserve">PNT000053</t>
  </si>
  <si>
    <t xml:space="preserve">Winsor Green (Phthalo)</t>
  </si>
  <si>
    <t xml:space="preserve">PNT000054</t>
  </si>
  <si>
    <t xml:space="preserve">Winsor Green (Yellow shade)</t>
  </si>
  <si>
    <t xml:space="preserve">PNT000055</t>
  </si>
  <si>
    <t xml:space="preserve">Winsor Lemon</t>
  </si>
  <si>
    <t xml:space="preserve">PNT000056</t>
  </si>
  <si>
    <t xml:space="preserve">Winsor Orange</t>
  </si>
  <si>
    <t xml:space="preserve">PNT000057</t>
  </si>
  <si>
    <t xml:space="preserve">Winsor Red Deep</t>
  </si>
  <si>
    <t xml:space="preserve">PNT000058</t>
  </si>
  <si>
    <t xml:space="preserve">Winsor Yellow</t>
  </si>
  <si>
    <t xml:space="preserve">PNT000059</t>
  </si>
  <si>
    <t xml:space="preserve">Winsor Yellow Deep</t>
  </si>
  <si>
    <t xml:space="preserve">PNT000060</t>
  </si>
  <si>
    <t xml:space="preserve">Winsor Violet (Dioxazine)</t>
  </si>
  <si>
    <t xml:space="preserve">PNT000061</t>
  </si>
  <si>
    <t xml:space="preserve">Zinc White</t>
  </si>
  <si>
    <t xml:space="preserve">PNT000062</t>
  </si>
  <si>
    <t xml:space="preserve">PNT000063</t>
  </si>
  <si>
    <t xml:space="preserve">PNT000064</t>
  </si>
  <si>
    <t xml:space="preserve">Burnt Umber</t>
  </si>
  <si>
    <t xml:space="preserve">PNT000065</t>
  </si>
  <si>
    <t xml:space="preserve">PNT000066</t>
  </si>
  <si>
    <t xml:space="preserve">Cadmium Orange</t>
  </si>
  <si>
    <t xml:space="preserve">PNT000067</t>
  </si>
  <si>
    <t xml:space="preserve">PNT000068</t>
  </si>
  <si>
    <t xml:space="preserve">Cadmium Scarlet</t>
  </si>
  <si>
    <t xml:space="preserve">PNT000069</t>
  </si>
  <si>
    <t xml:space="preserve">PNT000070</t>
  </si>
  <si>
    <t xml:space="preserve">PNT000071</t>
  </si>
  <si>
    <t xml:space="preserve">PNT000072</t>
  </si>
  <si>
    <t xml:space="preserve">PNT000073</t>
  </si>
  <si>
    <t xml:space="preserve">Flame Red</t>
  </si>
  <si>
    <t xml:space="preserve">PNT000074</t>
  </si>
  <si>
    <t xml:space="preserve">Indigo</t>
  </si>
  <si>
    <t xml:space="preserve">PNT000075</t>
  </si>
  <si>
    <t xml:space="preserve">PNT000076</t>
  </si>
  <si>
    <t xml:space="preserve">Jet Black</t>
  </si>
  <si>
    <t xml:space="preserve">PNT000077</t>
  </si>
  <si>
    <t xml:space="preserve">PNT000078</t>
  </si>
  <si>
    <t xml:space="preserve">Lemon Yellow</t>
  </si>
  <si>
    <t xml:space="preserve">PNT000079</t>
  </si>
  <si>
    <t xml:space="preserve">Light Purple</t>
  </si>
  <si>
    <t xml:space="preserve">PNT000080</t>
  </si>
  <si>
    <t xml:space="preserve">Magenta</t>
  </si>
  <si>
    <t xml:space="preserve">PNT000081</t>
  </si>
  <si>
    <t xml:space="preserve">Marigold Yellow</t>
  </si>
  <si>
    <t xml:space="preserve">PNT000082</t>
  </si>
  <si>
    <t xml:space="preserve">PNT000083</t>
  </si>
  <si>
    <t xml:space="preserve">Orange Lake Light</t>
  </si>
  <si>
    <t xml:space="preserve">PNT000084</t>
  </si>
  <si>
    <t xml:space="preserve">PNT000085</t>
  </si>
  <si>
    <t xml:space="preserve">PNT000086</t>
  </si>
  <si>
    <t xml:space="preserve">Perylene Violet</t>
  </si>
  <si>
    <t xml:space="preserve">PNT000087</t>
  </si>
  <si>
    <t xml:space="preserve">Permanent Rose</t>
  </si>
  <si>
    <t xml:space="preserve">PNT000088</t>
  </si>
  <si>
    <t xml:space="preserve">PNT000089</t>
  </si>
  <si>
    <t xml:space="preserve">Perylene Maroon</t>
  </si>
  <si>
    <t xml:space="preserve">PNT000090</t>
  </si>
  <si>
    <t xml:space="preserve">Permanent Yellow Deep</t>
  </si>
  <si>
    <t xml:space="preserve">PNT000091</t>
  </si>
  <si>
    <t xml:space="preserve">Permanent White</t>
  </si>
  <si>
    <t xml:space="preserve">PNT000092</t>
  </si>
  <si>
    <t xml:space="preserve">Primary Blue</t>
  </si>
  <si>
    <t xml:space="preserve">PNT000093</t>
  </si>
  <si>
    <t xml:space="preserve">Primary Red</t>
  </si>
  <si>
    <t xml:space="preserve">PNT000094</t>
  </si>
  <si>
    <t xml:space="preserve">Primary Yellow</t>
  </si>
  <si>
    <t xml:space="preserve">PNT000095</t>
  </si>
  <si>
    <t xml:space="preserve">PNT000096</t>
  </si>
  <si>
    <t xml:space="preserve">PNT000097</t>
  </si>
  <si>
    <t xml:space="preserve">PNT000098</t>
  </si>
  <si>
    <t xml:space="preserve">Red Ochre</t>
  </si>
  <si>
    <t xml:space="preserve">PNT000099</t>
  </si>
  <si>
    <t xml:space="preserve">Rose Tyrien</t>
  </si>
  <si>
    <t xml:space="preserve">PNT000100</t>
  </si>
  <si>
    <t xml:space="preserve">Spectrum Red</t>
  </si>
  <si>
    <t xml:space="preserve">PNT000101</t>
  </si>
  <si>
    <t xml:space="preserve">Spectrum Violet</t>
  </si>
  <si>
    <t xml:space="preserve">PNT000102</t>
  </si>
  <si>
    <t xml:space="preserve">Ultramarine</t>
  </si>
  <si>
    <t xml:space="preserve">PNT000103</t>
  </si>
  <si>
    <t xml:space="preserve">Ultramarine Green Shade</t>
  </si>
  <si>
    <t xml:space="preserve">PNT000104</t>
  </si>
  <si>
    <t xml:space="preserve">PNT000105</t>
  </si>
  <si>
    <t xml:space="preserve">Winsor Blue</t>
  </si>
  <si>
    <t xml:space="preserve">PNT000106</t>
  </si>
  <si>
    <t xml:space="preserve">Winsor Green</t>
  </si>
  <si>
    <t xml:space="preserve">PNT000107</t>
  </si>
  <si>
    <t xml:space="preserve">PNT000108</t>
  </si>
  <si>
    <t xml:space="preserve">Yellow Ochre</t>
  </si>
  <si>
    <t xml:space="preserve">PNT000109</t>
  </si>
  <si>
    <t xml:space="preserve">PNT000110</t>
  </si>
  <si>
    <t xml:space="preserve">Buff Titanium</t>
  </si>
  <si>
    <t xml:space="preserve">PNT000111</t>
  </si>
  <si>
    <t xml:space="preserve">PNT000112</t>
  </si>
  <si>
    <t xml:space="preserve">PNT000113</t>
  </si>
  <si>
    <t xml:space="preserve">Cadmium Red Hue</t>
  </si>
  <si>
    <t xml:space="preserve">PNT000114</t>
  </si>
  <si>
    <t xml:space="preserve">Cadmium Yellow Deep Hue</t>
  </si>
  <si>
    <t xml:space="preserve">PNT000115</t>
  </si>
  <si>
    <t xml:space="preserve">Cadmium Yellow Medium Hue</t>
  </si>
  <si>
    <t xml:space="preserve">PNT000116</t>
  </si>
  <si>
    <t xml:space="preserve">Not Provided</t>
  </si>
  <si>
    <t xml:space="preserve">PNT000117</t>
  </si>
  <si>
    <t xml:space="preserve">Crimson</t>
  </si>
  <si>
    <t xml:space="preserve">PNT000118</t>
  </si>
  <si>
    <t xml:space="preserve">PNT000119</t>
  </si>
  <si>
    <t xml:space="preserve">Hooker's Green</t>
  </si>
  <si>
    <t xml:space="preserve">PNT000120</t>
  </si>
  <si>
    <t xml:space="preserve">PNT000121</t>
  </si>
  <si>
    <t xml:space="preserve">PNT000122</t>
  </si>
  <si>
    <t xml:space="preserve">PNT000123</t>
  </si>
  <si>
    <t xml:space="preserve">Mixing White</t>
  </si>
  <si>
    <t xml:space="preserve">PNT000124</t>
  </si>
  <si>
    <t xml:space="preserve">PNT000125</t>
  </si>
  <si>
    <t xml:space="preserve">Phthalo Green</t>
  </si>
  <si>
    <t xml:space="preserve">PNT000126</t>
  </si>
  <si>
    <t xml:space="preserve">Process Magenta</t>
  </si>
  <si>
    <t xml:space="preserve">PNT000127</t>
  </si>
  <si>
    <t xml:space="preserve">Process Cyan</t>
  </si>
  <si>
    <t xml:space="preserve">PNT000128</t>
  </si>
  <si>
    <t xml:space="preserve">Process Yellow</t>
  </si>
  <si>
    <t xml:space="preserve">PNT000129</t>
  </si>
  <si>
    <t xml:space="preserve">Prussian Blue Hue</t>
  </si>
  <si>
    <t xml:space="preserve">PNT000130</t>
  </si>
  <si>
    <t xml:space="preserve">PNT000131</t>
  </si>
  <si>
    <t xml:space="preserve">PNT000132</t>
  </si>
  <si>
    <t xml:space="preserve">N/A</t>
  </si>
  <si>
    <t xml:space="preserve">PNT000133</t>
  </si>
  <si>
    <t xml:space="preserve">Sap Green</t>
  </si>
  <si>
    <t xml:space="preserve">PNT000134</t>
  </si>
  <si>
    <t xml:space="preserve">PNT000135</t>
  </si>
  <si>
    <t xml:space="preserve">PNT000136</t>
  </si>
  <si>
    <t xml:space="preserve">PNT000137</t>
  </si>
  <si>
    <t xml:space="preserve">Vermilion Hue</t>
  </si>
  <si>
    <t xml:space="preserve">PNT000138</t>
  </si>
  <si>
    <t xml:space="preserve">Winsor Violet</t>
  </si>
  <si>
    <t xml:space="preserve">PNT000139</t>
  </si>
  <si>
    <t xml:space="preserve">PNT000140</t>
  </si>
  <si>
    <t xml:space="preserve">Azo Yellow Medium</t>
  </si>
  <si>
    <t xml:space="preserve">I</t>
  </si>
  <si>
    <t xml:space="preserve">Verified From Official Source</t>
  </si>
  <si>
    <t xml:space="preserve">PNT000141</t>
  </si>
  <si>
    <t xml:space="preserve">PNT000142</t>
  </si>
  <si>
    <t xml:space="preserve">Azo Yellow Deep</t>
  </si>
  <si>
    <t xml:space="preserve">PNT000143</t>
  </si>
  <si>
    <t xml:space="preserve">PNT000144</t>
  </si>
  <si>
    <t xml:space="preserve">PNT000145</t>
  </si>
  <si>
    <t xml:space="preserve">PNT000146</t>
  </si>
  <si>
    <t xml:space="preserve">PNT000147</t>
  </si>
  <si>
    <t xml:space="preserve">PNT000148</t>
  </si>
  <si>
    <t xml:space="preserve">Cadmium Red Deep</t>
  </si>
  <si>
    <t xml:space="preserve">PNT000149</t>
  </si>
  <si>
    <t xml:space="preserve">CadRedMed</t>
  </si>
  <si>
    <t xml:space="preserve">PNT000150</t>
  </si>
  <si>
    <t xml:space="preserve">Cadmium Red Light</t>
  </si>
  <si>
    <t xml:space="preserve">PNT000151</t>
  </si>
  <si>
    <t xml:space="preserve">PNT000152</t>
  </si>
  <si>
    <t xml:space="preserve">Cadmium Yellow Medium</t>
  </si>
  <si>
    <t xml:space="preserve">PNT000153</t>
  </si>
  <si>
    <t xml:space="preserve">Cerulean Blue Chromium</t>
  </si>
  <si>
    <t xml:space="preserve">PNT000154</t>
  </si>
  <si>
    <t xml:space="preserve">PNT000155</t>
  </si>
  <si>
    <t xml:space="preserve">Chromium Oxide Green</t>
  </si>
  <si>
    <t xml:space="preserve">PNT000156</t>
  </si>
  <si>
    <t xml:space="preserve">PNT000157</t>
  </si>
  <si>
    <t xml:space="preserve">PNT000158</t>
  </si>
  <si>
    <t xml:space="preserve">PNT000159</t>
  </si>
  <si>
    <t xml:space="preserve">Cobalt Green Deep</t>
  </si>
  <si>
    <t xml:space="preserve">PNT000160</t>
  </si>
  <si>
    <t xml:space="preserve">PNT000161</t>
  </si>
  <si>
    <t xml:space="preserve">Davy's Gray</t>
  </si>
  <si>
    <t xml:space="preserve">PNT000162</t>
  </si>
  <si>
    <t xml:space="preserve">Dioxazine Purple</t>
  </si>
  <si>
    <t xml:space="preserve">II</t>
  </si>
  <si>
    <t xml:space="preserve">PNT000163</t>
  </si>
  <si>
    <t xml:space="preserve">PNT000164</t>
  </si>
  <si>
    <t xml:space="preserve">PNT000165</t>
  </si>
  <si>
    <t xml:space="preserve">PNT000166</t>
  </si>
  <si>
    <t xml:space="preserve">PNT000167</t>
  </si>
  <si>
    <t xml:space="preserve">PNT000168</t>
  </si>
  <si>
    <t xml:space="preserve">Light Red</t>
  </si>
  <si>
    <t xml:space="preserve">PNT000169</t>
  </si>
  <si>
    <t xml:space="preserve">PNT000170</t>
  </si>
  <si>
    <t xml:space="preserve">Naphthol Red Light</t>
  </si>
  <si>
    <t xml:space="preserve">PNT000171</t>
  </si>
  <si>
    <t xml:space="preserve">Naphthol Red Medium</t>
  </si>
  <si>
    <t xml:space="preserve">PNT000172</t>
  </si>
  <si>
    <t xml:space="preserve">PNT000173</t>
  </si>
  <si>
    <t xml:space="preserve">Nickel Azo Yellow</t>
  </si>
  <si>
    <t xml:space="preserve">PNT000174</t>
  </si>
  <si>
    <t xml:space="preserve">PNT000175</t>
  </si>
  <si>
    <t xml:space="preserve">Perylene Green</t>
  </si>
  <si>
    <t xml:space="preserve">PNT000176</t>
  </si>
  <si>
    <t xml:space="preserve">Perylene Red</t>
  </si>
  <si>
    <t xml:space="preserve">PNT000177</t>
  </si>
  <si>
    <t xml:space="preserve">PNT000178</t>
  </si>
  <si>
    <t xml:space="preserve">PNT000179</t>
  </si>
  <si>
    <t xml:space="preserve">Permanent Sap Green</t>
  </si>
  <si>
    <t xml:space="preserve">PNT000180</t>
  </si>
  <si>
    <t xml:space="preserve">PNT000181</t>
  </si>
  <si>
    <t xml:space="preserve">Phthalo Blue (Red Shade)</t>
  </si>
  <si>
    <t xml:space="preserve">PNT000182</t>
  </si>
  <si>
    <t xml:space="preserve">Phthalo Blue (Green Shade)</t>
  </si>
  <si>
    <t xml:space="preserve">PNT000183</t>
  </si>
  <si>
    <t xml:space="preserve">Pyrrole Orange</t>
  </si>
  <si>
    <t xml:space="preserve">PNT000184</t>
  </si>
  <si>
    <t xml:space="preserve">Phthalo Green (Yellow Shade)</t>
  </si>
  <si>
    <t xml:space="preserve">PNT000185</t>
  </si>
  <si>
    <t xml:space="preserve">Phthalo Green (Blue Shade)</t>
  </si>
  <si>
    <t xml:space="preserve">PNT000186</t>
  </si>
  <si>
    <t xml:space="preserve">Phthalo Turquoise</t>
  </si>
  <si>
    <t xml:space="preserve">PNT000187</t>
  </si>
  <si>
    <t xml:space="preserve">Pyrrole Red</t>
  </si>
  <si>
    <t xml:space="preserve">PNT000188</t>
  </si>
  <si>
    <t xml:space="preserve">Pyrrole Red Light</t>
  </si>
  <si>
    <t xml:space="preserve">PNT000189</t>
  </si>
  <si>
    <t xml:space="preserve">Potter's Pink</t>
  </si>
  <si>
    <t xml:space="preserve">PNT000190</t>
  </si>
  <si>
    <t xml:space="preserve">PNT000191</t>
  </si>
  <si>
    <t xml:space="preserve">PNT000192</t>
  </si>
  <si>
    <t xml:space="preserve">Quinacridone Burnt Orange</t>
  </si>
  <si>
    <t xml:space="preserve">PNT000193</t>
  </si>
  <si>
    <t xml:space="preserve">Quinacridone Violet</t>
  </si>
  <si>
    <t xml:space="preserve">PNT000194</t>
  </si>
  <si>
    <t xml:space="preserve">PNT000195</t>
  </si>
  <si>
    <t xml:space="preserve">PNT000196</t>
  </si>
  <si>
    <t xml:space="preserve">PNT000197</t>
  </si>
  <si>
    <t xml:space="preserve">Ultramarine Blue</t>
  </si>
  <si>
    <t xml:space="preserve">PNT000198</t>
  </si>
  <si>
    <t xml:space="preserve">PNT000199</t>
  </si>
  <si>
    <t xml:space="preserve">PNT000200</t>
  </si>
  <si>
    <t xml:space="preserve">PNT000201</t>
  </si>
  <si>
    <t xml:space="preserve">PNT000202</t>
  </si>
  <si>
    <t xml:space="preserve">Iridescent White</t>
  </si>
  <si>
    <t xml:space="preserve">PNT000203</t>
  </si>
  <si>
    <t xml:space="preserve">Silver</t>
  </si>
  <si>
    <t xml:space="preserve">PNT000204</t>
  </si>
  <si>
    <t xml:space="preserve">Silver No. 2</t>
  </si>
  <si>
    <t xml:space="preserve">PNT000205</t>
  </si>
  <si>
    <t xml:space="preserve">Gold</t>
  </si>
  <si>
    <t xml:space="preserve">PNT000206</t>
  </si>
  <si>
    <t xml:space="preserve">Renaissance Gold</t>
  </si>
  <si>
    <t xml:space="preserve">PNT000207</t>
  </si>
  <si>
    <t xml:space="preserve">Antique Gold</t>
  </si>
  <si>
    <t xml:space="preserve">PNT000208</t>
  </si>
  <si>
    <t xml:space="preserve">PNT000209</t>
  </si>
  <si>
    <t xml:space="preserve">PNT000210</t>
  </si>
  <si>
    <t xml:space="preserve">PNT000211</t>
  </si>
  <si>
    <t xml:space="preserve">Naples Yellow</t>
  </si>
  <si>
    <t xml:space="preserve">PNT000212</t>
  </si>
  <si>
    <t xml:space="preserve">PNT000213</t>
  </si>
  <si>
    <t xml:space="preserve">PNT000214</t>
  </si>
  <si>
    <t xml:space="preserve">Yellow Iron Oxide</t>
  </si>
  <si>
    <t xml:space="preserve">PNT000215</t>
  </si>
  <si>
    <t xml:space="preserve">PNT000216</t>
  </si>
  <si>
    <t xml:space="preserve">Quinacridone Gold</t>
  </si>
  <si>
    <t xml:space="preserve">PNT000217</t>
  </si>
  <si>
    <t xml:space="preserve">PNT000218</t>
  </si>
  <si>
    <t xml:space="preserve">PNT000219</t>
  </si>
  <si>
    <t xml:space="preserve">Potter’s Pink</t>
  </si>
  <si>
    <t xml:space="preserve">PNT000220</t>
  </si>
  <si>
    <t xml:space="preserve">PNT000221</t>
  </si>
  <si>
    <t xml:space="preserve">PNT000222</t>
  </si>
  <si>
    <t xml:space="preserve">PNT000223</t>
  </si>
  <si>
    <t xml:space="preserve">PNT000224</t>
  </si>
  <si>
    <t xml:space="preserve">PNT000225</t>
  </si>
  <si>
    <t xml:space="preserve">PNT000226</t>
  </si>
  <si>
    <t xml:space="preserve">PNT000227</t>
  </si>
  <si>
    <t xml:space="preserve">PNT000228</t>
  </si>
  <si>
    <t xml:space="preserve">PNT000229</t>
  </si>
  <si>
    <t xml:space="preserve">PNT000230</t>
  </si>
  <si>
    <t xml:space="preserve">PNT000231</t>
  </si>
  <si>
    <t xml:space="preserve">PNT000232</t>
  </si>
  <si>
    <t xml:space="preserve">PNT000233</t>
  </si>
  <si>
    <t xml:space="preserve">PNT000234</t>
  </si>
  <si>
    <t xml:space="preserve">PNT000235</t>
  </si>
  <si>
    <t xml:space="preserve">Cadmium Yellow Light</t>
  </si>
  <si>
    <t xml:space="preserve">PNT000236</t>
  </si>
  <si>
    <t xml:space="preserve">PNT000237</t>
  </si>
  <si>
    <t xml:space="preserve">PNT000238</t>
  </si>
  <si>
    <t xml:space="preserve">PNT000239</t>
  </si>
  <si>
    <t xml:space="preserve">PNT000240</t>
  </si>
  <si>
    <t xml:space="preserve">PNT000241</t>
  </si>
  <si>
    <t xml:space="preserve">PNT000242</t>
  </si>
  <si>
    <t xml:space="preserve">PNT000243</t>
  </si>
  <si>
    <t xml:space="preserve">PNT000244</t>
  </si>
  <si>
    <t xml:space="preserve">Cerulean Blue Hue</t>
  </si>
  <si>
    <t xml:space="preserve">PNT000245</t>
  </si>
  <si>
    <t xml:space="preserve">PNT000246</t>
  </si>
  <si>
    <t xml:space="preserve">PNT000247</t>
  </si>
  <si>
    <t xml:space="preserve">PNT000248</t>
  </si>
  <si>
    <t xml:space="preserve">PNT000249</t>
  </si>
  <si>
    <t xml:space="preserve">PNT000250</t>
  </si>
  <si>
    <t xml:space="preserve">PNT000251</t>
  </si>
  <si>
    <t xml:space="preserve">PNT000252</t>
  </si>
  <si>
    <t xml:space="preserve">PNT000253</t>
  </si>
  <si>
    <t xml:space="preserve">Hooker’s Green</t>
  </si>
  <si>
    <t xml:space="preserve">PNT000254</t>
  </si>
  <si>
    <t xml:space="preserve">PNT000255</t>
  </si>
  <si>
    <t xml:space="preserve">PNT000256</t>
  </si>
  <si>
    <t xml:space="preserve">PNT000257</t>
  </si>
  <si>
    <t xml:space="preserve">Cadmium Red Medium</t>
  </si>
  <si>
    <t xml:space="preserve">PNT000258</t>
  </si>
  <si>
    <t xml:space="preserve">PNT000259</t>
  </si>
  <si>
    <t xml:space="preserve">PNT000260</t>
  </si>
  <si>
    <t xml:space="preserve">PNT000261</t>
  </si>
  <si>
    <t xml:space="preserve">PNT000262</t>
  </si>
  <si>
    <t xml:space="preserve">PNT000263</t>
  </si>
  <si>
    <t xml:space="preserve">PNT000264</t>
  </si>
  <si>
    <t xml:space="preserve">PNT000265</t>
  </si>
  <si>
    <t xml:space="preserve">PNT000266</t>
  </si>
  <si>
    <t xml:space="preserve">PNT000267</t>
  </si>
  <si>
    <t xml:space="preserve">PNT000268</t>
  </si>
  <si>
    <t xml:space="preserve">PNT000269</t>
  </si>
  <si>
    <t xml:space="preserve">Red Iron Oxide</t>
  </si>
  <si>
    <t xml:space="preserve">PNT000270</t>
  </si>
  <si>
    <t xml:space="preserve">PNT000271</t>
  </si>
  <si>
    <t xml:space="preserve">Violet Iron Oxide</t>
  </si>
  <si>
    <t xml:space="preserve">PNT000272</t>
  </si>
  <si>
    <t xml:space="preserve">Raw Umber Light</t>
  </si>
  <si>
    <t xml:space="preserve">PNT000273</t>
  </si>
  <si>
    <t xml:space="preserve">PNT000274</t>
  </si>
  <si>
    <t xml:space="preserve">PNT000275</t>
  </si>
  <si>
    <t xml:space="preserve">Davy’s Gray</t>
  </si>
  <si>
    <t xml:space="preserve">PNT000276</t>
  </si>
  <si>
    <t xml:space="preserve">Graphite Grey</t>
  </si>
  <si>
    <t xml:space="preserve">PNT000277</t>
  </si>
  <si>
    <t xml:space="preserve">Payne’s Gray</t>
  </si>
  <si>
    <t xml:space="preserve">PNT000278</t>
  </si>
  <si>
    <t xml:space="preserve">PNT000279</t>
  </si>
  <si>
    <t xml:space="preserve">ChromaCodex Database v3 - Query Dashboard</t>
  </si>
  <si>
    <t xml:space="preserve">Purpose</t>
  </si>
  <si>
    <t xml:space="preserve">Use this sheet as the entry point for filtering/querying the database without deleting any v2 relational tables.</t>
  </si>
  <si>
    <t xml:space="preserve">How to Query</t>
  </si>
  <si>
    <t xml:space="preserve">1. Go to the Query_Source_View sheet.</t>
  </si>
  <si>
    <t xml:space="preserve">2. Use the filter arrows in row 1 to filter by Brand, Medium, Product Line, Paint Name, RGB, Density, etc.</t>
  </si>
  <si>
    <t xml:space="preserve">3. The source relational ID columns are included so every result can trace back to the underlying tables.</t>
  </si>
  <si>
    <t xml:space="preserve">4. Do not type over ID columns. Add notes only in designated notes fields.</t>
  </si>
  <si>
    <t xml:space="preserve">5. This v3 file preserves all v2 tabs and adds a safer query layer.</t>
  </si>
  <si>
    <t xml:space="preserve">Current Data Status</t>
  </si>
  <si>
    <t xml:space="preserve">Records imported</t>
  </si>
  <si>
    <t xml:space="preserve">Primary imported dataset</t>
  </si>
  <si>
    <t xml:space="preserve">Winsor And Newton Professional Acrylic from Sensual Logic import</t>
  </si>
  <si>
    <t xml:space="preserve">Pigment code status</t>
  </si>
  <si>
    <t xml:space="preserve">Mostly pending for this import because the source import did not provide pigment codes in v2</t>
  </si>
  <si>
    <t xml:space="preserve">Query readiness</t>
  </si>
  <si>
    <t xml:space="preserve">Filterable source view is active; dashboard formulas avoided to prevent Excel corruption</t>
  </si>
  <si>
    <t xml:space="preserve">Suggested Manual Filter Examples</t>
  </si>
  <si>
    <t xml:space="preserve">Brand_Name = Winsor And Newton</t>
  </si>
  <si>
    <t xml:space="preserve">Medium = Acrylic</t>
  </si>
  <si>
    <t xml:space="preserve">Product_Line_Name = Professional Acrylic</t>
  </si>
  <si>
    <t xml:space="preserve">Color_Family = Yellow</t>
  </si>
  <si>
    <t xml:space="preserve">Density greater than 1500</t>
  </si>
  <si>
    <t xml:space="preserve">RGB_Red greater than 200</t>
  </si>
  <si>
    <t xml:space="preserve">Record_ID</t>
  </si>
  <si>
    <t xml:space="preserve">Brand_ID</t>
  </si>
  <si>
    <t xml:space="preserve">Medium_ID</t>
  </si>
  <si>
    <t xml:space="preserve">Product_Line_ID</t>
  </si>
  <si>
    <t xml:space="preserve">Product_Line_Type</t>
  </si>
  <si>
    <t xml:space="preserve">Paint_Product_Key</t>
  </si>
  <si>
    <t xml:space="preserve">Pigment_ID</t>
  </si>
  <si>
    <t xml:space="preserve">Pigment_Sequence</t>
  </si>
  <si>
    <t xml:space="preserve">Query_Include</t>
  </si>
  <si>
    <t xml:space="preserve">Query_Match_Number</t>
  </si>
  <si>
    <t xml:space="preserve">B001</t>
  </si>
  <si>
    <t xml:space="preserve">M001</t>
  </si>
  <si>
    <t xml:space="preserve">PL001</t>
  </si>
  <si>
    <t xml:space="preserve">Artist Oil</t>
  </si>
  <si>
    <t xml:space="preserve">winsor and newton|oil|artists oil|alizarin crimson</t>
  </si>
  <si>
    <t xml:space="preserve">PIG000046</t>
  </si>
  <si>
    <t xml:space="preserve">https://sensuallogic.com/artistcolordata</t>
  </si>
  <si>
    <t xml:space="preserve">winsor and newton|oil|artists oil|bismuth yellow</t>
  </si>
  <si>
    <t xml:space="preserve">PIG000066</t>
  </si>
  <si>
    <t xml:space="preserve">winsor and newton|oil|artists oil|bright red</t>
  </si>
  <si>
    <t xml:space="preserve">PIG000032</t>
  </si>
  <si>
    <t xml:space="preserve">winsor and newton|oil|artists oil|burnt sienna</t>
  </si>
  <si>
    <t xml:space="preserve">PIG000033</t>
  </si>
  <si>
    <t xml:space="preserve">winsor and newton|oil|artists oil|cadmium lemon</t>
  </si>
  <si>
    <t xml:space="preserve">PIG000068</t>
  </si>
  <si>
    <t xml:space="preserve">winsor and newton|oil|artists oil|cadmium red</t>
  </si>
  <si>
    <t xml:space="preserve">PIG000035</t>
  </si>
  <si>
    <t xml:space="preserve">winsor and newton|oil|artists oil|cadmium yellow</t>
  </si>
  <si>
    <t xml:space="preserve">winsor and newton|oil|artists oil|cadmium yellow deep</t>
  </si>
  <si>
    <t xml:space="preserve">PIG000028</t>
  </si>
  <si>
    <t xml:space="preserve">winsor and newton|oil|artists oil|cerulean blue</t>
  </si>
  <si>
    <t xml:space="preserve">PIG000008</t>
  </si>
  <si>
    <t xml:space="preserve">winsor and newton|oil|artists oil|cobalt blue</t>
  </si>
  <si>
    <t xml:space="preserve">PIG000006</t>
  </si>
  <si>
    <t xml:space="preserve">winsor and newton|oil|artists oil|cobalt blue deep</t>
  </si>
  <si>
    <t xml:space="preserve">PIG000011</t>
  </si>
  <si>
    <t xml:space="preserve">winsor and newton|oil|artists oil|cobalt chromite green</t>
  </si>
  <si>
    <t xml:space="preserve">PIG000024</t>
  </si>
  <si>
    <t xml:space="preserve">winsor and newton|oil|artists oil|cobalt green</t>
  </si>
  <si>
    <t xml:space="preserve">PIG000026</t>
  </si>
  <si>
    <t xml:space="preserve">winsor and newton|oil|artists oil|cobalt turquoise</t>
  </si>
  <si>
    <t xml:space="preserve">PIG000009</t>
  </si>
  <si>
    <t xml:space="preserve">winsor and newton|oil|artists oil|cobalt turquoise light</t>
  </si>
  <si>
    <t xml:space="preserve">winsor and newton|oil|artists oil|cobalt violet</t>
  </si>
  <si>
    <t xml:space="preserve">PIG000048</t>
  </si>
  <si>
    <t xml:space="preserve">winsor and newton|oil|artists oil|french ultramarine</t>
  </si>
  <si>
    <t xml:space="preserve">PIG000007</t>
  </si>
  <si>
    <t xml:space="preserve">winsor and newton|oil|artists oil|gold ochre</t>
  </si>
  <si>
    <t xml:space="preserve">PIG000069</t>
  </si>
  <si>
    <t xml:space="preserve">winsor and newton|oil|artists oil|green gold</t>
  </si>
  <si>
    <t xml:space="preserve">PIG000061</t>
  </si>
  <si>
    <t xml:space="preserve">winsor and newton|oil|artists oil|indian yellow</t>
  </si>
  <si>
    <t xml:space="preserve">PIG000063</t>
  </si>
  <si>
    <t xml:space="preserve">winsor and newton|oil|artists oil|indian yellow deep</t>
  </si>
  <si>
    <t xml:space="preserve">PIG000065</t>
  </si>
  <si>
    <t xml:space="preserve">winsor and newton|oil|artists oil|indanthrene blue</t>
  </si>
  <si>
    <t xml:space="preserve">PIG000010</t>
  </si>
  <si>
    <t xml:space="preserve">winsor and newton|oil|artists oil|ivory black</t>
  </si>
  <si>
    <t xml:space="preserve">PIG000017</t>
  </si>
  <si>
    <t xml:space="preserve">winsor and newton|oil|artists oil|lamp black</t>
  </si>
  <si>
    <t xml:space="preserve">PIG000015</t>
  </si>
  <si>
    <t xml:space="preserve">winsor and newton|oil|artists oil|lemon yellow hue</t>
  </si>
  <si>
    <t xml:space="preserve">PIG000071</t>
  </si>
  <si>
    <t xml:space="preserve">winsor and newton|oil|artists oil|mars black</t>
  </si>
  <si>
    <t xml:space="preserve">PIG000013</t>
  </si>
  <si>
    <t xml:space="preserve">winsor and newton|oil|artists oil|naples yellow deep</t>
  </si>
  <si>
    <t xml:space="preserve">PIG000018</t>
  </si>
  <si>
    <t xml:space="preserve">winsor and newton|oil|artists oil|naples yellow light</t>
  </si>
  <si>
    <t xml:space="preserve">PIG000058</t>
  </si>
  <si>
    <t xml:space="preserve">PIG000062</t>
  </si>
  <si>
    <t xml:space="preserve">PIG000029</t>
  </si>
  <si>
    <t xml:space="preserve">winsor and newton|oil|artists oil|olive green</t>
  </si>
  <si>
    <t xml:space="preserve">PIG000059</t>
  </si>
  <si>
    <t xml:space="preserve">winsor and newton|oil|artists oil|oxide of chromium</t>
  </si>
  <si>
    <t xml:space="preserve">PIG000021</t>
  </si>
  <si>
    <t xml:space="preserve">winsor and newton|oil|artists oil|permanent alizarin crimson</t>
  </si>
  <si>
    <t xml:space="preserve">PIG000042</t>
  </si>
  <si>
    <t xml:space="preserve">winsor and newton|oil|artists oil|permanent magenta</t>
  </si>
  <si>
    <t xml:space="preserve">PIG000051</t>
  </si>
  <si>
    <t xml:space="preserve">winsor and newton|oil|artists oil|permanent mauve</t>
  </si>
  <si>
    <t xml:space="preserve">PIG000050</t>
  </si>
  <si>
    <t xml:space="preserve">winsor and newton|oil|artists oil|perylene black</t>
  </si>
  <si>
    <t xml:space="preserve">PIG000014</t>
  </si>
  <si>
    <t xml:space="preserve">winsor and newton|oil|artists oil|prussian blue</t>
  </si>
  <si>
    <t xml:space="preserve">PIG000005</t>
  </si>
  <si>
    <t xml:space="preserve">winsor and newton|oil|artists oil|quinacridone magenta</t>
  </si>
  <si>
    <t xml:space="preserve">PIG000037</t>
  </si>
  <si>
    <t xml:space="preserve">winsor and newton|oil|artists oil|quinacridone red</t>
  </si>
  <si>
    <t xml:space="preserve">PIG000044</t>
  </si>
  <si>
    <t xml:space="preserve">winsor and newton|oil|artists oil|raw sienna</t>
  </si>
  <si>
    <t xml:space="preserve">PIG000070</t>
  </si>
  <si>
    <t xml:space="preserve">winsor and newton|oil|artists oil|raw umber</t>
  </si>
  <si>
    <t xml:space="preserve">PIG000020</t>
  </si>
  <si>
    <t xml:space="preserve">winsor and newton|oil|artists oil|rose madder genuine</t>
  </si>
  <si>
    <t xml:space="preserve">PIG000002</t>
  </si>
  <si>
    <t xml:space="preserve">winsor and newton|oil|artists oil|scarlet lake</t>
  </si>
  <si>
    <t xml:space="preserve">PIG000045</t>
  </si>
  <si>
    <t xml:space="preserve">winsor and newton|oil|artists oil|terra rosa</t>
  </si>
  <si>
    <t xml:space="preserve">winsor and newton|oil|artists oil|terre verte</t>
  </si>
  <si>
    <t xml:space="preserve">PIG000023</t>
  </si>
  <si>
    <t xml:space="preserve">PIG000022</t>
  </si>
  <si>
    <t xml:space="preserve">winsor and newton|oil|artists oil|titanium white</t>
  </si>
  <si>
    <t xml:space="preserve">PIG000056</t>
  </si>
  <si>
    <t xml:space="preserve">winsor and newton|oil|artists oil|transparent red ochre</t>
  </si>
  <si>
    <t xml:space="preserve">PIG000034</t>
  </si>
  <si>
    <t xml:space="preserve">winsor and newton|oil|artists oil|transparent yellow</t>
  </si>
  <si>
    <t xml:space="preserve">PIG000060</t>
  </si>
  <si>
    <t xml:space="preserve">winsor and newton|oil|artists oil|transparent maroon</t>
  </si>
  <si>
    <t xml:space="preserve">PIG000019</t>
  </si>
  <si>
    <t xml:space="preserve">winsor and newton|oil|artists oil|ultramarine violet</t>
  </si>
  <si>
    <t xml:space="preserve">PIG000049</t>
  </si>
  <si>
    <t xml:space="preserve">winsor and newton|oil|artists oil|vandyke brown</t>
  </si>
  <si>
    <t xml:space="preserve">PIG000001</t>
  </si>
  <si>
    <t xml:space="preserve">winsor and newton|oil|artists oil|venetian red</t>
  </si>
  <si>
    <t xml:space="preserve">winsor and newton|oil|artists oil|viridian</t>
  </si>
  <si>
    <t xml:space="preserve">winsor and newton|oil|artists oil|winsor emerald</t>
  </si>
  <si>
    <t xml:space="preserve">PIG000025</t>
  </si>
  <si>
    <t xml:space="preserve">PIG000057</t>
  </si>
  <si>
    <t xml:space="preserve">winsor and newton|oil|artists oil|winsor green phthalo</t>
  </si>
  <si>
    <t xml:space="preserve">PIG000027</t>
  </si>
  <si>
    <t xml:space="preserve">winsor and newton|oil|artists oil|winsor green yellow shade</t>
  </si>
  <si>
    <t xml:space="preserve">winsor and newton|oil|artists oil|winsor lemon</t>
  </si>
  <si>
    <t xml:space="preserve">PIG000067</t>
  </si>
  <si>
    <t xml:space="preserve">winsor and newton|oil|artists oil|winsor orange</t>
  </si>
  <si>
    <t xml:space="preserve">PIG000031</t>
  </si>
  <si>
    <t xml:space="preserve">winsor and newton|oil|artists oil|winsor red deep</t>
  </si>
  <si>
    <t xml:space="preserve">PIG000038</t>
  </si>
  <si>
    <t xml:space="preserve">winsor and newton|oil|artists oil|winsor yellow</t>
  </si>
  <si>
    <t xml:space="preserve">PIG000074</t>
  </si>
  <si>
    <t xml:space="preserve">winsor and newton|oil|artists oil|winsor yellow deep</t>
  </si>
  <si>
    <t xml:space="preserve">PIG000072</t>
  </si>
  <si>
    <t xml:space="preserve">winsor and newton|oil|artists oil|winsor violet dioxazine</t>
  </si>
  <si>
    <t xml:space="preserve">PIG000053</t>
  </si>
  <si>
    <t xml:space="preserve">winsor and newton|oil|artists oil|zinc white</t>
  </si>
  <si>
    <t xml:space="preserve">M002</t>
  </si>
  <si>
    <t xml:space="preserve">PL002</t>
  </si>
  <si>
    <t xml:space="preserve">Designer Gouache</t>
  </si>
  <si>
    <t xml:space="preserve">winsor and newton|gouache|designers gouache|alizarin crimson</t>
  </si>
  <si>
    <t xml:space="preserve">winsor and newton|gouache|designers gouache|burnt sienna</t>
  </si>
  <si>
    <t xml:space="preserve">winsor and newton|gouache|designers gouache|burnt umber</t>
  </si>
  <si>
    <t xml:space="preserve">winsor and newton|gouache|designers gouache|cadmium lemon</t>
  </si>
  <si>
    <t xml:space="preserve">winsor and newton|gouache|designers gouache|cadmium orange</t>
  </si>
  <si>
    <t xml:space="preserve">winsor and newton|gouache|designers gouache|cadmium red</t>
  </si>
  <si>
    <t xml:space="preserve">winsor and newton|gouache|designers gouache|cadmium scarlet</t>
  </si>
  <si>
    <t xml:space="preserve">winsor and newton|gouache|designers gouache|cadmium yellow</t>
  </si>
  <si>
    <t xml:space="preserve">winsor and newton|gouache|designers gouache|cerulean blue</t>
  </si>
  <si>
    <t xml:space="preserve">winsor and newton|gouache|designers gouache|cobalt blue</t>
  </si>
  <si>
    <t xml:space="preserve">winsor and newton|gouache|designers gouache|cobalt turquoise light</t>
  </si>
  <si>
    <t xml:space="preserve">winsor and newton|gouache|designers gouache|flame red</t>
  </si>
  <si>
    <t xml:space="preserve">PIG000039</t>
  </si>
  <si>
    <t xml:space="preserve">PIG000030</t>
  </si>
  <si>
    <t xml:space="preserve">winsor and newton|gouache|designers gouache|indigo</t>
  </si>
  <si>
    <t xml:space="preserve">PIG000003</t>
  </si>
  <si>
    <t xml:space="preserve">winsor and newton|gouache|designers gouache|ivory black</t>
  </si>
  <si>
    <t xml:space="preserve">winsor and newton|gouache|designers gouache|jet black</t>
  </si>
  <si>
    <t xml:space="preserve">PIG000012</t>
  </si>
  <si>
    <t xml:space="preserve">winsor and newton|gouache|designers gouache|lamp black</t>
  </si>
  <si>
    <t xml:space="preserve">PIG000016</t>
  </si>
  <si>
    <t xml:space="preserve">winsor and newton|gouache|designers gouache|lemon yellow</t>
  </si>
  <si>
    <t xml:space="preserve">winsor and newton|gouache|designers gouache|light purple</t>
  </si>
  <si>
    <t xml:space="preserve">PIG000055</t>
  </si>
  <si>
    <t xml:space="preserve">winsor and newton|gouache|designers gouache|magenta</t>
  </si>
  <si>
    <t xml:space="preserve">PIG000040</t>
  </si>
  <si>
    <t xml:space="preserve">PIG000052</t>
  </si>
  <si>
    <t xml:space="preserve">winsor and newton|gouache|designers gouache|marigold yellow</t>
  </si>
  <si>
    <t xml:space="preserve">winsor and newton|gouache|designers gouache|naples yellow deep</t>
  </si>
  <si>
    <t xml:space="preserve">winsor and newton|gouache|designers gouache|orange lake light</t>
  </si>
  <si>
    <t xml:space="preserve">PIG000047</t>
  </si>
  <si>
    <t xml:space="preserve">winsor and newton|gouache|designers gouache|oxide of chromium</t>
  </si>
  <si>
    <t xml:space="preserve">winsor and newton|gouache|designers gouache|permanent alizarin crimson</t>
  </si>
  <si>
    <t xml:space="preserve">PIG000041</t>
  </si>
  <si>
    <t xml:space="preserve">winsor and newton|gouache|designers gouache|perylene violet</t>
  </si>
  <si>
    <t xml:space="preserve">PIG000054</t>
  </si>
  <si>
    <t xml:space="preserve">winsor and newton|gouache|designers gouache|permanent rose</t>
  </si>
  <si>
    <t xml:space="preserve">winsor and newton|gouache|designers gouache|perylene black</t>
  </si>
  <si>
    <t xml:space="preserve">winsor and newton|gouache|designers gouache|perylene maroon</t>
  </si>
  <si>
    <t xml:space="preserve">PIG000043</t>
  </si>
  <si>
    <t xml:space="preserve">winsor and newton|gouache|designers gouache|permanent yellow deep</t>
  </si>
  <si>
    <t xml:space="preserve">winsor and newton|gouache|designers gouache|permanent white</t>
  </si>
  <si>
    <t xml:space="preserve">winsor and newton|gouache|designers gouache|primary blue</t>
  </si>
  <si>
    <t xml:space="preserve">winsor and newton|gouache|designers gouache|primary red</t>
  </si>
  <si>
    <t xml:space="preserve">winsor and newton|gouache|designers gouache|primary yellow</t>
  </si>
  <si>
    <t xml:space="preserve">winsor and newton|gouache|designers gouache|prussian blue</t>
  </si>
  <si>
    <t xml:space="preserve">winsor and newton|gouache|designers gouache|raw sienna</t>
  </si>
  <si>
    <t xml:space="preserve">winsor and newton|gouache|designers gouache|raw umber</t>
  </si>
  <si>
    <t xml:space="preserve">winsor and newton|gouache|designers gouache|red ochre</t>
  </si>
  <si>
    <t xml:space="preserve">winsor and newton|gouache|designers gouache|rose tyrien</t>
  </si>
  <si>
    <t xml:space="preserve">winsor and newton|gouache|designers gouache|spectrum red</t>
  </si>
  <si>
    <t xml:space="preserve">winsor and newton|gouache|designers gouache|spectrum violet</t>
  </si>
  <si>
    <t xml:space="preserve">winsor and newton|gouache|designers gouache|ultramarine</t>
  </si>
  <si>
    <t xml:space="preserve">winsor and newton|gouache|designers gouache|ultramarine green shade</t>
  </si>
  <si>
    <t xml:space="preserve">winsor and newton|gouache|designers gouache|viridian</t>
  </si>
  <si>
    <t xml:space="preserve">winsor and newton|gouache|designers gouache|winsor blue</t>
  </si>
  <si>
    <t xml:space="preserve">winsor and newton|gouache|designers gouache|winsor green</t>
  </si>
  <si>
    <t xml:space="preserve">winsor and newton|gouache|designers gouache|winsor violet dioxazine</t>
  </si>
  <si>
    <t xml:space="preserve">winsor and newton|gouache|designers gouache|yellow ochre</t>
  </si>
  <si>
    <t xml:space="preserve">winsor and newton|gouache|designers gouache|zinc white</t>
  </si>
  <si>
    <t xml:space="preserve">M003</t>
  </si>
  <si>
    <t xml:space="preserve">PL003</t>
  </si>
  <si>
    <t xml:space="preserve">Student Acrylic</t>
  </si>
  <si>
    <t xml:space="preserve">winsor and newton|acrylic|galeria acrylic|buff titanium</t>
  </si>
  <si>
    <t xml:space="preserve">winsor and newton|acrylic|galeria acrylic|burnt sienna</t>
  </si>
  <si>
    <t xml:space="preserve">winsor and newton|acrylic|galeria acrylic|burnt umber</t>
  </si>
  <si>
    <t xml:space="preserve">winsor and newton|acrylic|galeria acrylic|cadmium red hue</t>
  </si>
  <si>
    <t xml:space="preserve">PIG000036</t>
  </si>
  <si>
    <t xml:space="preserve">winsor and newton|acrylic|galeria acrylic|cadmium yellow deep hue</t>
  </si>
  <si>
    <t xml:space="preserve">winsor and newton|acrylic|galeria acrylic|cadmium yellow medium hue</t>
  </si>
  <si>
    <t xml:space="preserve">PIG000073</t>
  </si>
  <si>
    <t xml:space="preserve">PIG000075</t>
  </si>
  <si>
    <t xml:space="preserve">winsor and newton|acrylic|galeria acrylic|cobalt blue</t>
  </si>
  <si>
    <t xml:space="preserve">PIG000000</t>
  </si>
  <si>
    <t xml:space="preserve">winsor and newton|acrylic|galeria acrylic|crimson</t>
  </si>
  <si>
    <t xml:space="preserve">winsor and newton|acrylic|galeria acrylic|green gold</t>
  </si>
  <si>
    <t xml:space="preserve">winsor and newton|acrylic|galeria acrylic|hooker s green</t>
  </si>
  <si>
    <t xml:space="preserve">winsor and newton|acrylic|galeria acrylic|ivory black</t>
  </si>
  <si>
    <t xml:space="preserve">winsor and newton|acrylic|galeria acrylic|lamp black</t>
  </si>
  <si>
    <t xml:space="preserve">winsor and newton|acrylic|galeria acrylic|lemon yellow</t>
  </si>
  <si>
    <t xml:space="preserve">winsor and newton|acrylic|galeria acrylic|mixing white</t>
  </si>
  <si>
    <t xml:space="preserve">winsor and newton|acrylic|galeria acrylic|permanent magenta</t>
  </si>
  <si>
    <t xml:space="preserve">winsor and newton|acrylic|galeria acrylic|phthalo green</t>
  </si>
  <si>
    <t xml:space="preserve">winsor and newton|acrylic|galeria acrylic|process magenta</t>
  </si>
  <si>
    <t xml:space="preserve">winsor and newton|acrylic|galeria acrylic|process cyan</t>
  </si>
  <si>
    <t xml:space="preserve">PIG000004</t>
  </si>
  <si>
    <t xml:space="preserve">winsor and newton|acrylic|galeria acrylic|process yellow</t>
  </si>
  <si>
    <t xml:space="preserve">winsor and newton|acrylic|galeria acrylic|prussian blue hue</t>
  </si>
  <si>
    <t xml:space="preserve">winsor and newton|acrylic|galeria acrylic|raw sienna</t>
  </si>
  <si>
    <t xml:space="preserve">winsor and newton|acrylic|galeria acrylic|raw umber</t>
  </si>
  <si>
    <t xml:space="preserve">winsor and newton|acrylic|galeria acrylic|red ochre</t>
  </si>
  <si>
    <t xml:space="preserve">winsor and newton|acrylic|galeria acrylic|sap green</t>
  </si>
  <si>
    <t xml:space="preserve">PIG000064</t>
  </si>
  <si>
    <t xml:space="preserve">winsor and newton|acrylic|galeria acrylic|titanium white</t>
  </si>
  <si>
    <t xml:space="preserve">winsor and newton|acrylic|galeria acrylic|transparent yellow</t>
  </si>
  <si>
    <t xml:space="preserve">winsor and newton|acrylic|galeria acrylic|ultramarine</t>
  </si>
  <si>
    <t xml:space="preserve">winsor and newton|acrylic|galeria acrylic|vermilion hue</t>
  </si>
  <si>
    <t xml:space="preserve">winsor and newton|acrylic|galeria acrylic|winsor violet</t>
  </si>
  <si>
    <t xml:space="preserve">winsor and newton|acrylic|galeria acrylic|yellow ochre</t>
  </si>
  <si>
    <t xml:space="preserve">PL004</t>
  </si>
  <si>
    <t xml:space="preserve">Artist Acrylic</t>
  </si>
  <si>
    <t xml:space="preserve">winsor and newton|acrylic|professional acrylic|azo yellow medium</t>
  </si>
  <si>
    <t xml:space="preserve">https://www.winsornewton.com/pages/professional-acrylic-colour</t>
  </si>
  <si>
    <t xml:space="preserve">winsor and newton|acrylic|professional acrylic|bismuth yellow</t>
  </si>
  <si>
    <t xml:space="preserve">winsor and newton|acrylic|professional acrylic|azo yellow deep</t>
  </si>
  <si>
    <t xml:space="preserve">winsor and newton|acrylic|professional acrylic|buff titanium</t>
  </si>
  <si>
    <t xml:space="preserve">winsor and newton|acrylic|professional acrylic|burnt sienna</t>
  </si>
  <si>
    <t xml:space="preserve">winsor and newton|acrylic|professional acrylic|burnt umber</t>
  </si>
  <si>
    <t xml:space="preserve">winsor and newton|acrylic|professional acrylic|cadmium lemon</t>
  </si>
  <si>
    <t xml:space="preserve">winsor and newton|acrylic|professional acrylic|cadmium orange</t>
  </si>
  <si>
    <t xml:space="preserve">winsor and newton|acrylic|professional acrylic|cadmium red deep</t>
  </si>
  <si>
    <t xml:space="preserve">winsor and newton|acrylic|professional acrylic|cadredmed</t>
  </si>
  <si>
    <t xml:space="preserve">winsor and newton|acrylic|professional acrylic|cadmium red light</t>
  </si>
  <si>
    <t xml:space="preserve">winsor and newton|acrylic|professional acrylic|cadmium yellow deep</t>
  </si>
  <si>
    <t xml:space="preserve">winsor and newton|acrylic|professional acrylic|cadmium yellow medium</t>
  </si>
  <si>
    <t xml:space="preserve">winsor and newton|acrylic|professional acrylic|cerulean blue chromium</t>
  </si>
  <si>
    <t xml:space="preserve">winsor and newton|acrylic|professional acrylic|cerulean blue</t>
  </si>
  <si>
    <t xml:space="preserve">winsor and newton|acrylic|professional acrylic|chromium oxide green</t>
  </si>
  <si>
    <t xml:space="preserve">winsor and newton|acrylic|professional acrylic|cobalt blue</t>
  </si>
  <si>
    <t xml:space="preserve">winsor and newton|acrylic|professional acrylic|cobalt blue deep</t>
  </si>
  <si>
    <t xml:space="preserve">PIG000078</t>
  </si>
  <si>
    <t xml:space="preserve">winsor and newton|acrylic|professional acrylic|cobalt green</t>
  </si>
  <si>
    <t xml:space="preserve">winsor and newton|acrylic|professional acrylic|cobalt green deep</t>
  </si>
  <si>
    <t xml:space="preserve">winsor and newton|acrylic|professional acrylic|cobalt turquoise light</t>
  </si>
  <si>
    <t xml:space="preserve">winsor and newton|acrylic|professional acrylic|davy s gray</t>
  </si>
  <si>
    <t xml:space="preserve">PIG000080</t>
  </si>
  <si>
    <t xml:space="preserve">winsor and newton|acrylic|professional acrylic|dioxazine purple</t>
  </si>
  <si>
    <t xml:space="preserve">winsor and newton|acrylic|professional acrylic|green gold</t>
  </si>
  <si>
    <t xml:space="preserve">winsor and newton|acrylic|professional acrylic|hooker s green</t>
  </si>
  <si>
    <t xml:space="preserve">winsor and newton|acrylic|professional acrylic|indanthrene blue</t>
  </si>
  <si>
    <t xml:space="preserve">winsor and newton|acrylic|professional acrylic|ivory black</t>
  </si>
  <si>
    <t xml:space="preserve">winsor and newton|acrylic|professional acrylic|lemon yellow</t>
  </si>
  <si>
    <t xml:space="preserve">winsor and newton|acrylic|professional acrylic|light red</t>
  </si>
  <si>
    <t xml:space="preserve">winsor and newton|acrylic|professional acrylic|mars black</t>
  </si>
  <si>
    <t xml:space="preserve">winsor and newton|acrylic|professional acrylic|naphthol red light</t>
  </si>
  <si>
    <t xml:space="preserve">winsor and newton|acrylic|professional acrylic|naphthol red medium</t>
  </si>
  <si>
    <t xml:space="preserve">winsor and newton|acrylic|professional acrylic|naples yellow deep</t>
  </si>
  <si>
    <t xml:space="preserve">winsor and newton|acrylic|professional acrylic|nickel azo yellow</t>
  </si>
  <si>
    <t xml:space="preserve">winsor and newton|acrylic|professional acrylic|olive green</t>
  </si>
  <si>
    <t xml:space="preserve">winsor and newton|acrylic|professional acrylic|perylene green</t>
  </si>
  <si>
    <t xml:space="preserve">winsor and newton|acrylic|professional acrylic|perylene red</t>
  </si>
  <si>
    <t xml:space="preserve">winsor and newton|acrylic|professional acrylic|permanent alizarin crimson</t>
  </si>
  <si>
    <t xml:space="preserve">winsor and newton|acrylic|professional acrylic|perylene violet</t>
  </si>
  <si>
    <t xml:space="preserve">winsor and newton|acrylic|professional acrylic|permanent sap green</t>
  </si>
  <si>
    <t xml:space="preserve">winsor and newton|acrylic|professional acrylic|perylene maroon</t>
  </si>
  <si>
    <t xml:space="preserve">winsor and newton|acrylic|professional acrylic|phthalo blue red shade</t>
  </si>
  <si>
    <t xml:space="preserve">PIG000076</t>
  </si>
  <si>
    <t xml:space="preserve">winsor and newton|acrylic|professional acrylic|phthalo blue green shade</t>
  </si>
  <si>
    <t xml:space="preserve">winsor and newton|acrylic|professional acrylic|pyrrole orange</t>
  </si>
  <si>
    <t xml:space="preserve">winsor and newton|acrylic|professional acrylic|phthalo green yellow shade</t>
  </si>
  <si>
    <t xml:space="preserve">winsor and newton|acrylic|professional acrylic|phthalo green blue shade</t>
  </si>
  <si>
    <t xml:space="preserve">winsor and newton|acrylic|professional acrylic|phthalo turquoise</t>
  </si>
  <si>
    <t xml:space="preserve">PIG000077</t>
  </si>
  <si>
    <t xml:space="preserve">winsor and newton|acrylic|professional acrylic|pyrrole red</t>
  </si>
  <si>
    <t xml:space="preserve">PIG000083</t>
  </si>
  <si>
    <t xml:space="preserve">winsor and newton|acrylic|professional acrylic|pyrrole red light</t>
  </si>
  <si>
    <t xml:space="preserve">winsor and newton|acrylic|professional acrylic|potter s pink</t>
  </si>
  <si>
    <t xml:space="preserve">PIG000082</t>
  </si>
  <si>
    <t xml:space="preserve">winsor and newton|acrylic|professional acrylic|quinacridone magenta</t>
  </si>
  <si>
    <t xml:space="preserve">winsor and newton|acrylic|professional acrylic|quinacridone red</t>
  </si>
  <si>
    <t xml:space="preserve">winsor and newton|acrylic|professional acrylic|quinacridone burnt orange</t>
  </si>
  <si>
    <t xml:space="preserve">winsor and newton|acrylic|professional acrylic|quinacridone violet</t>
  </si>
  <si>
    <t xml:space="preserve">winsor and newton|acrylic|professional acrylic|raw sienna</t>
  </si>
  <si>
    <t xml:space="preserve">winsor and newton|acrylic|professional acrylic|raw umber</t>
  </si>
  <si>
    <t xml:space="preserve">winsor and newton|acrylic|professional acrylic|titanium white</t>
  </si>
  <si>
    <t xml:space="preserve">winsor and newton|acrylic|professional acrylic|ultramarine blue</t>
  </si>
  <si>
    <t xml:space="preserve">winsor and newton|acrylic|professional acrylic|ultramarine violet</t>
  </si>
  <si>
    <t xml:space="preserve">winsor and newton|acrylic|professional acrylic|yellow ochre</t>
  </si>
  <si>
    <t xml:space="preserve">winsor and newton|acrylic|professional acrylic|mixing white</t>
  </si>
  <si>
    <t xml:space="preserve">winsor and newton|acrylic|professional acrylic|iridescent white</t>
  </si>
  <si>
    <t xml:space="preserve">winsor and newton|acrylic|professional acrylic|silver</t>
  </si>
  <si>
    <t xml:space="preserve">winsor and newton|acrylic|professional acrylic|silver no. 2</t>
  </si>
  <si>
    <t xml:space="preserve">winsor and newton|acrylic|professional acrylic|gold</t>
  </si>
  <si>
    <t xml:space="preserve">winsor and newton|acrylic|professional acrylic|renaissance gold</t>
  </si>
  <si>
    <t xml:space="preserve">winsor and newton|acrylic|professional acrylic|antique gold</t>
  </si>
  <si>
    <t xml:space="preserve">winsor and newton|acrylic|professional acrylic|naples yellow</t>
  </si>
  <si>
    <t xml:space="preserve">winsor and newton|acrylic|professional acrylic|yellow iron oxide</t>
  </si>
  <si>
    <t xml:space="preserve">winsor and newton|acrylic|professional acrylic|gold ochre</t>
  </si>
  <si>
    <t xml:space="preserve">winsor and newton|acrylic|professional acrylic|quinacridone gold</t>
  </si>
  <si>
    <t xml:space="preserve">PIG000081</t>
  </si>
  <si>
    <t xml:space="preserve">winsor and newton|acrylic|professional acrylic|potter’s pink</t>
  </si>
  <si>
    <t xml:space="preserve">winsor and newton|acrylic|professional acrylic|phthalo blue (red shade)</t>
  </si>
  <si>
    <t xml:space="preserve">winsor and newton|acrylic|professional acrylic|phthalo blue (green shade)</t>
  </si>
  <si>
    <t xml:space="preserve">winsor and newton|acrylic|professional acrylic|cadmium yellow light</t>
  </si>
  <si>
    <t xml:space="preserve">winsor and newton|acrylic|professional acrylic|cerulean blue hue</t>
  </si>
  <si>
    <t xml:space="preserve">winsor and newton|acrylic|professional acrylic|cobalt turquoise</t>
  </si>
  <si>
    <t xml:space="preserve">winsor and newton|acrylic|professional acrylic|phthalo green (blue shade)</t>
  </si>
  <si>
    <t xml:space="preserve">winsor and newton|acrylic|professional acrylic|phthalo green (yellow shade)</t>
  </si>
  <si>
    <t xml:space="preserve">winsor and newton|acrylic|professional acrylic|hooker’s green</t>
  </si>
  <si>
    <t xml:space="preserve">winsor and newton|acrylic|professional acrylic|cadmium red medium</t>
  </si>
  <si>
    <t xml:space="preserve">winsor and newton|acrylic|professional acrylic|permanent rose</t>
  </si>
  <si>
    <t xml:space="preserve">winsor and newton|acrylic|professional acrylic|red iron oxide</t>
  </si>
  <si>
    <t xml:space="preserve">winsor and newton|acrylic|professional acrylic|violet iron oxide</t>
  </si>
  <si>
    <t xml:space="preserve">winsor and newton|acrylic|professional acrylic|raw umber light</t>
  </si>
  <si>
    <t xml:space="preserve">winsor and newton|acrylic|professional acrylic|davy’s gray</t>
  </si>
  <si>
    <t xml:space="preserve">winsor and newton|acrylic|professional acrylic|graphite grey</t>
  </si>
  <si>
    <t xml:space="preserve">PIG000079</t>
  </si>
  <si>
    <t xml:space="preserve">winsor and newton|acrylic|professional acrylic|payne’s gray</t>
  </si>
  <si>
    <t xml:space="preserve">Query Need</t>
  </si>
  <si>
    <t xml:space="preserve">Use This Sheet</t>
  </si>
  <si>
    <t xml:space="preserve">Filter Column</t>
  </si>
  <si>
    <t xml:space="preserve">Notes</t>
  </si>
  <si>
    <t xml:space="preserve">Find all paints from one brand</t>
  </si>
  <si>
    <t xml:space="preserve">Query_Source_View</t>
  </si>
  <si>
    <t xml:space="preserve">Example: Winsor And Newton</t>
  </si>
  <si>
    <t xml:space="preserve">Find paints from a medium</t>
  </si>
  <si>
    <t xml:space="preserve">Example: Acrylic, Watercolor, Water Mixable Oil</t>
  </si>
  <si>
    <t xml:space="preserve">Find a product line/formulation</t>
  </si>
  <si>
    <t xml:space="preserve">Example: Professional Acrylic, Heavy Body Acrylics, Artisan Water Mixable Oil</t>
  </si>
  <si>
    <t xml:space="preserve">Find a color family</t>
  </si>
  <si>
    <t xml:space="preserve">Example: Yellow, Blue, Earth</t>
  </si>
  <si>
    <t xml:space="preserve">Find a pigment code</t>
  </si>
  <si>
    <t xml:space="preserve">Currently pending for many v2 Sensual Logic records; fill later from manufacturer/reference sources</t>
  </si>
  <si>
    <t xml:space="preserve">Find measured RGB values</t>
  </si>
  <si>
    <t xml:space="preserve">RGB_Red / RGB_Green / RGB_Blue / RGB_Combined</t>
  </si>
  <si>
    <t xml:space="preserve">Use number filters on individual RGB columns</t>
  </si>
  <si>
    <t xml:space="preserve">Find density</t>
  </si>
  <si>
    <t xml:space="preserve">Density</t>
  </si>
  <si>
    <t xml:space="preserve">Use number filters</t>
  </si>
  <si>
    <t xml:space="preserve">Check relationships</t>
  </si>
  <si>
    <t xml:space="preserve">Paints / Brands / Mediums / Product_Lines_Formulations</t>
  </si>
  <si>
    <t xml:space="preserve">ID columns</t>
  </si>
  <si>
    <t xml:space="preserve">Query_Source_View pulls these together for easier viewing</t>
  </si>
  <si>
    <t xml:space="preserve">Version</t>
  </si>
  <si>
    <t xml:space="preserve">File Name</t>
  </si>
  <si>
    <t xml:space="preserve">Date</t>
  </si>
  <si>
    <t xml:space="preserve">Change Summary</t>
  </si>
  <si>
    <t xml:space="preserve">v1</t>
  </si>
  <si>
    <t xml:space="preserve">ChromaCodex-Database-v1.xlsx</t>
  </si>
  <si>
    <t xml:space="preserve">2026-05-18</t>
  </si>
  <si>
    <t xml:space="preserve">Created corrected working database structure. Added separate Brand, Medium, Product Line / Formulation, and Paint Product logic; added brand-unique attribute tables; retained WN Sensual Logic import data.</t>
  </si>
  <si>
    <t xml:space="preserve">v2</t>
  </si>
  <si>
    <t xml:space="preserve">ChromaCodex-Database-v2.xlsx</t>
  </si>
  <si>
    <t xml:space="preserve">Added relational ID architecture: Paints, Pigments, Paint_Pigments, Measurements, Paint_Behavior, Sources, ID_Crosswalk, Relationship_Map, and relational data dictionary.</t>
  </si>
  <si>
    <t xml:space="preserve">v3 Repaired</t>
  </si>
  <si>
    <t xml:space="preserve">Rebuilt from ChromaCodex-Database-v2, preserved all v2 sheets, added safe filterable Query_Source_View and Query_Dashboard without removing relational tabs.</t>
  </si>
  <si>
    <t xml:space="preserve">v6</t>
  </si>
  <si>
    <t xml:space="preserve">Added query dashboard with preserved workbook tabs</t>
  </si>
  <si>
    <t xml:space="preserve">Created stable non-dynamic formula query layer from v3 repaired</t>
  </si>
  <si>
    <t xml:space="preserve">No dynamic array FILTER formulas</t>
  </si>
  <si>
    <t xml:space="preserve">v7</t>
  </si>
  <si>
    <t xml:space="preserve">ChromaCodex-Database-v7.xlsx</t>
  </si>
  <si>
    <t xml:space="preserve">Rebuilt pigment architecture from actual Sensual Logic IndexName values; added Pigments table, Paint_Pigments join table, pigment dropdown, and query output connections.</t>
  </si>
  <si>
    <t xml:space="preserve">v8</t>
  </si>
  <si>
    <t xml:space="preserve">Added official Winsor And Newton Professional Acrylic chart from uploaded manufacturer PDF; rebuilt Query_Source_View and Query_Output; added WN colour-code fields and pigment source status.</t>
  </si>
  <si>
    <t xml:space="preserve">v11</t>
  </si>
  <si>
    <t xml:space="preserve">Repair: preserved full workbook sheets and populated WN Professional Acrylic pigment codes</t>
  </si>
  <si>
    <t xml:space="preserve">Removed formula/table-heavy features to prevent Excel open errors.</t>
  </si>
  <si>
    <t xml:space="preserve">v12</t>
  </si>
  <si>
    <t xml:space="preserve">Added real Query_Interface with dropdown controls and formula-based Query_Results using Query_Source_View; pigment-code dropdown populated from actual source data.</t>
  </si>
  <si>
    <t xml:space="preserve">Assistant</t>
  </si>
  <si>
    <t xml:space="preserve">v15</t>
  </si>
  <si>
    <t xml:space="preserve">ChromaCodex-Database-v15.xlsx</t>
  </si>
  <si>
    <t xml:space="preserve">Finished pigment-table driven query dropdowns, query formulas, live lookup lists, and relational integrity checks.</t>
  </si>
  <si>
    <t xml:space="preserve">Entity / Table</t>
  </si>
  <si>
    <t xml:space="preserve">What It Means</t>
  </si>
  <si>
    <t xml:space="preserve">Why It Matters</t>
  </si>
  <si>
    <t xml:space="preserve">Example</t>
  </si>
  <si>
    <t xml:space="preserve">The company or brand name.</t>
  </si>
  <si>
    <t xml:space="preserve">A brand can make many mediums and many product lines.</t>
  </si>
  <si>
    <t xml:space="preserve">Golden Artist Colors, Winsor And Newton</t>
  </si>
  <si>
    <t xml:space="preserve">The broad paint medium.</t>
  </si>
  <si>
    <t xml:space="preserve">Acrylic, watercolor, oil, gouache, and water mixable oil behave differently.</t>
  </si>
  <si>
    <t xml:space="preserve">Product Line / Formulation Family</t>
  </si>
  <si>
    <t xml:space="preserve">A specific formulation family within a brand and medium.</t>
  </si>
  <si>
    <t xml:space="preserve">Heavy Body, Fluid, OPEN, Professional Acrylic, and SoFlat can share color names but have different behavior.</t>
  </si>
  <si>
    <t xml:space="preserve">Golden Heavy Body Acrylics</t>
  </si>
  <si>
    <t xml:space="preserve">Paint Product</t>
  </si>
  <si>
    <t xml:space="preserve">The individual product record inside a product line.</t>
  </si>
  <si>
    <t xml:space="preserve">Same paint name can appear in multiple product lines but still be a different product.</t>
  </si>
  <si>
    <t xml:space="preserve">Quinacridone Magenta in Golden Fluid vs Golden Heavy Body</t>
  </si>
  <si>
    <t xml:space="preserve">Pigment</t>
  </si>
  <si>
    <t xml:space="preserve">The actual pigment chemistry identified by pigment code.</t>
  </si>
  <si>
    <t xml:space="preserve">Same pigment can appear across many brands, mediums, and formulations.</t>
  </si>
  <si>
    <t xml:space="preserve">Measurement</t>
  </si>
  <si>
    <t xml:space="preserve">Measured color data such as RGB or spectral data.</t>
  </si>
  <si>
    <t xml:space="preserve">Measurements can vary by product line, binder, film thickness, and source.</t>
  </si>
  <si>
    <t xml:space="preserve">RGB 255,206,0</t>
  </si>
  <si>
    <t xml:space="preserve">Behavior / Attributes</t>
  </si>
  <si>
    <t xml:space="preserve">Handling and material properties.</t>
  </si>
  <si>
    <t xml:space="preserve">Some attributes belong to a medium, some to product line, some to a specific paint.</t>
  </si>
  <si>
    <t xml:space="preserve">Open Time belongs to OPEN Acrylic product line; granulation applies mostly to watercolor.</t>
  </si>
  <si>
    <t xml:space="preserve">Brand_System_Value</t>
  </si>
  <si>
    <t xml:space="preserve">Manufacturer</t>
  </si>
  <si>
    <t xml:space="preserve">Synonyms</t>
  </si>
  <si>
    <t xml:space="preserve">winsor and newton</t>
  </si>
  <si>
    <t xml:space="preserve">Colart</t>
  </si>
  <si>
    <t xml:space="preserve">Winsor &amp; Newton, W&amp;N</t>
  </si>
  <si>
    <t xml:space="preserve">Canonical brand name uses And instead of ampersand.</t>
  </si>
  <si>
    <t xml:space="preserve">Medium_System_Value</t>
  </si>
  <si>
    <t xml:space="preserve">Parent_Category</t>
  </si>
  <si>
    <t xml:space="preserve">Core_Behavior_Notes</t>
  </si>
  <si>
    <t xml:space="preserve">oil</t>
  </si>
  <si>
    <t xml:space="preserve">Oil Based</t>
  </si>
  <si>
    <t xml:space="preserve">Traditional oil paint.</t>
  </si>
  <si>
    <t xml:space="preserve">gouache</t>
  </si>
  <si>
    <t xml:space="preserve">Water Based</t>
  </si>
  <si>
    <t xml:space="preserve">Opaque water-based paint.</t>
  </si>
  <si>
    <t xml:space="preserve">acrylic</t>
  </si>
  <si>
    <t xml:space="preserve">Acrylic polymer paint.</t>
  </si>
  <si>
    <t xml:space="preserve">Product_Line_System_Value</t>
  </si>
  <si>
    <t xml:space="preserve">Formulation_Family</t>
  </si>
  <si>
    <t xml:space="preserve">Viscosity</t>
  </si>
  <si>
    <t xml:space="preserve">Finish</t>
  </si>
  <si>
    <t xml:space="preserve">Open_Time_Profile</t>
  </si>
  <si>
    <t xml:space="preserve">Flow_Profile</t>
  </si>
  <si>
    <t xml:space="preserve">Rheology_Type</t>
  </si>
  <si>
    <t xml:space="preserve">Brand_Unique_Attributes</t>
  </si>
  <si>
    <t xml:space="preserve">artists oil</t>
  </si>
  <si>
    <t xml:space="preserve">Traditional Winsor And Newton artist oil line</t>
  </si>
  <si>
    <t xml:space="preserve">Imported from Sensual Logic</t>
  </si>
  <si>
    <t xml:space="preserve">designers gouache</t>
  </si>
  <si>
    <t xml:space="preserve">Matte</t>
  </si>
  <si>
    <t xml:space="preserve">Opaque water-based gouache line</t>
  </si>
  <si>
    <t xml:space="preserve">galeria acrylic</t>
  </si>
  <si>
    <t xml:space="preserve">Winsor And Newton student acrylic line</t>
  </si>
  <si>
    <t xml:space="preserve">professional acrylic</t>
  </si>
  <si>
    <t xml:space="preserve">Winsor And Newton professional acrylic line; source rows lack IndexName values</t>
  </si>
  <si>
    <t xml:space="preserve">Attribute_ID</t>
  </si>
  <si>
    <t xml:space="preserve">Attribute_Name</t>
  </si>
  <si>
    <t xml:space="preserve">Canonical_Value</t>
  </si>
  <si>
    <t xml:space="preserve">System_Value</t>
  </si>
  <si>
    <t xml:space="preserve">Attribute_Type</t>
  </si>
  <si>
    <t xml:space="preserve">Applies_To_Level</t>
  </si>
  <si>
    <t xml:space="preserve">PLA001</t>
  </si>
  <si>
    <t xml:space="preserve">Medium To Heavy Body</t>
  </si>
  <si>
    <t xml:space="preserve">medium to heavy body</t>
  </si>
  <si>
    <t xml:space="preserve">Rheology</t>
  </si>
  <si>
    <t xml:space="preserve">W&amp;N Professional Acrylic general line behavior.</t>
  </si>
  <si>
    <t xml:space="preserve">PLA002</t>
  </si>
  <si>
    <t xml:space="preserve">PL006</t>
  </si>
  <si>
    <t xml:space="preserve">Open Time Profile</t>
  </si>
  <si>
    <t xml:space="preserve">Slow Drying Long Open Time</t>
  </si>
  <si>
    <t xml:space="preserve">slow drying long open time</t>
  </si>
  <si>
    <t xml:space="preserve">Drying</t>
  </si>
  <si>
    <t xml:space="preserve">Golden OPEN specific formulation attribute.</t>
  </si>
  <si>
    <t xml:space="preserve">PLA003</t>
  </si>
  <si>
    <t xml:space="preserve">PL008</t>
  </si>
  <si>
    <t xml:space="preserve">Flat Matte</t>
  </si>
  <si>
    <t xml:space="preserve">flat matte</t>
  </si>
  <si>
    <t xml:space="preserve">Optical / Surface</t>
  </si>
  <si>
    <t xml:space="preserve">Golden SoFlat specific formulation attribute.</t>
  </si>
  <si>
    <t xml:space="preserve">PLA004</t>
  </si>
  <si>
    <t xml:space="preserve">PL007</t>
  </si>
  <si>
    <t xml:space="preserve">Flow Profile</t>
  </si>
  <si>
    <t xml:space="preserve">High Flow</t>
  </si>
  <si>
    <t xml:space="preserve">high flow</t>
  </si>
  <si>
    <t xml:space="preserve">Golden Fluid line attribute.</t>
  </si>
  <si>
    <t xml:space="preserve">PLA005</t>
  </si>
  <si>
    <t xml:space="preserve">PL005</t>
  </si>
  <si>
    <t xml:space="preserve">Brushstroke Retention</t>
  </si>
  <si>
    <t xml:space="preserve">High</t>
  </si>
  <si>
    <t xml:space="preserve">high</t>
  </si>
  <si>
    <t xml:space="preserve">Heavy Body retains brush and knife marks.</t>
  </si>
  <si>
    <t xml:space="preserve">PLA006</t>
  </si>
  <si>
    <t xml:space="preserve">Binder Type</t>
  </si>
  <si>
    <t xml:space="preserve">Modified Oil Binder</t>
  </si>
  <si>
    <t xml:space="preserve">modified oil binder</t>
  </si>
  <si>
    <t xml:space="preserve">Binder</t>
  </si>
  <si>
    <t xml:space="preserve">Water mixable oil formulation attribute.</t>
  </si>
  <si>
    <t xml:space="preserve">Attribute_Value</t>
  </si>
  <si>
    <t xml:space="preserve">Source</t>
  </si>
  <si>
    <t xml:space="preserve">BSA001</t>
  </si>
  <si>
    <t xml:space="preserve">Brand Naming Style</t>
  </si>
  <si>
    <t xml:space="preserve">Internal normalization</t>
  </si>
  <si>
    <t xml:space="preserve">W&amp;N product line naming must not be confused with medium.</t>
  </si>
  <si>
    <t xml:space="preserve">BSA002</t>
  </si>
  <si>
    <t xml:space="preserve">Water Mixable Binder</t>
  </si>
  <si>
    <t xml:space="preserve">yes</t>
  </si>
  <si>
    <t xml:space="preserve">Artisan uses water mixable oil system, not acrylic.</t>
  </si>
  <si>
    <t xml:space="preserve">BSA003</t>
  </si>
  <si>
    <t xml:space="preserve">B002</t>
  </si>
  <si>
    <t xml:space="preserve">Slow Drying Formula</t>
  </si>
  <si>
    <t xml:space="preserve">Golden OPEN has unique open-time behavior.</t>
  </si>
  <si>
    <t xml:space="preserve">BSA004</t>
  </si>
  <si>
    <t xml:space="preserve">Flat Matte Finish</t>
  </si>
  <si>
    <t xml:space="preserve">SoFlat is specifically matte/flat.</t>
  </si>
  <si>
    <t xml:space="preserve">BSA005</t>
  </si>
  <si>
    <t xml:space="preserve">Heavy Body Texture Retention</t>
  </si>
  <si>
    <t xml:space="preserve">Heavy Body retains marks differently from Fluid.</t>
  </si>
  <si>
    <t xml:space="preserve">Definition</t>
  </si>
  <si>
    <t xml:space="preserve">Typical Applies To</t>
  </si>
  <si>
    <t xml:space="preserve">Example Values</t>
  </si>
  <si>
    <t xml:space="preserve">Thickness or flow resistance of paint.</t>
  </si>
  <si>
    <t xml:space="preserve">Product Line / Paint</t>
  </si>
  <si>
    <t xml:space="preserve">Heavy Body, Fluid, Ink Like</t>
  </si>
  <si>
    <t xml:space="preserve">Affects brush marks, leveling, and application method.</t>
  </si>
  <si>
    <t xml:space="preserve">Surface sheen after drying.</t>
  </si>
  <si>
    <t xml:space="preserve">Gloss, Satin, Matte, Flat Matte</t>
  </si>
  <si>
    <t xml:space="preserve">Affects appearance and scanning/photography.</t>
  </si>
  <si>
    <t xml:space="preserve">How long paint remains workable.</t>
  </si>
  <si>
    <t xml:space="preserve">Standard Acrylic, Slow Drying</t>
  </si>
  <si>
    <t xml:space="preserve">Critical distinction between standard acrylic and OPEN type acrylics.</t>
  </si>
  <si>
    <t xml:space="preserve">How easily paint moves or levels.</t>
  </si>
  <si>
    <t xml:space="preserve">Low Flow, High Flow</t>
  </si>
  <si>
    <t xml:space="preserve">Important for fluid acrylics, inks, and watercolor behavior.</t>
  </si>
  <si>
    <t xml:space="preserve">Rheology Type</t>
  </si>
  <si>
    <t xml:space="preserve">How paint behaves under pressure, brushing, or spreading.</t>
  </si>
  <si>
    <t xml:space="preserve">Buttery, Fluid, Stringy, Leveling</t>
  </si>
  <si>
    <t xml:space="preserve">Helps separate paints with same pigment but different handling.</t>
  </si>
  <si>
    <t xml:space="preserve">Brand Unique Attribute</t>
  </si>
  <si>
    <t xml:space="preserve">Any attribute specific to a brand or line that does not fit universal fields.</t>
  </si>
  <si>
    <t xml:space="preserve">Brand / Product Line / Paint</t>
  </si>
  <si>
    <t xml:space="preserve">OPEN Slow Drying, SoFlat Matte</t>
  </si>
  <si>
    <t xml:space="preserve">Prevents forcing unique brand traits into the wrong field.</t>
  </si>
  <si>
    <t xml:space="preserve">Source_Record_ID</t>
  </si>
  <si>
    <t xml:space="preserve">Product_Line</t>
  </si>
  <si>
    <t xml:space="preserve">Pigment_Code_1</t>
  </si>
  <si>
    <t xml:space="preserve">RGB_Red</t>
  </si>
  <si>
    <t xml:space="preserve">RGB_Green</t>
  </si>
  <si>
    <t xml:space="preserve">RGB_Blue</t>
  </si>
  <si>
    <t xml:space="preserve">RGB_Combined</t>
  </si>
  <si>
    <t xml:space="preserve">Swatch</t>
  </si>
  <si>
    <t xml:space="preserve">Data_Source</t>
  </si>
  <si>
    <t xml:space="preserve">Import_Notes</t>
  </si>
  <si>
    <t xml:space="preserve">Measurement_ID</t>
  </si>
  <si>
    <t xml:space="preserve">Behavior_ID</t>
  </si>
  <si>
    <t xml:space="preserve">Source_ID</t>
  </si>
  <si>
    <t xml:space="preserve">Relational_Status</t>
  </si>
  <si>
    <t xml:space="preserve">WN_Colour_Code</t>
  </si>
  <si>
    <t xml:space="preserve">WN_Permanence_Code</t>
  </si>
  <si>
    <t xml:space="preserve">Official_Single_Pigment_Marker</t>
  </si>
  <si>
    <t xml:space="preserve">Pigment_Source_Status</t>
  </si>
  <si>
    <t xml:space="preserve">4</t>
  </si>
  <si>
    <t xml:space="preserve">68,2,6</t>
  </si>
  <si>
    <t xml:space="preserve">Sensual Logic</t>
  </si>
  <si>
    <t xml:space="preserve">Pigment code imported from IndexName.</t>
  </si>
  <si>
    <t xml:space="preserve">MEA000001</t>
  </si>
  <si>
    <t xml:space="preserve">BEH000001</t>
  </si>
  <si>
    <t xml:space="preserve">S001</t>
  </si>
  <si>
    <t xml:space="preserve">Linked in v7</t>
  </si>
  <si>
    <t xml:space="preserve">25</t>
  </si>
  <si>
    <t xml:space="preserve">255,232,0</t>
  </si>
  <si>
    <t xml:space="preserve">MEA000002</t>
  </si>
  <si>
    <t xml:space="preserve">BEH000002</t>
  </si>
  <si>
    <t xml:space="preserve">42</t>
  </si>
  <si>
    <t xml:space="preserve">197,0,15</t>
  </si>
  <si>
    <t xml:space="preserve">MEA000003</t>
  </si>
  <si>
    <t xml:space="preserve">BEH000003</t>
  </si>
  <si>
    <t xml:space="preserve">74</t>
  </si>
  <si>
    <t xml:space="preserve">82,42,31</t>
  </si>
  <si>
    <t xml:space="preserve">MEA000004</t>
  </si>
  <si>
    <t xml:space="preserve">BEH000004</t>
  </si>
  <si>
    <t xml:space="preserve">86</t>
  </si>
  <si>
    <t xml:space="preserve">255,222,0</t>
  </si>
  <si>
    <t xml:space="preserve">MEA000005</t>
  </si>
  <si>
    <t xml:space="preserve">BEH000005</t>
  </si>
  <si>
    <t xml:space="preserve">94</t>
  </si>
  <si>
    <t xml:space="preserve">204,12,22</t>
  </si>
  <si>
    <t xml:space="preserve">MEA000006</t>
  </si>
  <si>
    <t xml:space="preserve">BEH000006</t>
  </si>
  <si>
    <t xml:space="preserve">108</t>
  </si>
  <si>
    <t xml:space="preserve">255,164,0</t>
  </si>
  <si>
    <t xml:space="preserve">MEA000007</t>
  </si>
  <si>
    <t xml:space="preserve">BEH000007</t>
  </si>
  <si>
    <t xml:space="preserve">111</t>
  </si>
  <si>
    <t xml:space="preserve">255,127,15</t>
  </si>
  <si>
    <t xml:space="preserve">MEA000008</t>
  </si>
  <si>
    <t xml:space="preserve">BEH000008</t>
  </si>
  <si>
    <t xml:space="preserve">137</t>
  </si>
  <si>
    <t xml:space="preserve">0,100,160</t>
  </si>
  <si>
    <t xml:space="preserve">MEA000009</t>
  </si>
  <si>
    <t xml:space="preserve">BEH000009</t>
  </si>
  <si>
    <t xml:space="preserve">178</t>
  </si>
  <si>
    <t xml:space="preserve">0,41,117</t>
  </si>
  <si>
    <t xml:space="preserve">MEA000010</t>
  </si>
  <si>
    <t xml:space="preserve">BEH000010</t>
  </si>
  <si>
    <t xml:space="preserve">180</t>
  </si>
  <si>
    <t xml:space="preserve">22,176,100</t>
  </si>
  <si>
    <t xml:space="preserve">MEA000011</t>
  </si>
  <si>
    <t xml:space="preserve">BEH000011</t>
  </si>
  <si>
    <t xml:space="preserve">183</t>
  </si>
  <si>
    <t xml:space="preserve">46,90,76</t>
  </si>
  <si>
    <t xml:space="preserve">MEA000012</t>
  </si>
  <si>
    <t xml:space="preserve">BEH000012</t>
  </si>
  <si>
    <t xml:space="preserve">184</t>
  </si>
  <si>
    <t xml:space="preserve">0,123,110</t>
  </si>
  <si>
    <t xml:space="preserve">MEA000013</t>
  </si>
  <si>
    <t xml:space="preserve">BEH000013</t>
  </si>
  <si>
    <t xml:space="preserve">190</t>
  </si>
  <si>
    <t xml:space="preserve">0,99,127</t>
  </si>
  <si>
    <t xml:space="preserve">MEA000014</t>
  </si>
  <si>
    <t xml:space="preserve">BEH000014</t>
  </si>
  <si>
    <t xml:space="preserve">191</t>
  </si>
  <si>
    <t xml:space="preserve">0,157,160</t>
  </si>
  <si>
    <t xml:space="preserve">MEA000015</t>
  </si>
  <si>
    <t xml:space="preserve">BEH000015</t>
  </si>
  <si>
    <t xml:space="preserve">192</t>
  </si>
  <si>
    <t xml:space="preserve">78,23,80</t>
  </si>
  <si>
    <t xml:space="preserve">MEA000016</t>
  </si>
  <si>
    <t xml:space="preserve">BEH000016</t>
  </si>
  <si>
    <t xml:space="preserve">263</t>
  </si>
  <si>
    <t xml:space="preserve">50,61,164</t>
  </si>
  <si>
    <t xml:space="preserve">MEA000017</t>
  </si>
  <si>
    <t xml:space="preserve">BEH000017</t>
  </si>
  <si>
    <t xml:space="preserve">285</t>
  </si>
  <si>
    <t xml:space="preserve">168,113,37</t>
  </si>
  <si>
    <t xml:space="preserve">MEA000018</t>
  </si>
  <si>
    <t xml:space="preserve">BEH000018</t>
  </si>
  <si>
    <t xml:space="preserve">294</t>
  </si>
  <si>
    <t xml:space="preserve">71,74,14</t>
  </si>
  <si>
    <t xml:space="preserve">MEA000019</t>
  </si>
  <si>
    <t xml:space="preserve">BEH000019</t>
  </si>
  <si>
    <t xml:space="preserve">319</t>
  </si>
  <si>
    <t xml:space="preserve">144,87,0</t>
  </si>
  <si>
    <t xml:space="preserve">MEA000020</t>
  </si>
  <si>
    <t xml:space="preserve">BEH000020</t>
  </si>
  <si>
    <t xml:space="preserve">320</t>
  </si>
  <si>
    <t xml:space="preserve">119,85,26</t>
  </si>
  <si>
    <t xml:space="preserve">MEA000021</t>
  </si>
  <si>
    <t xml:space="preserve">BEH000021</t>
  </si>
  <si>
    <t xml:space="preserve">321</t>
  </si>
  <si>
    <t xml:space="preserve">33,23,57</t>
  </si>
  <si>
    <t xml:space="preserve">MEA000022</t>
  </si>
  <si>
    <t xml:space="preserve">BEH000022</t>
  </si>
  <si>
    <t xml:space="preserve">331</t>
  </si>
  <si>
    <t xml:space="preserve">16,15,17</t>
  </si>
  <si>
    <t xml:space="preserve">MEA000023</t>
  </si>
  <si>
    <t xml:space="preserve">BEH000023</t>
  </si>
  <si>
    <t xml:space="preserve">337</t>
  </si>
  <si>
    <t xml:space="preserve">26,27,27</t>
  </si>
  <si>
    <t xml:space="preserve">MEA000024</t>
  </si>
  <si>
    <t xml:space="preserve">BEH000024</t>
  </si>
  <si>
    <t xml:space="preserve">347</t>
  </si>
  <si>
    <t xml:space="preserve">235,215,84</t>
  </si>
  <si>
    <t xml:space="preserve">MEA000025</t>
  </si>
  <si>
    <t xml:space="preserve">BEH000025</t>
  </si>
  <si>
    <t xml:space="preserve">386</t>
  </si>
  <si>
    <t xml:space="preserve">39,38,39</t>
  </si>
  <si>
    <t xml:space="preserve">MEA000026</t>
  </si>
  <si>
    <t xml:space="preserve">BEH000026</t>
  </si>
  <si>
    <t xml:space="preserve">425</t>
  </si>
  <si>
    <t xml:space="preserve">222,156,72</t>
  </si>
  <si>
    <t xml:space="preserve">MEA000027</t>
  </si>
  <si>
    <t xml:space="preserve">BEH000027</t>
  </si>
  <si>
    <t xml:space="preserve">426</t>
  </si>
  <si>
    <t xml:space="preserve">255,227,151</t>
  </si>
  <si>
    <t xml:space="preserve">MEA000028</t>
  </si>
  <si>
    <t xml:space="preserve">BEH000028</t>
  </si>
  <si>
    <t xml:space="preserve">447</t>
  </si>
  <si>
    <t xml:space="preserve">47,43,32</t>
  </si>
  <si>
    <t xml:space="preserve">MEA000029</t>
  </si>
  <si>
    <t xml:space="preserve">BEH000029</t>
  </si>
  <si>
    <t xml:space="preserve">459</t>
  </si>
  <si>
    <t xml:space="preserve">57,95,58</t>
  </si>
  <si>
    <t xml:space="preserve">MEA000030</t>
  </si>
  <si>
    <t xml:space="preserve">BEH000030</t>
  </si>
  <si>
    <t xml:space="preserve">468</t>
  </si>
  <si>
    <t xml:space="preserve">84,2,17</t>
  </si>
  <si>
    <t xml:space="preserve">MEA000031</t>
  </si>
  <si>
    <t xml:space="preserve">BEH000031</t>
  </si>
  <si>
    <t xml:space="preserve">489</t>
  </si>
  <si>
    <t xml:space="preserve">71,16,26</t>
  </si>
  <si>
    <t xml:space="preserve">MEA000032</t>
  </si>
  <si>
    <t xml:space="preserve">BEH000032</t>
  </si>
  <si>
    <t xml:space="preserve">491</t>
  </si>
  <si>
    <t xml:space="preserve">68,50,73</t>
  </si>
  <si>
    <t xml:space="preserve">MEA000033</t>
  </si>
  <si>
    <t xml:space="preserve">BEH000033</t>
  </si>
  <si>
    <t xml:space="preserve">505</t>
  </si>
  <si>
    <t xml:space="preserve">34,24,24</t>
  </si>
  <si>
    <t xml:space="preserve">MEA000034</t>
  </si>
  <si>
    <t xml:space="preserve">BEH000034</t>
  </si>
  <si>
    <t xml:space="preserve">538</t>
  </si>
  <si>
    <t xml:space="preserve">18,28,41</t>
  </si>
  <si>
    <t xml:space="preserve">MEA000035</t>
  </si>
  <si>
    <t xml:space="preserve">BEH000035</t>
  </si>
  <si>
    <t xml:space="preserve">545</t>
  </si>
  <si>
    <t xml:space="preserve">108,8,36</t>
  </si>
  <si>
    <t xml:space="preserve">MEA000036</t>
  </si>
  <si>
    <t xml:space="preserve">BEH000036</t>
  </si>
  <si>
    <t xml:space="preserve">548</t>
  </si>
  <si>
    <t xml:space="preserve">144,32,40</t>
  </si>
  <si>
    <t xml:space="preserve">MEA000037</t>
  </si>
  <si>
    <t xml:space="preserve">BEH000037</t>
  </si>
  <si>
    <t xml:space="preserve">552</t>
  </si>
  <si>
    <t xml:space="preserve">130,83,39</t>
  </si>
  <si>
    <t xml:space="preserve">MEA000038</t>
  </si>
  <si>
    <t xml:space="preserve">BEH000038</t>
  </si>
  <si>
    <t xml:space="preserve">554</t>
  </si>
  <si>
    <t xml:space="preserve">64,49,35</t>
  </si>
  <si>
    <t xml:space="preserve">MEA000039</t>
  </si>
  <si>
    <t xml:space="preserve">BEH000039</t>
  </si>
  <si>
    <t xml:space="preserve">587</t>
  </si>
  <si>
    <t xml:space="preserve">69,53,53</t>
  </si>
  <si>
    <t xml:space="preserve">MEA000040</t>
  </si>
  <si>
    <t xml:space="preserve">BEH000040</t>
  </si>
  <si>
    <t xml:space="preserve">603</t>
  </si>
  <si>
    <t xml:space="preserve">213,33,22</t>
  </si>
  <si>
    <t xml:space="preserve">MEA000041</t>
  </si>
  <si>
    <t xml:space="preserve">BEH000041</t>
  </si>
  <si>
    <t xml:space="preserve">635</t>
  </si>
  <si>
    <t xml:space="preserve">146,75,63</t>
  </si>
  <si>
    <t xml:space="preserve">MEA000042</t>
  </si>
  <si>
    <t xml:space="preserve">BEH000042</t>
  </si>
  <si>
    <t xml:space="preserve">637</t>
  </si>
  <si>
    <t xml:space="preserve">38,59,47</t>
  </si>
  <si>
    <t xml:space="preserve">MEA000043</t>
  </si>
  <si>
    <t xml:space="preserve">BEH000043</t>
  </si>
  <si>
    <t xml:space="preserve">644</t>
  </si>
  <si>
    <t xml:space="preserve">251,250,241</t>
  </si>
  <si>
    <t xml:space="preserve">MEA000044</t>
  </si>
  <si>
    <t xml:space="preserve">BEH000044</t>
  </si>
  <si>
    <t xml:space="preserve">647</t>
  </si>
  <si>
    <t xml:space="preserve">149,66,40</t>
  </si>
  <si>
    <t xml:space="preserve">MEA000045</t>
  </si>
  <si>
    <t xml:space="preserve">BEH000045</t>
  </si>
  <si>
    <t xml:space="preserve">653</t>
  </si>
  <si>
    <t xml:space="preserve">233,162,0</t>
  </si>
  <si>
    <t xml:space="preserve">MEA000046</t>
  </si>
  <si>
    <t xml:space="preserve">BEH000046</t>
  </si>
  <si>
    <t xml:space="preserve">657</t>
  </si>
  <si>
    <t xml:space="preserve">70,21,17</t>
  </si>
  <si>
    <t xml:space="preserve">MEA000047</t>
  </si>
  <si>
    <t xml:space="preserve">BEH000047</t>
  </si>
  <si>
    <t xml:space="preserve">672</t>
  </si>
  <si>
    <t xml:space="preserve">62,38,126</t>
  </si>
  <si>
    <t xml:space="preserve">MEA000048</t>
  </si>
  <si>
    <t xml:space="preserve">BEH000048</t>
  </si>
  <si>
    <t xml:space="preserve">676</t>
  </si>
  <si>
    <t xml:space="preserve">39,27,19</t>
  </si>
  <si>
    <t xml:space="preserve">MEA000049</t>
  </si>
  <si>
    <t xml:space="preserve">BEH000049</t>
  </si>
  <si>
    <t xml:space="preserve">678</t>
  </si>
  <si>
    <t xml:space="preserve">127,49,29</t>
  </si>
  <si>
    <t xml:space="preserve">MEA000050</t>
  </si>
  <si>
    <t xml:space="preserve">BEH000050</t>
  </si>
  <si>
    <t xml:space="preserve">692</t>
  </si>
  <si>
    <t xml:space="preserve">0,62,53</t>
  </si>
  <si>
    <t xml:space="preserve">MEA000051</t>
  </si>
  <si>
    <t xml:space="preserve">BEH000051</t>
  </si>
  <si>
    <t xml:space="preserve">708</t>
  </si>
  <si>
    <t xml:space="preserve">0,134,84</t>
  </si>
  <si>
    <t xml:space="preserve">MEA000052</t>
  </si>
  <si>
    <t xml:space="preserve">BEH000052</t>
  </si>
  <si>
    <t xml:space="preserve">720</t>
  </si>
  <si>
    <t xml:space="preserve">0,50,40</t>
  </si>
  <si>
    <t xml:space="preserve">MEA000053</t>
  </si>
  <si>
    <t xml:space="preserve">BEH000053</t>
  </si>
  <si>
    <t xml:space="preserve">721</t>
  </si>
  <si>
    <t xml:space="preserve">0,60,33</t>
  </si>
  <si>
    <t xml:space="preserve">MEA000054</t>
  </si>
  <si>
    <t xml:space="preserve">BEH000054</t>
  </si>
  <si>
    <t xml:space="preserve">722</t>
  </si>
  <si>
    <t xml:space="preserve">248,65,0</t>
  </si>
  <si>
    <t xml:space="preserve">MEA000055</t>
  </si>
  <si>
    <t xml:space="preserve">BEH000055</t>
  </si>
  <si>
    <t xml:space="preserve">724</t>
  </si>
  <si>
    <t xml:space="preserve">129,0,24</t>
  </si>
  <si>
    <t xml:space="preserve">MEA000056</t>
  </si>
  <si>
    <t xml:space="preserve">BEH000056</t>
  </si>
  <si>
    <t xml:space="preserve">725</t>
  </si>
  <si>
    <t xml:space="preserve">255,204,0</t>
  </si>
  <si>
    <t xml:space="preserve">MEA000057</t>
  </si>
  <si>
    <t xml:space="preserve">BEH000057</t>
  </si>
  <si>
    <t xml:space="preserve">730</t>
  </si>
  <si>
    <t xml:space="preserve">255,145,0</t>
  </si>
  <si>
    <t xml:space="preserve">MEA000058</t>
  </si>
  <si>
    <t xml:space="preserve">BEH000058</t>
  </si>
  <si>
    <t xml:space="preserve">731</t>
  </si>
  <si>
    <t xml:space="preserve">29,23,41</t>
  </si>
  <si>
    <t xml:space="preserve">MEA000059</t>
  </si>
  <si>
    <t xml:space="preserve">BEH000059</t>
  </si>
  <si>
    <t xml:space="preserve">733</t>
  </si>
  <si>
    <t xml:space="preserve">151,104,47</t>
  </si>
  <si>
    <t xml:space="preserve">MEA000060</t>
  </si>
  <si>
    <t xml:space="preserve">BEH000060</t>
  </si>
  <si>
    <t xml:space="preserve">748</t>
  </si>
  <si>
    <t xml:space="preserve">249,248,235</t>
  </si>
  <si>
    <t xml:space="preserve">MEA000061</t>
  </si>
  <si>
    <t xml:space="preserve">BEH000061</t>
  </si>
  <si>
    <t xml:space="preserve">154,44,67</t>
  </si>
  <si>
    <t xml:space="preserve">MEA000062</t>
  </si>
  <si>
    <t xml:space="preserve">BEH000062</t>
  </si>
  <si>
    <t xml:space="preserve">145,76,54</t>
  </si>
  <si>
    <t xml:space="preserve">MEA000063</t>
  </si>
  <si>
    <t xml:space="preserve">BEH000063</t>
  </si>
  <si>
    <t xml:space="preserve">76</t>
  </si>
  <si>
    <t xml:space="preserve">104,72,61</t>
  </si>
  <si>
    <t xml:space="preserve">MEA000064</t>
  </si>
  <si>
    <t xml:space="preserve">BEH000064</t>
  </si>
  <si>
    <t xml:space="preserve">255,229,46</t>
  </si>
  <si>
    <t xml:space="preserve">MEA000065</t>
  </si>
  <si>
    <t xml:space="preserve">BEH000065</t>
  </si>
  <si>
    <t xml:space="preserve">89</t>
  </si>
  <si>
    <t xml:space="preserve">253,111,42</t>
  </si>
  <si>
    <t xml:space="preserve">MEA000066</t>
  </si>
  <si>
    <t xml:space="preserve">BEH000066</t>
  </si>
  <si>
    <t xml:space="preserve">210,59,55</t>
  </si>
  <si>
    <t xml:space="preserve">MEA000067</t>
  </si>
  <si>
    <t xml:space="preserve">BEH000067</t>
  </si>
  <si>
    <t xml:space="preserve">106</t>
  </si>
  <si>
    <t xml:space="preserve">233,69,47</t>
  </si>
  <si>
    <t xml:space="preserve">MEA000068</t>
  </si>
  <si>
    <t xml:space="preserve">BEH000068</t>
  </si>
  <si>
    <t xml:space="preserve">255,189,0</t>
  </si>
  <si>
    <t xml:space="preserve">MEA000069</t>
  </si>
  <si>
    <t xml:space="preserve">BEH000069</t>
  </si>
  <si>
    <t xml:space="preserve">16,117,167</t>
  </si>
  <si>
    <t xml:space="preserve">MEA000070</t>
  </si>
  <si>
    <t xml:space="preserve">BEH000070</t>
  </si>
  <si>
    <t xml:space="preserve">33,104,201</t>
  </si>
  <si>
    <t xml:space="preserve">MEA000071</t>
  </si>
  <si>
    <t xml:space="preserve">BEH000071</t>
  </si>
  <si>
    <t xml:space="preserve">0,166,177</t>
  </si>
  <si>
    <t xml:space="preserve">MEA000072</t>
  </si>
  <si>
    <t xml:space="preserve">BEH000072</t>
  </si>
  <si>
    <t xml:space="preserve">249</t>
  </si>
  <si>
    <t xml:space="preserve">210,64,53</t>
  </si>
  <si>
    <t xml:space="preserve">MEA000073</t>
  </si>
  <si>
    <t xml:space="preserve">BEH000073</t>
  </si>
  <si>
    <t xml:space="preserve">322</t>
  </si>
  <si>
    <t xml:space="preserve">56,59,88</t>
  </si>
  <si>
    <t xml:space="preserve">MEA000074</t>
  </si>
  <si>
    <t xml:space="preserve">BEH000074</t>
  </si>
  <si>
    <t xml:space="preserve">44,41,43</t>
  </si>
  <si>
    <t xml:space="preserve">MEA000075</t>
  </si>
  <si>
    <t xml:space="preserve">BEH000075</t>
  </si>
  <si>
    <t xml:space="preserve">335</t>
  </si>
  <si>
    <t xml:space="preserve">39,33,35</t>
  </si>
  <si>
    <t xml:space="preserve">MEA000076</t>
  </si>
  <si>
    <t xml:space="preserve">BEH000076</t>
  </si>
  <si>
    <t xml:space="preserve">57,56,60</t>
  </si>
  <si>
    <t xml:space="preserve">MEA000077</t>
  </si>
  <si>
    <t xml:space="preserve">BEH000077</t>
  </si>
  <si>
    <t xml:space="preserve">345</t>
  </si>
  <si>
    <t xml:space="preserve">255,234,12</t>
  </si>
  <si>
    <t xml:space="preserve">MEA000078</t>
  </si>
  <si>
    <t xml:space="preserve">BEH000078</t>
  </si>
  <si>
    <t xml:space="preserve">360</t>
  </si>
  <si>
    <t xml:space="preserve">115,57,152</t>
  </si>
  <si>
    <t xml:space="preserve">MEA000079</t>
  </si>
  <si>
    <t xml:space="preserve">BEH000079</t>
  </si>
  <si>
    <t xml:space="preserve">380</t>
  </si>
  <si>
    <t xml:space="preserve">119,50,117</t>
  </si>
  <si>
    <t xml:space="preserve">MEA000080</t>
  </si>
  <si>
    <t xml:space="preserve">BEH000080</t>
  </si>
  <si>
    <t xml:space="preserve">384</t>
  </si>
  <si>
    <t xml:space="preserve">255,120,28</t>
  </si>
  <si>
    <t xml:space="preserve">MEA000081</t>
  </si>
  <si>
    <t xml:space="preserve">BEH000081</t>
  </si>
  <si>
    <t xml:space="preserve">223,154,72</t>
  </si>
  <si>
    <t xml:space="preserve">MEA000082</t>
  </si>
  <si>
    <t xml:space="preserve">BEH000082</t>
  </si>
  <si>
    <t xml:space="preserve">453</t>
  </si>
  <si>
    <t xml:space="preserve">237,96,47</t>
  </si>
  <si>
    <t xml:space="preserve">MEA000083</t>
  </si>
  <si>
    <t xml:space="preserve">BEH000083</t>
  </si>
  <si>
    <t xml:space="preserve">78,107,82</t>
  </si>
  <si>
    <t xml:space="preserve">MEA000084</t>
  </si>
  <si>
    <t xml:space="preserve">BEH000084</t>
  </si>
  <si>
    <t xml:space="preserve">466</t>
  </si>
  <si>
    <t xml:space="preserve">156,44,60</t>
  </si>
  <si>
    <t xml:space="preserve">MEA000085</t>
  </si>
  <si>
    <t xml:space="preserve">BEH000085</t>
  </si>
  <si>
    <t xml:space="preserve">470</t>
  </si>
  <si>
    <t xml:space="preserve">76,53,66</t>
  </si>
  <si>
    <t xml:space="preserve">MEA000086</t>
  </si>
  <si>
    <t xml:space="preserve">BEH000086</t>
  </si>
  <si>
    <t xml:space="preserve">502</t>
  </si>
  <si>
    <t xml:space="preserve">157,49,67</t>
  </si>
  <si>
    <t xml:space="preserve">MEA000087</t>
  </si>
  <si>
    <t xml:space="preserve">BEH000087</t>
  </si>
  <si>
    <t xml:space="preserve">59,54,53</t>
  </si>
  <si>
    <t xml:space="preserve">MEA000088</t>
  </si>
  <si>
    <t xml:space="preserve">BEH000088</t>
  </si>
  <si>
    <t xml:space="preserve">507</t>
  </si>
  <si>
    <t xml:space="preserve">125,54,69</t>
  </si>
  <si>
    <t xml:space="preserve">MEA000089</t>
  </si>
  <si>
    <t xml:space="preserve">BEH000089</t>
  </si>
  <si>
    <t xml:space="preserve">508</t>
  </si>
  <si>
    <t xml:space="preserve">255,179,0</t>
  </si>
  <si>
    <t xml:space="preserve">MEA000090</t>
  </si>
  <si>
    <t xml:space="preserve">BEH000090</t>
  </si>
  <si>
    <t xml:space="preserve">512</t>
  </si>
  <si>
    <t xml:space="preserve">255,245,251</t>
  </si>
  <si>
    <t xml:space="preserve">MEA000091</t>
  </si>
  <si>
    <t xml:space="preserve">BEH000091</t>
  </si>
  <si>
    <t xml:space="preserve">523</t>
  </si>
  <si>
    <t xml:space="preserve">0,128,203</t>
  </si>
  <si>
    <t xml:space="preserve">MEA000092</t>
  </si>
  <si>
    <t xml:space="preserve">BEH000092</t>
  </si>
  <si>
    <t xml:space="preserve">524</t>
  </si>
  <si>
    <t xml:space="preserve">196,10,73</t>
  </si>
  <si>
    <t xml:space="preserve">MEA000093</t>
  </si>
  <si>
    <t xml:space="preserve">BEH000093</t>
  </si>
  <si>
    <t xml:space="preserve">527</t>
  </si>
  <si>
    <t xml:space="preserve">MEA000094</t>
  </si>
  <si>
    <t xml:space="preserve">BEH000094</t>
  </si>
  <si>
    <t xml:space="preserve">27,64,111</t>
  </si>
  <si>
    <t xml:space="preserve">MEA000095</t>
  </si>
  <si>
    <t xml:space="preserve">BEH000095</t>
  </si>
  <si>
    <t xml:space="preserve">191,119,66</t>
  </si>
  <si>
    <t xml:space="preserve">MEA000096</t>
  </si>
  <si>
    <t xml:space="preserve">BEH000096</t>
  </si>
  <si>
    <t xml:space="preserve">151,112,74</t>
  </si>
  <si>
    <t xml:space="preserve">MEA000097</t>
  </si>
  <si>
    <t xml:space="preserve">BEH000097</t>
  </si>
  <si>
    <t xml:space="preserve">564</t>
  </si>
  <si>
    <t xml:space="preserve">118,61,65</t>
  </si>
  <si>
    <t xml:space="preserve">MEA000098</t>
  </si>
  <si>
    <t xml:space="preserve">BEH000098</t>
  </si>
  <si>
    <t xml:space="preserve">593</t>
  </si>
  <si>
    <t xml:space="preserve">171,0,106</t>
  </si>
  <si>
    <t xml:space="preserve">MEA000099</t>
  </si>
  <si>
    <t xml:space="preserve">BEH000099</t>
  </si>
  <si>
    <t xml:space="preserve">623</t>
  </si>
  <si>
    <t xml:space="preserve">173,60,65</t>
  </si>
  <si>
    <t xml:space="preserve">MEA000100</t>
  </si>
  <si>
    <t xml:space="preserve">BEH000100</t>
  </si>
  <si>
    <t xml:space="preserve">625</t>
  </si>
  <si>
    <t xml:space="preserve">81,51,161</t>
  </si>
  <si>
    <t xml:space="preserve">MEA000101</t>
  </si>
  <si>
    <t xml:space="preserve">BEH000101</t>
  </si>
  <si>
    <t xml:space="preserve">660</t>
  </si>
  <si>
    <t xml:space="preserve">49,52,174</t>
  </si>
  <si>
    <t xml:space="preserve">MEA000102</t>
  </si>
  <si>
    <t xml:space="preserve">BEH000102</t>
  </si>
  <si>
    <t xml:space="preserve">667</t>
  </si>
  <si>
    <t xml:space="preserve">58,109,218</t>
  </si>
  <si>
    <t xml:space="preserve">MEA000103</t>
  </si>
  <si>
    <t xml:space="preserve">BEH000103</t>
  </si>
  <si>
    <t xml:space="preserve">49,65,65</t>
  </si>
  <si>
    <t xml:space="preserve">MEA000104</t>
  </si>
  <si>
    <t xml:space="preserve">BEH000104</t>
  </si>
  <si>
    <t xml:space="preserve">706</t>
  </si>
  <si>
    <t xml:space="preserve">62,50,87</t>
  </si>
  <si>
    <t xml:space="preserve">MEA000105</t>
  </si>
  <si>
    <t xml:space="preserve">BEH000105</t>
  </si>
  <si>
    <t xml:space="preserve">30,83,74</t>
  </si>
  <si>
    <t xml:space="preserve">MEA000106</t>
  </si>
  <si>
    <t xml:space="preserve">BEH000106</t>
  </si>
  <si>
    <t xml:space="preserve">86,61,124</t>
  </si>
  <si>
    <t xml:space="preserve">MEA000107</t>
  </si>
  <si>
    <t xml:space="preserve">BEH000107</t>
  </si>
  <si>
    <t xml:space="preserve">744</t>
  </si>
  <si>
    <t xml:space="preserve">209,148,75</t>
  </si>
  <si>
    <t xml:space="preserve">MEA000108</t>
  </si>
  <si>
    <t xml:space="preserve">BEH000108</t>
  </si>
  <si>
    <t xml:space="preserve">246,238,242</t>
  </si>
  <si>
    <t xml:space="preserve">MEA000109</t>
  </si>
  <si>
    <t xml:space="preserve">BEH000109</t>
  </si>
  <si>
    <t xml:space="preserve">60</t>
  </si>
  <si>
    <t xml:space="preserve">224,186,144</t>
  </si>
  <si>
    <t xml:space="preserve">MEA000110</t>
  </si>
  <si>
    <t xml:space="preserve">BEH000110</t>
  </si>
  <si>
    <t xml:space="preserve">87,51,47</t>
  </si>
  <si>
    <t xml:space="preserve">MEA000111</t>
  </si>
  <si>
    <t xml:space="preserve">BEH000111</t>
  </si>
  <si>
    <t xml:space="preserve">73,57,55</t>
  </si>
  <si>
    <t xml:space="preserve">MEA000112</t>
  </si>
  <si>
    <t xml:space="preserve">BEH000112</t>
  </si>
  <si>
    <t xml:space="preserve">95</t>
  </si>
  <si>
    <t xml:space="preserve">190,37,37</t>
  </si>
  <si>
    <t xml:space="preserve">MEA000113</t>
  </si>
  <si>
    <t xml:space="preserve">BEH000113</t>
  </si>
  <si>
    <t xml:space="preserve">115</t>
  </si>
  <si>
    <t xml:space="preserve">255,161,0</t>
  </si>
  <si>
    <t xml:space="preserve">MEA000114</t>
  </si>
  <si>
    <t xml:space="preserve">BEH000114</t>
  </si>
  <si>
    <t xml:space="preserve">120</t>
  </si>
  <si>
    <t xml:space="preserve">255,186,0</t>
  </si>
  <si>
    <t xml:space="preserve">MEA000115</t>
  </si>
  <si>
    <t xml:space="preserve">BEH000115</t>
  </si>
  <si>
    <t xml:space="preserve">37,80,180</t>
  </si>
  <si>
    <t xml:space="preserve">Pigment code not provided in Sensual Logic source row.</t>
  </si>
  <si>
    <t xml:space="preserve">MEA000116</t>
  </si>
  <si>
    <t xml:space="preserve">BEH000116</t>
  </si>
  <si>
    <t xml:space="preserve">203</t>
  </si>
  <si>
    <t xml:space="preserve">167,1,33</t>
  </si>
  <si>
    <t xml:space="preserve">MEA000117</t>
  </si>
  <si>
    <t xml:space="preserve">BEH000117</t>
  </si>
  <si>
    <t xml:space="preserve">147,127,46</t>
  </si>
  <si>
    <t xml:space="preserve">MEA000118</t>
  </si>
  <si>
    <t xml:space="preserve">BEH000118</t>
  </si>
  <si>
    <t xml:space="preserve">311</t>
  </si>
  <si>
    <t xml:space="preserve">47,58,52</t>
  </si>
  <si>
    <t xml:space="preserve">MEA000119</t>
  </si>
  <si>
    <t xml:space="preserve">BEH000119</t>
  </si>
  <si>
    <t xml:space="preserve">43,41,44</t>
  </si>
  <si>
    <t xml:space="preserve">MEA000120</t>
  </si>
  <si>
    <t xml:space="preserve">BEH000120</t>
  </si>
  <si>
    <t xml:space="preserve">42,41,45</t>
  </si>
  <si>
    <t xml:space="preserve">MEA000121</t>
  </si>
  <si>
    <t xml:space="preserve">BEH000121</t>
  </si>
  <si>
    <t xml:space="preserve">346</t>
  </si>
  <si>
    <t xml:space="preserve">255,227,0</t>
  </si>
  <si>
    <t xml:space="preserve">MEA000122</t>
  </si>
  <si>
    <t xml:space="preserve">BEH000122</t>
  </si>
  <si>
    <t xml:space="preserve">415</t>
  </si>
  <si>
    <t xml:space="preserve">255,247,254</t>
  </si>
  <si>
    <t xml:space="preserve">MEA000123</t>
  </si>
  <si>
    <t xml:space="preserve">BEH000123</t>
  </si>
  <si>
    <t xml:space="preserve">488</t>
  </si>
  <si>
    <t xml:space="preserve">106,36,58</t>
  </si>
  <si>
    <t xml:space="preserve">MEA000124</t>
  </si>
  <si>
    <t xml:space="preserve">BEH000124</t>
  </si>
  <si>
    <t xml:space="preserve">522</t>
  </si>
  <si>
    <t xml:space="preserve">14,50,55</t>
  </si>
  <si>
    <t xml:space="preserve">MEA000125</t>
  </si>
  <si>
    <t xml:space="preserve">BEH000125</t>
  </si>
  <si>
    <t xml:space="preserve">533</t>
  </si>
  <si>
    <t xml:space="preserve">182,34,60</t>
  </si>
  <si>
    <t xml:space="preserve">MEA000126</t>
  </si>
  <si>
    <t xml:space="preserve">BEH000126</t>
  </si>
  <si>
    <t xml:space="preserve">535</t>
  </si>
  <si>
    <t xml:space="preserve">26,54,118</t>
  </si>
  <si>
    <t xml:space="preserve">MEA000127</t>
  </si>
  <si>
    <t xml:space="preserve">BEH000127</t>
  </si>
  <si>
    <t xml:space="preserve">537</t>
  </si>
  <si>
    <t xml:space="preserve">255,200,0</t>
  </si>
  <si>
    <t xml:space="preserve">MEA000128</t>
  </si>
  <si>
    <t xml:space="preserve">BEH000128</t>
  </si>
  <si>
    <t xml:space="preserve">541</t>
  </si>
  <si>
    <t xml:space="preserve">42,37,54</t>
  </si>
  <si>
    <t xml:space="preserve">MEA000129</t>
  </si>
  <si>
    <t xml:space="preserve">BEH000129</t>
  </si>
  <si>
    <t xml:space="preserve">116,71,52</t>
  </si>
  <si>
    <t xml:space="preserve">MEA000130</t>
  </si>
  <si>
    <t xml:space="preserve">BEH000130</t>
  </si>
  <si>
    <t xml:space="preserve">65,53,46</t>
  </si>
  <si>
    <t xml:space="preserve">MEA000131</t>
  </si>
  <si>
    <t xml:space="preserve">BEH000131</t>
  </si>
  <si>
    <t xml:space="preserve">126,43,36</t>
  </si>
  <si>
    <t xml:space="preserve">MEA000132</t>
  </si>
  <si>
    <t xml:space="preserve">BEH000132</t>
  </si>
  <si>
    <t xml:space="preserve">599</t>
  </si>
  <si>
    <t xml:space="preserve">51,100,58</t>
  </si>
  <si>
    <t xml:space="preserve">MEA000133</t>
  </si>
  <si>
    <t xml:space="preserve">BEH000133</t>
  </si>
  <si>
    <t xml:space="preserve">254,246,253</t>
  </si>
  <si>
    <t xml:space="preserve">MEA000134</t>
  </si>
  <si>
    <t xml:space="preserve">BEH000134</t>
  </si>
  <si>
    <t xml:space="preserve">191,137,31</t>
  </si>
  <si>
    <t xml:space="preserve">MEA000135</t>
  </si>
  <si>
    <t xml:space="preserve">BEH000135</t>
  </si>
  <si>
    <t xml:space="preserve">54,47,83</t>
  </si>
  <si>
    <t xml:space="preserve">MEA000136</t>
  </si>
  <si>
    <t xml:space="preserve">BEH000136</t>
  </si>
  <si>
    <t xml:space="preserve">682</t>
  </si>
  <si>
    <t xml:space="preserve">212,34,32</t>
  </si>
  <si>
    <t xml:space="preserve">MEA000137</t>
  </si>
  <si>
    <t xml:space="preserve">BEH000137</t>
  </si>
  <si>
    <t xml:space="preserve">728</t>
  </si>
  <si>
    <t xml:space="preserve">48,40,44</t>
  </si>
  <si>
    <t xml:space="preserve">MEA000138</t>
  </si>
  <si>
    <t xml:space="preserve">BEH000138</t>
  </si>
  <si>
    <t xml:space="preserve">188,134,61</t>
  </si>
  <si>
    <t xml:space="preserve">MEA000139</t>
  </si>
  <si>
    <t xml:space="preserve">BEH000139</t>
  </si>
  <si>
    <t xml:space="preserve">19</t>
  </si>
  <si>
    <t xml:space="preserve">255,206,0</t>
  </si>
  <si>
    <t xml:space="preserve">Pigment code, opacity, permanence, ASTM and series updated from official Winsor &amp; Newton Professional Acrylic Colour web table.</t>
  </si>
  <si>
    <t xml:space="preserve">MEA000140</t>
  </si>
  <si>
    <t xml:space="preserve">BEH000140</t>
  </si>
  <si>
    <t xml:space="preserve">~</t>
  </si>
  <si>
    <t xml:space="preserve">Official W&amp;N Website</t>
  </si>
  <si>
    <t xml:space="preserve">255,235,0</t>
  </si>
  <si>
    <t xml:space="preserve">MEA000141</t>
  </si>
  <si>
    <t xml:space="preserve">BEH000141</t>
  </si>
  <si>
    <t xml:space="preserve">39</t>
  </si>
  <si>
    <t xml:space="preserve">255,155,0</t>
  </si>
  <si>
    <t xml:space="preserve">MEA000142</t>
  </si>
  <si>
    <t xml:space="preserve">BEH000142</t>
  </si>
  <si>
    <t xml:space="preserve">PBk11,PW6,PY42</t>
  </si>
  <si>
    <t xml:space="preserve">222,186,123</t>
  </si>
  <si>
    <t xml:space="preserve">MEA000143</t>
  </si>
  <si>
    <t xml:space="preserve">BEH000143</t>
  </si>
  <si>
    <t xml:space="preserve">81,36,24</t>
  </si>
  <si>
    <t xml:space="preserve">MEA000144</t>
  </si>
  <si>
    <t xml:space="preserve">BEH000144</t>
  </si>
  <si>
    <t xml:space="preserve">84,50,29</t>
  </si>
  <si>
    <t xml:space="preserve">MEA000145</t>
  </si>
  <si>
    <t xml:space="preserve">BEH000145</t>
  </si>
  <si>
    <t xml:space="preserve">255,238,18</t>
  </si>
  <si>
    <t xml:space="preserve">MEA000146</t>
  </si>
  <si>
    <t xml:space="preserve">BEH000146</t>
  </si>
  <si>
    <t xml:space="preserve">255,122,0</t>
  </si>
  <si>
    <t xml:space="preserve">MEA000147</t>
  </si>
  <si>
    <t xml:space="preserve">BEH000147</t>
  </si>
  <si>
    <t xml:space="preserve">97</t>
  </si>
  <si>
    <t xml:space="preserve">170,20,40</t>
  </si>
  <si>
    <t xml:space="preserve">MEA000148</t>
  </si>
  <si>
    <t xml:space="preserve">BEH000148</t>
  </si>
  <si>
    <t xml:space="preserve">99</t>
  </si>
  <si>
    <t xml:space="preserve">106,37,39</t>
  </si>
  <si>
    <t xml:space="preserve">MEA000149</t>
  </si>
  <si>
    <t xml:space="preserve">BEH000149</t>
  </si>
  <si>
    <t xml:space="preserve">Needs Review - name not matched to W&amp;N table</t>
  </si>
  <si>
    <t xml:space="preserve">100</t>
  </si>
  <si>
    <t xml:space="preserve">230,55,20</t>
  </si>
  <si>
    <t xml:space="preserve">MEA000150</t>
  </si>
  <si>
    <t xml:space="preserve">BEH000150</t>
  </si>
  <si>
    <t xml:space="preserve">PO20,PY35</t>
  </si>
  <si>
    <t xml:space="preserve">255,181,0</t>
  </si>
  <si>
    <t xml:space="preserve">MEA000151</t>
  </si>
  <si>
    <t xml:space="preserve">BEH000151</t>
  </si>
  <si>
    <t xml:space="preserve">116</t>
  </si>
  <si>
    <t xml:space="preserve">255,201,0</t>
  </si>
  <si>
    <t xml:space="preserve">MEA000152</t>
  </si>
  <si>
    <t xml:space="preserve">BEH000152</t>
  </si>
  <si>
    <t xml:space="preserve">130</t>
  </si>
  <si>
    <t xml:space="preserve">0,90,151</t>
  </si>
  <si>
    <t xml:space="preserve">MEA000153</t>
  </si>
  <si>
    <t xml:space="preserve">BEH000153</t>
  </si>
  <si>
    <t xml:space="preserve">0,108,163</t>
  </si>
  <si>
    <t xml:space="preserve">MEA000154</t>
  </si>
  <si>
    <t xml:space="preserve">BEH000154</t>
  </si>
  <si>
    <t xml:space="preserve">162</t>
  </si>
  <si>
    <t xml:space="preserve">76,115,71</t>
  </si>
  <si>
    <t xml:space="preserve">MEA000155</t>
  </si>
  <si>
    <t xml:space="preserve">BEH000155</t>
  </si>
  <si>
    <t xml:space="preserve">22,71,153</t>
  </si>
  <si>
    <t xml:space="preserve">MEA000156</t>
  </si>
  <si>
    <t xml:space="preserve">BEH000156</t>
  </si>
  <si>
    <t xml:space="preserve">57,50,125</t>
  </si>
  <si>
    <t xml:space="preserve">MEA000157</t>
  </si>
  <si>
    <t xml:space="preserve">BEH000157</t>
  </si>
  <si>
    <t xml:space="preserve">0,131,107</t>
  </si>
  <si>
    <t xml:space="preserve">MEA000158</t>
  </si>
  <si>
    <t xml:space="preserve">BEH000158</t>
  </si>
  <si>
    <t xml:space="preserve">185</t>
  </si>
  <si>
    <t xml:space="preserve">8,82,67</t>
  </si>
  <si>
    <t xml:space="preserve">MEA000159</t>
  </si>
  <si>
    <t xml:space="preserve">BEH000159</t>
  </si>
  <si>
    <t xml:space="preserve">0,163,166</t>
  </si>
  <si>
    <t xml:space="preserve">MEA000160</t>
  </si>
  <si>
    <t xml:space="preserve">BEH000160</t>
  </si>
  <si>
    <t xml:space="preserve">217</t>
  </si>
  <si>
    <t xml:space="preserve">PBk19,PY42</t>
  </si>
  <si>
    <t xml:space="preserve">108,101,77</t>
  </si>
  <si>
    <t xml:space="preserve">MEA000161</t>
  </si>
  <si>
    <t xml:space="preserve">BEH000161</t>
  </si>
  <si>
    <t xml:space="preserve">229</t>
  </si>
  <si>
    <t xml:space="preserve">35,29,31</t>
  </si>
  <si>
    <t xml:space="preserve">MEA000162</t>
  </si>
  <si>
    <t xml:space="preserve">BEH000162</t>
  </si>
  <si>
    <t xml:space="preserve">67,72,44</t>
  </si>
  <si>
    <t xml:space="preserve">MEA000163</t>
  </si>
  <si>
    <t xml:space="preserve">BEH000163</t>
  </si>
  <si>
    <t xml:space="preserve">PG36,PY110</t>
  </si>
  <si>
    <t xml:space="preserve">52,64,38</t>
  </si>
  <si>
    <t xml:space="preserve">MEA000164</t>
  </si>
  <si>
    <t xml:space="preserve">BEH000164</t>
  </si>
  <si>
    <t xml:space="preserve">34,21,36</t>
  </si>
  <si>
    <t xml:space="preserve">MEA000165</t>
  </si>
  <si>
    <t xml:space="preserve">BEH000165</t>
  </si>
  <si>
    <t xml:space="preserve">41,41,41</t>
  </si>
  <si>
    <t xml:space="preserve">MEA000166</t>
  </si>
  <si>
    <t xml:space="preserve">BEH000166</t>
  </si>
  <si>
    <t xml:space="preserve">243,224,0</t>
  </si>
  <si>
    <t xml:space="preserve">MEA000167</t>
  </si>
  <si>
    <t xml:space="preserve">BEH000167</t>
  </si>
  <si>
    <t xml:space="preserve">362</t>
  </si>
  <si>
    <t xml:space="preserve">158,75,53</t>
  </si>
  <si>
    <t xml:space="preserve">MEA000168</t>
  </si>
  <si>
    <t xml:space="preserve">BEH000168</t>
  </si>
  <si>
    <t xml:space="preserve">46,45,44</t>
  </si>
  <si>
    <t xml:space="preserve">MEA000169</t>
  </si>
  <si>
    <t xml:space="preserve">BEH000169</t>
  </si>
  <si>
    <t xml:space="preserve">421</t>
  </si>
  <si>
    <t xml:space="preserve">188,14,3</t>
  </si>
  <si>
    <t xml:space="preserve">MEA000170</t>
  </si>
  <si>
    <t xml:space="preserve">BEH000170</t>
  </si>
  <si>
    <t xml:space="preserve">423</t>
  </si>
  <si>
    <t xml:space="preserve">175,0,7</t>
  </si>
  <si>
    <t xml:space="preserve">MEA000171</t>
  </si>
  <si>
    <t xml:space="preserve">BEH000171</t>
  </si>
  <si>
    <t xml:space="preserve">235,165,63</t>
  </si>
  <si>
    <t xml:space="preserve">MEA000172</t>
  </si>
  <si>
    <t xml:space="preserve">BEH000172</t>
  </si>
  <si>
    <t xml:space="preserve">439</t>
  </si>
  <si>
    <t xml:space="preserve">131,92,2</t>
  </si>
  <si>
    <t xml:space="preserve">MEA000173</t>
  </si>
  <si>
    <t xml:space="preserve">BEH000173</t>
  </si>
  <si>
    <t xml:space="preserve">PBk9,PY129,PY139</t>
  </si>
  <si>
    <t xml:space="preserve">41,50,34</t>
  </si>
  <si>
    <t xml:space="preserve">MEA000174</t>
  </si>
  <si>
    <t xml:space="preserve">BEH000174</t>
  </si>
  <si>
    <t xml:space="preserve">460</t>
  </si>
  <si>
    <t xml:space="preserve">39,32,32</t>
  </si>
  <si>
    <t xml:space="preserve">MEA000175</t>
  </si>
  <si>
    <t xml:space="preserve">BEH000175</t>
  </si>
  <si>
    <t xml:space="preserve">464</t>
  </si>
  <si>
    <t xml:space="preserve">139,0,20</t>
  </si>
  <si>
    <t xml:space="preserve">MEA000176</t>
  </si>
  <si>
    <t xml:space="preserve">BEH000176</t>
  </si>
  <si>
    <t xml:space="preserve">PR177,PV23</t>
  </si>
  <si>
    <t xml:space="preserve">89,26,34</t>
  </si>
  <si>
    <t xml:space="preserve">MEA000177</t>
  </si>
  <si>
    <t xml:space="preserve">BEH000177</t>
  </si>
  <si>
    <t xml:space="preserve">58,22,23</t>
  </si>
  <si>
    <t xml:space="preserve">MEA000178</t>
  </si>
  <si>
    <t xml:space="preserve">BEH000178</t>
  </si>
  <si>
    <t xml:space="preserve">503</t>
  </si>
  <si>
    <t xml:space="preserve">PB15:3,PBk9,PY83</t>
  </si>
  <si>
    <t xml:space="preserve">24,38,21</t>
  </si>
  <si>
    <t xml:space="preserve">MEA000179</t>
  </si>
  <si>
    <t xml:space="preserve">BEH000179</t>
  </si>
  <si>
    <t xml:space="preserve">76,20,22</t>
  </si>
  <si>
    <t xml:space="preserve">MEA000180</t>
  </si>
  <si>
    <t xml:space="preserve">BEH000180</t>
  </si>
  <si>
    <t xml:space="preserve">514</t>
  </si>
  <si>
    <t xml:space="preserve">25,14,58</t>
  </si>
  <si>
    <t xml:space="preserve">MEA000181</t>
  </si>
  <si>
    <t xml:space="preserve">BEH000181</t>
  </si>
  <si>
    <t xml:space="preserve">515</t>
  </si>
  <si>
    <t xml:space="preserve">16,36,53</t>
  </si>
  <si>
    <t xml:space="preserve">MEA000182</t>
  </si>
  <si>
    <t xml:space="preserve">BEH000182</t>
  </si>
  <si>
    <t xml:space="preserve">519</t>
  </si>
  <si>
    <t xml:space="preserve">244,66,0</t>
  </si>
  <si>
    <t xml:space="preserve">MEA000183</t>
  </si>
  <si>
    <t xml:space="preserve">BEH000183</t>
  </si>
  <si>
    <t xml:space="preserve">521</t>
  </si>
  <si>
    <t xml:space="preserve">0,47,42</t>
  </si>
  <si>
    <t xml:space="preserve">MEA000184</t>
  </si>
  <si>
    <t xml:space="preserve">BEH000184</t>
  </si>
  <si>
    <t xml:space="preserve">2,33,39</t>
  </si>
  <si>
    <t xml:space="preserve">MEA000185</t>
  </si>
  <si>
    <t xml:space="preserve">BEH000185</t>
  </si>
  <si>
    <t xml:space="preserve">526</t>
  </si>
  <si>
    <t xml:space="preserve">0,55,60</t>
  </si>
  <si>
    <t xml:space="preserve">MEA000186</t>
  </si>
  <si>
    <t xml:space="preserve">BEH000186</t>
  </si>
  <si>
    <t xml:space="preserve">534</t>
  </si>
  <si>
    <t xml:space="preserve">193,0,28</t>
  </si>
  <si>
    <t xml:space="preserve">MEA000187</t>
  </si>
  <si>
    <t xml:space="preserve">BEH000187</t>
  </si>
  <si>
    <t xml:space="preserve">536</t>
  </si>
  <si>
    <t xml:space="preserve">215,34,34</t>
  </si>
  <si>
    <t xml:space="preserve">MEA000188</t>
  </si>
  <si>
    <t xml:space="preserve">BEH000188</t>
  </si>
  <si>
    <t xml:space="preserve">129,67,78</t>
  </si>
  <si>
    <t xml:space="preserve">MEA000189</t>
  </si>
  <si>
    <t xml:space="preserve">BEH000189</t>
  </si>
  <si>
    <t xml:space="preserve">78,17,31</t>
  </si>
  <si>
    <t xml:space="preserve">MEA000190</t>
  </si>
  <si>
    <t xml:space="preserve">BEH000190</t>
  </si>
  <si>
    <t xml:space="preserve">154,21,36</t>
  </si>
  <si>
    <t xml:space="preserve">MEA000191</t>
  </si>
  <si>
    <t xml:space="preserve">BEH000191</t>
  </si>
  <si>
    <t xml:space="preserve">549</t>
  </si>
  <si>
    <t xml:space="preserve">74,36,35</t>
  </si>
  <si>
    <t xml:space="preserve">MEA000192</t>
  </si>
  <si>
    <t xml:space="preserve">BEH000192</t>
  </si>
  <si>
    <t xml:space="preserve">550</t>
  </si>
  <si>
    <t xml:space="preserve">96,22,47</t>
  </si>
  <si>
    <t xml:space="preserve">MEA000193</t>
  </si>
  <si>
    <t xml:space="preserve">BEH000193</t>
  </si>
  <si>
    <t xml:space="preserve">PR101,PY42</t>
  </si>
  <si>
    <t xml:space="preserve">111,69,28</t>
  </si>
  <si>
    <t xml:space="preserve">MEA000194</t>
  </si>
  <si>
    <t xml:space="preserve">BEH000194</t>
  </si>
  <si>
    <t xml:space="preserve">62,54,46</t>
  </si>
  <si>
    <t xml:space="preserve">MEA000195</t>
  </si>
  <si>
    <t xml:space="preserve">BEH000195</t>
  </si>
  <si>
    <t xml:space="preserve">253,254,249</t>
  </si>
  <si>
    <t xml:space="preserve">MEA000196</t>
  </si>
  <si>
    <t xml:space="preserve">BEH000196</t>
  </si>
  <si>
    <t xml:space="preserve">664</t>
  </si>
  <si>
    <t xml:space="preserve">53,48,83</t>
  </si>
  <si>
    <t xml:space="preserve">MEA000197</t>
  </si>
  <si>
    <t xml:space="preserve">BEH000197</t>
  </si>
  <si>
    <t xml:space="preserve">54,52,68</t>
  </si>
  <si>
    <t xml:space="preserve">MEA000198</t>
  </si>
  <si>
    <t xml:space="preserve">BEH000198</t>
  </si>
  <si>
    <t xml:space="preserve">162,109,51</t>
  </si>
  <si>
    <t xml:space="preserve">MEA000199</t>
  </si>
  <si>
    <t xml:space="preserve">BEH000199</t>
  </si>
  <si>
    <t xml:space="preserve">WNPA-415</t>
  </si>
  <si>
    <t xml:space="preserve">See official PDF page 2 colour chart</t>
  </si>
  <si>
    <t xml:space="preserve">Winsor And Newton Official Colour Chart</t>
  </si>
  <si>
    <t xml:space="preserve">MEA000200</t>
  </si>
  <si>
    <t xml:space="preserve">BEH000200</t>
  </si>
  <si>
    <t xml:space="preserve">S002</t>
  </si>
  <si>
    <t xml:space="preserve">Linked in v8 from official WN source</t>
  </si>
  <si>
    <t xml:space="preserve">WNPA-644</t>
  </si>
  <si>
    <t xml:space="preserve">MEA000201</t>
  </si>
  <si>
    <t xml:space="preserve">BEH000201</t>
  </si>
  <si>
    <t xml:space="preserve">WNPA-330</t>
  </si>
  <si>
    <t xml:space="preserve">MEA000202</t>
  </si>
  <si>
    <t xml:space="preserve">BEH000202</t>
  </si>
  <si>
    <t xml:space="preserve">330</t>
  </si>
  <si>
    <t xml:space="preserve">WNPA-617</t>
  </si>
  <si>
    <t xml:space="preserve">MEA000203</t>
  </si>
  <si>
    <t xml:space="preserve">BEH000203</t>
  </si>
  <si>
    <t xml:space="preserve">617</t>
  </si>
  <si>
    <t xml:space="preserve">WNPA-624</t>
  </si>
  <si>
    <t xml:space="preserve">MEA000204</t>
  </si>
  <si>
    <t xml:space="preserve">BEH000204</t>
  </si>
  <si>
    <t xml:space="preserve">624</t>
  </si>
  <si>
    <t xml:space="preserve">WNPA-283</t>
  </si>
  <si>
    <t xml:space="preserve">MEA000205</t>
  </si>
  <si>
    <t xml:space="preserve">BEH000205</t>
  </si>
  <si>
    <t xml:space="preserve">283</t>
  </si>
  <si>
    <t xml:space="preserve">WNPA-573</t>
  </si>
  <si>
    <t xml:space="preserve">MEA000206</t>
  </si>
  <si>
    <t xml:space="preserve">BEH000206</t>
  </si>
  <si>
    <t xml:space="preserve">573</t>
  </si>
  <si>
    <t xml:space="preserve">WNPA-014</t>
  </si>
  <si>
    <t xml:space="preserve">MEA000207</t>
  </si>
  <si>
    <t xml:space="preserve">BEH000207</t>
  </si>
  <si>
    <t xml:space="preserve">014</t>
  </si>
  <si>
    <t xml:space="preserve">WNPA-447</t>
  </si>
  <si>
    <t xml:space="preserve">MEA000208</t>
  </si>
  <si>
    <t xml:space="preserve">BEH000208</t>
  </si>
  <si>
    <t xml:space="preserve">WNPA-294</t>
  </si>
  <si>
    <t xml:space="preserve">MEA000209</t>
  </si>
  <si>
    <t xml:space="preserve">BEH000209</t>
  </si>
  <si>
    <t xml:space="preserve">WNPA-060</t>
  </si>
  <si>
    <t xml:space="preserve">MEA000210</t>
  </si>
  <si>
    <t xml:space="preserve">BEH000210</t>
  </si>
  <si>
    <t xml:space="preserve">060</t>
  </si>
  <si>
    <t xml:space="preserve">WNPA-422</t>
  </si>
  <si>
    <t xml:space="preserve">PBr24,PW6</t>
  </si>
  <si>
    <t xml:space="preserve">MEA000211</t>
  </si>
  <si>
    <t xml:space="preserve">BEH000211</t>
  </si>
  <si>
    <t xml:space="preserve">422</t>
  </si>
  <si>
    <t xml:space="preserve">WNPA-425</t>
  </si>
  <si>
    <t xml:space="preserve">MEA000212</t>
  </si>
  <si>
    <t xml:space="preserve">BEH000212</t>
  </si>
  <si>
    <t xml:space="preserve">WNPA-744</t>
  </si>
  <si>
    <t xml:space="preserve">MEA000213</t>
  </si>
  <si>
    <t xml:space="preserve">BEH000213</t>
  </si>
  <si>
    <t xml:space="preserve">WNPA-737</t>
  </si>
  <si>
    <t xml:space="preserve">MEA000214</t>
  </si>
  <si>
    <t xml:space="preserve">BEH000214</t>
  </si>
  <si>
    <t xml:space="preserve">737</t>
  </si>
  <si>
    <t xml:space="preserve">WNPA-285</t>
  </si>
  <si>
    <t xml:space="preserve">MEA000215</t>
  </si>
  <si>
    <t xml:space="preserve">BEH000215</t>
  </si>
  <si>
    <t xml:space="preserve">WNPA-547</t>
  </si>
  <si>
    <t xml:space="preserve">PO48,PY150</t>
  </si>
  <si>
    <t xml:space="preserve">MEA000216</t>
  </si>
  <si>
    <t xml:space="preserve">BEH000216</t>
  </si>
  <si>
    <t xml:space="preserve">547</t>
  </si>
  <si>
    <t xml:space="preserve">WNPA-552</t>
  </si>
  <si>
    <t xml:space="preserve">MEA000217</t>
  </si>
  <si>
    <t xml:space="preserve">BEH000217</t>
  </si>
  <si>
    <t xml:space="preserve">WNPA-074</t>
  </si>
  <si>
    <t xml:space="preserve">MEA000218</t>
  </si>
  <si>
    <t xml:space="preserve">BEH000218</t>
  </si>
  <si>
    <t xml:space="preserve">074</t>
  </si>
  <si>
    <t xml:space="preserve">WNPA-537</t>
  </si>
  <si>
    <t xml:space="preserve">MEA000219</t>
  </si>
  <si>
    <t xml:space="preserve">BEH000219</t>
  </si>
  <si>
    <t xml:space="preserve">WNPA-545</t>
  </si>
  <si>
    <t xml:space="preserve">MEA000220</t>
  </si>
  <si>
    <t xml:space="preserve">BEH000220</t>
  </si>
  <si>
    <t xml:space="preserve">WNPA-470</t>
  </si>
  <si>
    <t xml:space="preserve">MEA000221</t>
  </si>
  <si>
    <t xml:space="preserve">BEH000221</t>
  </si>
  <si>
    <t xml:space="preserve">WNPA-229</t>
  </si>
  <si>
    <t xml:space="preserve">MEA000222</t>
  </si>
  <si>
    <t xml:space="preserve">BEH000222</t>
  </si>
  <si>
    <t xml:space="preserve">WNPA-672</t>
  </si>
  <si>
    <t xml:space="preserve">MEA000223</t>
  </si>
  <si>
    <t xml:space="preserve">BEH000223</t>
  </si>
  <si>
    <t xml:space="preserve">WNPA-321</t>
  </si>
  <si>
    <t xml:space="preserve">MEA000224</t>
  </si>
  <si>
    <t xml:space="preserve">BEH000224</t>
  </si>
  <si>
    <t xml:space="preserve">WNPA-664</t>
  </si>
  <si>
    <t xml:space="preserve">MEA000225</t>
  </si>
  <si>
    <t xml:space="preserve">BEH000225</t>
  </si>
  <si>
    <t xml:space="preserve">WNPA-180</t>
  </si>
  <si>
    <t xml:space="preserve">MEA000226</t>
  </si>
  <si>
    <t xml:space="preserve">BEH000226</t>
  </si>
  <si>
    <t xml:space="preserve">WNPA-178</t>
  </si>
  <si>
    <t xml:space="preserve">MEA000227</t>
  </si>
  <si>
    <t xml:space="preserve">BEH000227</t>
  </si>
  <si>
    <t xml:space="preserve">WNPA-514</t>
  </si>
  <si>
    <t xml:space="preserve">MEA000228</t>
  </si>
  <si>
    <t xml:space="preserve">BEH000228</t>
  </si>
  <si>
    <t xml:space="preserve">WNPA-515</t>
  </si>
  <si>
    <t xml:space="preserve">MEA000229</t>
  </si>
  <si>
    <t xml:space="preserve">BEH000229</t>
  </si>
  <si>
    <t xml:space="preserve">WNPA-137</t>
  </si>
  <si>
    <t xml:space="preserve">MEA000230</t>
  </si>
  <si>
    <t xml:space="preserve">BEH000230</t>
  </si>
  <si>
    <t xml:space="preserve">WNPA-130</t>
  </si>
  <si>
    <t xml:space="preserve">MEA000231</t>
  </si>
  <si>
    <t xml:space="preserve">BEH000231</t>
  </si>
  <si>
    <t xml:space="preserve">WNPA-346</t>
  </si>
  <si>
    <t xml:space="preserve">MEA000232</t>
  </si>
  <si>
    <t xml:space="preserve">BEH000232</t>
  </si>
  <si>
    <t xml:space="preserve">WNPA-086</t>
  </si>
  <si>
    <t xml:space="preserve">MEA000233</t>
  </si>
  <si>
    <t xml:space="preserve">BEH000233</t>
  </si>
  <si>
    <t xml:space="preserve">086</t>
  </si>
  <si>
    <t xml:space="preserve">WNPA-025</t>
  </si>
  <si>
    <t xml:space="preserve">MEA000234</t>
  </si>
  <si>
    <t xml:space="preserve">BEH000234</t>
  </si>
  <si>
    <t xml:space="preserve">025</t>
  </si>
  <si>
    <t xml:space="preserve">WNPA-113</t>
  </si>
  <si>
    <t xml:space="preserve">MEA000235</t>
  </si>
  <si>
    <t xml:space="preserve">BEH000235</t>
  </si>
  <si>
    <t xml:space="preserve">113</t>
  </si>
  <si>
    <t xml:space="preserve">WNPA-439</t>
  </si>
  <si>
    <t xml:space="preserve">MEA000236</t>
  </si>
  <si>
    <t xml:space="preserve">BEH000236</t>
  </si>
  <si>
    <t xml:space="preserve">WNPA-019</t>
  </si>
  <si>
    <t xml:space="preserve">MEA000237</t>
  </si>
  <si>
    <t xml:space="preserve">BEH000237</t>
  </si>
  <si>
    <t xml:space="preserve">019</t>
  </si>
  <si>
    <t xml:space="preserve">WNPA-116</t>
  </si>
  <si>
    <t xml:space="preserve">MEA000238</t>
  </si>
  <si>
    <t xml:space="preserve">BEH000238</t>
  </si>
  <si>
    <t xml:space="preserve">WNPA-111</t>
  </si>
  <si>
    <t xml:space="preserve">MEA000239</t>
  </si>
  <si>
    <t xml:space="preserve">BEH000239</t>
  </si>
  <si>
    <t xml:space="preserve">WNPA-039</t>
  </si>
  <si>
    <t xml:space="preserve">MEA000240</t>
  </si>
  <si>
    <t xml:space="preserve">BEH000240</t>
  </si>
  <si>
    <t xml:space="preserve">039</t>
  </si>
  <si>
    <t xml:space="preserve">WNPA-089</t>
  </si>
  <si>
    <t xml:space="preserve">MEA000241</t>
  </si>
  <si>
    <t xml:space="preserve">BEH000241</t>
  </si>
  <si>
    <t xml:space="preserve">089</t>
  </si>
  <si>
    <t xml:space="preserve">WNPA-519</t>
  </si>
  <si>
    <t xml:space="preserve">MEA000242</t>
  </si>
  <si>
    <t xml:space="preserve">BEH000242</t>
  </si>
  <si>
    <t xml:space="preserve">WNPA-100</t>
  </si>
  <si>
    <t xml:space="preserve">MEA000243</t>
  </si>
  <si>
    <t xml:space="preserve">BEH000243</t>
  </si>
  <si>
    <t xml:space="preserve">WNPA-139</t>
  </si>
  <si>
    <t xml:space="preserve">PB29,PG7,PW6</t>
  </si>
  <si>
    <t xml:space="preserve">MEA000244</t>
  </si>
  <si>
    <t xml:space="preserve">BEH000244</t>
  </si>
  <si>
    <t xml:space="preserve">139</t>
  </si>
  <si>
    <t xml:space="preserve">WNPA-191</t>
  </si>
  <si>
    <t xml:space="preserve">MEA000245</t>
  </si>
  <si>
    <t xml:space="preserve">BEH000245</t>
  </si>
  <si>
    <t xml:space="preserve">WNPA-190</t>
  </si>
  <si>
    <t xml:space="preserve">MEA000246</t>
  </si>
  <si>
    <t xml:space="preserve">BEH000246</t>
  </si>
  <si>
    <t xml:space="preserve">WNPA-526</t>
  </si>
  <si>
    <t xml:space="preserve">MEA000247</t>
  </si>
  <si>
    <t xml:space="preserve">BEH000247</t>
  </si>
  <si>
    <t xml:space="preserve">WNPA-522</t>
  </si>
  <si>
    <t xml:space="preserve">MEA000248</t>
  </si>
  <si>
    <t xml:space="preserve">BEH000248</t>
  </si>
  <si>
    <t xml:space="preserve">WNPA-521</t>
  </si>
  <si>
    <t xml:space="preserve">MEA000249</t>
  </si>
  <si>
    <t xml:space="preserve">BEH000249</t>
  </si>
  <si>
    <t xml:space="preserve">WNPA-184</t>
  </si>
  <si>
    <t xml:space="preserve">MEA000250</t>
  </si>
  <si>
    <t xml:space="preserve">BEH000250</t>
  </si>
  <si>
    <t xml:space="preserve">WNPA-185</t>
  </si>
  <si>
    <t xml:space="preserve">MEA000251</t>
  </si>
  <si>
    <t xml:space="preserve">BEH000251</t>
  </si>
  <si>
    <t xml:space="preserve">WNPA-162</t>
  </si>
  <si>
    <t xml:space="preserve">MEA000252</t>
  </si>
  <si>
    <t xml:space="preserve">BEH000252</t>
  </si>
  <si>
    <t xml:space="preserve">WNPA-311</t>
  </si>
  <si>
    <t xml:space="preserve">MEA000253</t>
  </si>
  <si>
    <t xml:space="preserve">BEH000253</t>
  </si>
  <si>
    <t xml:space="preserve">WNPA-460</t>
  </si>
  <si>
    <t xml:space="preserve">MEA000254</t>
  </si>
  <si>
    <t xml:space="preserve">BEH000254</t>
  </si>
  <si>
    <t xml:space="preserve">WNPA-503</t>
  </si>
  <si>
    <t xml:space="preserve">MEA000255</t>
  </si>
  <si>
    <t xml:space="preserve">BEH000255</t>
  </si>
  <si>
    <t xml:space="preserve">WNPA-536</t>
  </si>
  <si>
    <t xml:space="preserve">MEA000256</t>
  </si>
  <si>
    <t xml:space="preserve">BEH000256</t>
  </si>
  <si>
    <t xml:space="preserve">WNPA-099</t>
  </si>
  <si>
    <t xml:space="preserve">MEA000257</t>
  </si>
  <si>
    <t xml:space="preserve">BEH000257</t>
  </si>
  <si>
    <t xml:space="preserve">099</t>
  </si>
  <si>
    <t xml:space="preserve">WNPA-421</t>
  </si>
  <si>
    <t xml:space="preserve">MEA000258</t>
  </si>
  <si>
    <t xml:space="preserve">BEH000258</t>
  </si>
  <si>
    <t xml:space="preserve">WNPA-534</t>
  </si>
  <si>
    <t xml:space="preserve">MEA000259</t>
  </si>
  <si>
    <t xml:space="preserve">BEH000259</t>
  </si>
  <si>
    <t xml:space="preserve">WNPA-097</t>
  </si>
  <si>
    <t xml:space="preserve">MEA000260</t>
  </si>
  <si>
    <t xml:space="preserve">BEH000260</t>
  </si>
  <si>
    <t xml:space="preserve">097</t>
  </si>
  <si>
    <t xml:space="preserve">WNPA-548</t>
  </si>
  <si>
    <t xml:space="preserve">MEA000261</t>
  </si>
  <si>
    <t xml:space="preserve">BEH000261</t>
  </si>
  <si>
    <t xml:space="preserve">WNPA-464</t>
  </si>
  <si>
    <t xml:space="preserve">MEA000262</t>
  </si>
  <si>
    <t xml:space="preserve">BEH000262</t>
  </si>
  <si>
    <t xml:space="preserve">WNPA-423</t>
  </si>
  <si>
    <t xml:space="preserve">MEA000263</t>
  </si>
  <si>
    <t xml:space="preserve">BEH000263</t>
  </si>
  <si>
    <t xml:space="preserve">WNPA-502</t>
  </si>
  <si>
    <t xml:space="preserve">MEA000264</t>
  </si>
  <si>
    <t xml:space="preserve">BEH000264</t>
  </si>
  <si>
    <t xml:space="preserve">WNPA-466</t>
  </si>
  <si>
    <t xml:space="preserve">MEA000265</t>
  </si>
  <si>
    <t xml:space="preserve">BEH000265</t>
  </si>
  <si>
    <t xml:space="preserve">WNPA-507</t>
  </si>
  <si>
    <t xml:space="preserve">MEA000266</t>
  </si>
  <si>
    <t xml:space="preserve">BEH000266</t>
  </si>
  <si>
    <t xml:space="preserve">WNPA-550</t>
  </si>
  <si>
    <t xml:space="preserve">MEA000267</t>
  </si>
  <si>
    <t xml:space="preserve">BEH000267</t>
  </si>
  <si>
    <t xml:space="preserve">WNPA-362</t>
  </si>
  <si>
    <t xml:space="preserve">MEA000268</t>
  </si>
  <si>
    <t xml:space="preserve">BEH000268</t>
  </si>
  <si>
    <t xml:space="preserve">WNPA-560</t>
  </si>
  <si>
    <t xml:space="preserve">MEA000269</t>
  </si>
  <si>
    <t xml:space="preserve">BEH000269</t>
  </si>
  <si>
    <t xml:space="preserve">560</t>
  </si>
  <si>
    <t xml:space="preserve">WNPA-549</t>
  </si>
  <si>
    <t xml:space="preserve">MEA000270</t>
  </si>
  <si>
    <t xml:space="preserve">BEH000270</t>
  </si>
  <si>
    <t xml:space="preserve">WNPA-691</t>
  </si>
  <si>
    <t xml:space="preserve">MEA000271</t>
  </si>
  <si>
    <t xml:space="preserve">BEH000271</t>
  </si>
  <si>
    <t xml:space="preserve">691</t>
  </si>
  <si>
    <t xml:space="preserve">WNPA-557</t>
  </si>
  <si>
    <t xml:space="preserve">MEA000272</t>
  </si>
  <si>
    <t xml:space="preserve">BEH000272</t>
  </si>
  <si>
    <t xml:space="preserve">557</t>
  </si>
  <si>
    <t xml:space="preserve">WNPA-554</t>
  </si>
  <si>
    <t xml:space="preserve">MEA000273</t>
  </si>
  <si>
    <t xml:space="preserve">BEH000273</t>
  </si>
  <si>
    <t xml:space="preserve">WNPA-076</t>
  </si>
  <si>
    <t xml:space="preserve">MEA000274</t>
  </si>
  <si>
    <t xml:space="preserve">BEH000274</t>
  </si>
  <si>
    <t xml:space="preserve">076</t>
  </si>
  <si>
    <t xml:space="preserve">WNPA-217</t>
  </si>
  <si>
    <t xml:space="preserve">MEA000275</t>
  </si>
  <si>
    <t xml:space="preserve">BEH000275</t>
  </si>
  <si>
    <t xml:space="preserve">WNPA-292</t>
  </si>
  <si>
    <t xml:space="preserve">MEA000276</t>
  </si>
  <si>
    <t xml:space="preserve">BEH000276</t>
  </si>
  <si>
    <t xml:space="preserve">292</t>
  </si>
  <si>
    <t xml:space="preserve">WNPA-465</t>
  </si>
  <si>
    <t xml:space="preserve">PB29,PBk9</t>
  </si>
  <si>
    <t xml:space="preserve">MEA000277</t>
  </si>
  <si>
    <t xml:space="preserve">BEH000277</t>
  </si>
  <si>
    <t xml:space="preserve">465</t>
  </si>
  <si>
    <t xml:space="preserve">WNPA-331</t>
  </si>
  <si>
    <t xml:space="preserve">MEA000278</t>
  </si>
  <si>
    <t xml:space="preserve">BEH000278</t>
  </si>
  <si>
    <t xml:space="preserve">WNPA-386</t>
  </si>
  <si>
    <t xml:space="preserve">MEA000279</t>
  </si>
  <si>
    <t xml:space="preserve">BEH000279</t>
  </si>
  <si>
    <t xml:space="preserve">Audit Item</t>
  </si>
  <si>
    <t xml:space="preserve">Finding</t>
  </si>
  <si>
    <t xml:space="preserve">Source Notes</t>
  </si>
  <si>
    <t xml:space="preserve">Source_Name</t>
  </si>
  <si>
    <t xml:space="preserve">Data source</t>
  </si>
  <si>
    <t xml:space="preserve">Sensual Logic Artist Color Data</t>
  </si>
  <si>
    <t xml:space="preserve">Source page states RGB values are measured mass tone RGB values using a spectrophotometer.</t>
  </si>
  <si>
    <t xml:space="preserve">Imported Winsor And Newton product lines</t>
  </si>
  <si>
    <t xml:space="preserve">Artists Oil, Designers Gouache, Galeria Acrylic, Professional Acrylic</t>
  </si>
  <si>
    <t xml:space="preserve">Professional Acrylic rows on the source page do not provide IndexName / pigment-code values.</t>
  </si>
  <si>
    <t xml:space="preserve">Architecture correction</t>
  </si>
  <si>
    <t xml:space="preserve">Pigments table and Paint_Pigments join table rebuilt from actual IndexName values.</t>
  </si>
  <si>
    <t xml:space="preserve">Pigment dropdown now uses values from the rebuilt Pigments table.</t>
  </si>
  <si>
    <t xml:space="preserve">Query correction</t>
  </si>
  <si>
    <t xml:space="preserve">Query_Source_View, Query_Filter_Values, Query_Dashboard_v7 and Query_Output rebuilt.</t>
  </si>
  <si>
    <t xml:space="preserve">Uses standard INDEX/MATCH formulas, not dynamic arrays.</t>
  </si>
  <si>
    <t xml:space="preserve">Winsor And Newton Professional Acrylic Colour Chart PDF</t>
  </si>
  <si>
    <t xml:space="preserve">www.winsornewton.com; uploaded PDF 8ddfab15-8d8f-40bf-9d11-2b07afb783a2.pdf</t>
  </si>
  <si>
    <t xml:space="preserve">Official chart page 2 lists 80 Professional Acrylic colours with WN colour code, permanence code AA/A, series, ASTM where listed, and ~ marker for single pigmented colours. Pigment codes are not listed in the chart.</t>
  </si>
  <si>
    <t xml:space="preserve">Winsor &amp; Newton Professional Acrylic Colour official web table</t>
  </si>
  <si>
    <t xml:space="preserve">Pigment codes, opacity, permanence, ASTM, series</t>
  </si>
  <si>
    <t xml:space="preserve">Used in v11 to populate Pigments and Paint_Pigments.</t>
  </si>
  <si>
    <t xml:space="preserve">Uploaded WN Professional Acrylic Colour Chart PDF</t>
  </si>
  <si>
    <t xml:space="preserve">/mnt/data/8ddfab15-8d8f-40bf-9d11-2b07afb783a2.pdf</t>
  </si>
  <si>
    <t xml:space="preserve">Chart/key and product line details</t>
  </si>
  <si>
    <t xml:space="preserve">Supports official color chart and key; pigment codes not printed in chart.</t>
  </si>
  <si>
    <t xml:space="preserve">Raw_Record_ID</t>
  </si>
  <si>
    <t xml:space="preserve">Source_Table</t>
  </si>
  <si>
    <t xml:space="preserve">Brand_Name_Raw</t>
  </si>
  <si>
    <t xml:space="preserve">Product_Line_Raw</t>
  </si>
  <si>
    <t xml:space="preserve">Paint_Name_Raw</t>
  </si>
  <si>
    <t xml:space="preserve">RGB_Raw</t>
  </si>
  <si>
    <t xml:space="preserve">Density_Raw</t>
  </si>
  <si>
    <t xml:space="preserve">Opacity_Raw</t>
  </si>
  <si>
    <t xml:space="preserve">Permanence_Raw</t>
  </si>
  <si>
    <t xml:space="preserve">IndexName_Raw</t>
  </si>
  <si>
    <t xml:space="preserve">Raw_Data_Quality_Notes</t>
  </si>
  <si>
    <t xml:space="preserve">Pigment_Code_Raw</t>
  </si>
  <si>
    <t xml:space="preserve">Opacity_Code_Raw</t>
  </si>
  <si>
    <t xml:space="preserve">Series_Raw</t>
  </si>
  <si>
    <t xml:space="preserve">ASTM_Raw</t>
  </si>
  <si>
    <t xml:space="preserve">Single_Pigment_Raw</t>
  </si>
  <si>
    <t xml:space="preserve">Artists Oil - Winsor &amp; Newton</t>
  </si>
  <si>
    <t xml:space="preserve">Winsor &amp; Newton</t>
  </si>
  <si>
    <t xml:space="preserve">IndexName present.</t>
  </si>
  <si>
    <t xml:space="preserve">PO20, PY35</t>
  </si>
  <si>
    <t xml:space="preserve">PG26, PG50</t>
  </si>
  <si>
    <t xml:space="preserve">PY139, PR101</t>
  </si>
  <si>
    <t xml:space="preserve">PW6, PY138, PO62</t>
  </si>
  <si>
    <t xml:space="preserve">PY110, PBk6</t>
  </si>
  <si>
    <t xml:space="preserve">PY43, PY42</t>
  </si>
  <si>
    <t xml:space="preserve">PG23, PG18</t>
  </si>
  <si>
    <t xml:space="preserve">PW6, PW4</t>
  </si>
  <si>
    <t xml:space="preserve">NBr8, PBr7</t>
  </si>
  <si>
    <t xml:space="preserve">PG36, PW5</t>
  </si>
  <si>
    <t xml:space="preserve">Designers Gouache - Winsor &amp; Newton</t>
  </si>
  <si>
    <t xml:space="preserve">PY42, PR101</t>
  </si>
  <si>
    <t xml:space="preserve">PBr7, PY42</t>
  </si>
  <si>
    <t xml:space="preserve">PY35, PR108</t>
  </si>
  <si>
    <t xml:space="preserve">PY35, PO20</t>
  </si>
  <si>
    <t xml:space="preserve">PR170, PO72</t>
  </si>
  <si>
    <t xml:space="preserve">PB15, PBk6, PB29</t>
  </si>
  <si>
    <t xml:space="preserve">PR173, PV2</t>
  </si>
  <si>
    <t xml:space="preserve">PO72, PO73</t>
  </si>
  <si>
    <t xml:space="preserve">PY65, PR9</t>
  </si>
  <si>
    <t xml:space="preserve">PY74, PY138</t>
  </si>
  <si>
    <t xml:space="preserve">PY42, PR101, PY65</t>
  </si>
  <si>
    <t xml:space="preserve">PY42, PBr7</t>
  </si>
  <si>
    <t xml:space="preserve">PR101, PV19</t>
  </si>
  <si>
    <t xml:space="preserve">PR170, PBr25</t>
  </si>
  <si>
    <t xml:space="preserve">Galeria Acrylic - Winsor &amp; Newton</t>
  </si>
  <si>
    <t xml:space="preserve">PW6, PY42, PR101, PBk11</t>
  </si>
  <si>
    <t xml:space="preserve">PR101, PY42, PBk11</t>
  </si>
  <si>
    <t xml:space="preserve">PY73, PY83</t>
  </si>
  <si>
    <t xml:space="preserve">IndexName not provided in source row; pigment relationship marked Not Provided.</t>
  </si>
  <si>
    <t xml:space="preserve">PB15, PY83</t>
  </si>
  <si>
    <t xml:space="preserve">PR122, PV19</t>
  </si>
  <si>
    <t xml:space="preserve">PB15:3, PW6</t>
  </si>
  <si>
    <t xml:space="preserve">PB29, PB15:3, PBk11</t>
  </si>
  <si>
    <t xml:space="preserve">PY42, PR101, PBk9</t>
  </si>
  <si>
    <t xml:space="preserve">PY14, PG7, PBk7, PW6</t>
  </si>
  <si>
    <t xml:space="preserve">PY150, PY3</t>
  </si>
  <si>
    <t xml:space="preserve">PY42, PW6, PBk11</t>
  </si>
  <si>
    <t xml:space="preserve">Professional Acrylic - Winsor &amp; Newton</t>
  </si>
  <si>
    <t xml:space="preserve">Not provided in source</t>
  </si>
  <si>
    <t xml:space="preserve">www.winsornewton.com; uploaded PDF</t>
  </si>
  <si>
    <t xml:space="preserve">Not listed in source</t>
  </si>
  <si>
    <t xml:space="preserve">Not extracted from PDF icon</t>
  </si>
  <si>
    <t xml:space="preserve">S1</t>
  </si>
  <si>
    <t xml:space="preserve">Official WN chart record.</t>
  </si>
  <si>
    <t xml:space="preserve">S3</t>
  </si>
  <si>
    <t xml:space="preserve">Not Listed</t>
  </si>
  <si>
    <t xml:space="preserve">S2</t>
  </si>
  <si>
    <t xml:space="preserve">S4</t>
  </si>
  <si>
    <t xml:space="preserve">S5</t>
  </si>
  <si>
    <t xml:space="preserve">Source_Field</t>
  </si>
  <si>
    <t xml:space="preserve">Raw_Value</t>
  </si>
  <si>
    <t xml:space="preserve">Canonical_Display_Value</t>
  </si>
  <si>
    <t xml:space="preserve">Canonical_System_Value</t>
  </si>
  <si>
    <t xml:space="preserve">Rule_Applied</t>
  </si>
  <si>
    <t xml:space="preserve">Status</t>
  </si>
  <si>
    <t xml:space="preserve">Replace ampersand with And; use full words</t>
  </si>
  <si>
    <t xml:space="preserve">Applied</t>
  </si>
  <si>
    <t xml:space="preserve">Lowercase system value</t>
  </si>
  <si>
    <t xml:space="preserve">Paint_Type</t>
  </si>
  <si>
    <t xml:space="preserve">Controlled vocabulary mapping</t>
  </si>
  <si>
    <t xml:space="preserve">RGB split into Red, Green, Blue</t>
  </si>
  <si>
    <t xml:space="preserve">rgb integer fields</t>
  </si>
  <si>
    <t xml:space="preserve">Split comma separated RGB</t>
  </si>
  <si>
    <t xml:space="preserve">Blank</t>
  </si>
  <si>
    <t xml:space="preserve">No source value to normalize</t>
  </si>
  <si>
    <t xml:space="preserve">Needs additional source</t>
  </si>
  <si>
    <t xml:space="preserve">No source pigment code to normalize</t>
  </si>
  <si>
    <t xml:space="preserve">Lookup_ID</t>
  </si>
  <si>
    <t xml:space="preserve">winsor &amp; newton, w&amp;n, winsor newton</t>
  </si>
  <si>
    <t xml:space="preserve">acrylic paint, professional acrylic</t>
  </si>
  <si>
    <t xml:space="preserve">Watercolor</t>
  </si>
  <si>
    <t xml:space="preserve">watercolor</t>
  </si>
  <si>
    <t xml:space="preserve">watercolour, aquarelle</t>
  </si>
  <si>
    <t xml:space="preserve">Verified</t>
  </si>
  <si>
    <t xml:space="preserve">verified</t>
  </si>
  <si>
    <t xml:space="preserve">Confirmed against source</t>
  </si>
  <si>
    <t xml:space="preserve">needs review</t>
  </si>
  <si>
    <t xml:space="preserve">Imported but requires additional verification</t>
  </si>
  <si>
    <t xml:space="preserve">Missing Source Field</t>
  </si>
  <si>
    <t xml:space="preserve">missing source field</t>
  </si>
  <si>
    <t xml:space="preserve">The source record lacks this field</t>
  </si>
  <si>
    <t xml:space="preserve">designer gouache, opaque watercolor</t>
  </si>
  <si>
    <t xml:space="preserve">artist acrylic, artists acrylic</t>
  </si>
  <si>
    <t xml:space="preserve">traditional oil, artist oil</t>
  </si>
  <si>
    <t xml:space="preserve">Water Mixable Oil</t>
  </si>
  <si>
    <t xml:space="preserve">water mixable oil</t>
  </si>
  <si>
    <t xml:space="preserve">water soluble oil, water-miscible oil</t>
  </si>
  <si>
    <t xml:space="preserve">Ink</t>
  </si>
  <si>
    <t xml:space="preserve">ink</t>
  </si>
  <si>
    <t xml:space="preserve">drawing ink, acrylic ink</t>
  </si>
  <si>
    <t xml:space="preserve">student acrylic</t>
  </si>
  <si>
    <t xml:space="preserve">studio acrylic</t>
  </si>
  <si>
    <t xml:space="preserve">Fluid Acrylic</t>
  </si>
  <si>
    <t xml:space="preserve">fluid acrylic</t>
  </si>
  <si>
    <t xml:space="preserve">fluid</t>
  </si>
  <si>
    <t xml:space="preserve">Heavy Body Acrylic</t>
  </si>
  <si>
    <t xml:space="preserve">heavy body acrylic</t>
  </si>
  <si>
    <t xml:space="preserve">heavy body</t>
  </si>
  <si>
    <t xml:space="preserve">Slow Drying Acrylic</t>
  </si>
  <si>
    <t xml:space="preserve">slow drying acrylic</t>
  </si>
  <si>
    <t xml:space="preserve">open acrylic, open slow drying</t>
  </si>
  <si>
    <t xml:space="preserve">Matte Acrylic</t>
  </si>
  <si>
    <t xml:space="preserve">matte acrylic</t>
  </si>
  <si>
    <t xml:space="preserve">flat matte, soflat</t>
  </si>
  <si>
    <t xml:space="preserve">watercolour</t>
  </si>
  <si>
    <t xml:space="preserve">water soluble oil</t>
  </si>
  <si>
    <t xml:space="preserve">Ink Like Fluid</t>
  </si>
  <si>
    <t xml:space="preserve">ink like fluid</t>
  </si>
  <si>
    <t xml:space="preserve">inklike, high flow</t>
  </si>
  <si>
    <t xml:space="preserve">Fluid</t>
  </si>
  <si>
    <t xml:space="preserve">low viscosity</t>
  </si>
  <si>
    <t xml:space="preserve">Medium Body</t>
  </si>
  <si>
    <t xml:space="preserve">medium body</t>
  </si>
  <si>
    <t xml:space="preserve">standard body</t>
  </si>
  <si>
    <t xml:space="preserve">Heavy Body</t>
  </si>
  <si>
    <t xml:space="preserve">thick, buttery</t>
  </si>
  <si>
    <t xml:space="preserve">Paste Like</t>
  </si>
  <si>
    <t xml:space="preserve">paste like</t>
  </si>
  <si>
    <t xml:space="preserve">very thick, extra heavy</t>
  </si>
  <si>
    <t xml:space="preserve">Gloss</t>
  </si>
  <si>
    <t xml:space="preserve">gloss</t>
  </si>
  <si>
    <t xml:space="preserve">glossy</t>
  </si>
  <si>
    <t xml:space="preserve">Satin</t>
  </si>
  <si>
    <t xml:space="preserve">satin</t>
  </si>
  <si>
    <t xml:space="preserve">semi gloss</t>
  </si>
  <si>
    <t xml:space="preserve">matte</t>
  </si>
  <si>
    <t xml:space="preserve">matt</t>
  </si>
  <si>
    <t xml:space="preserve">soflat, ultra matte</t>
  </si>
  <si>
    <t xml:space="preserve">Variable Gloss</t>
  </si>
  <si>
    <t xml:space="preserve">variable gloss</t>
  </si>
  <si>
    <t xml:space="preserve">varies by pigment</t>
  </si>
  <si>
    <t xml:space="preserve">Fast Drying</t>
  </si>
  <si>
    <t xml:space="preserve">fast drying</t>
  </si>
  <si>
    <t xml:space="preserve">quick drying</t>
  </si>
  <si>
    <t xml:space="preserve">Standard Acrylic</t>
  </si>
  <si>
    <t xml:space="preserve">standard acrylic</t>
  </si>
  <si>
    <t xml:space="preserve">normal acrylic drying</t>
  </si>
  <si>
    <t xml:space="preserve">Slow Drying</t>
  </si>
  <si>
    <t xml:space="preserve">slow drying</t>
  </si>
  <si>
    <t xml:space="preserve">open time extended</t>
  </si>
  <si>
    <t xml:space="preserve">Oil Drying</t>
  </si>
  <si>
    <t xml:space="preserve">oil drying</t>
  </si>
  <si>
    <t xml:space="preserve">oxidative drying</t>
  </si>
  <si>
    <t xml:space="preserve">Watercolor Drying</t>
  </si>
  <si>
    <t xml:space="preserve">watercolor drying</t>
  </si>
  <si>
    <t xml:space="preserve">water evaporation</t>
  </si>
  <si>
    <t xml:space="preserve">Source_Type</t>
  </si>
  <si>
    <t xml:space="preserve">Reliability_Role</t>
  </si>
  <si>
    <t xml:space="preserve">Measured Paint Dataset</t>
  </si>
  <si>
    <t xml:space="preserve">Measured RGB data / source table</t>
  </si>
  <si>
    <t xml:space="preserve">Source page states RGB values are measured with a spectrophotometer.</t>
  </si>
  <si>
    <t xml:space="preserve">Official Manufacturer Colour Chart</t>
  </si>
  <si>
    <t xml:space="preserve">Official manufacturer source for product line, colour codes, permanence, series, ASTM, and single-pigment marker</t>
  </si>
  <si>
    <t xml:space="preserve">The official colour chart does not list Color Index pigment codes; pigment relationships are marked Not Provided By Source.</t>
  </si>
  <si>
    <t xml:space="preserve">Relational paint product record.</t>
  </si>
  <si>
    <t xml:space="preserve">Verified Official Source</t>
  </si>
  <si>
    <t xml:space="preserve">Official WN Professional Acrylic colour chart. WN Colour Code 415. Pigment code not listed.</t>
  </si>
  <si>
    <t xml:space="preserve">Official WN Professional Acrylic colour chart. WN Colour Code 644. Pigment code not listed.</t>
  </si>
  <si>
    <t xml:space="preserve">Official WN Professional Acrylic colour chart. WN Colour Code 330. Pigment code not listed.</t>
  </si>
  <si>
    <t xml:space="preserve">Official WN Professional Acrylic colour chart. WN Colour Code 617. Pigment code not listed.</t>
  </si>
  <si>
    <t xml:space="preserve">Official WN Professional Acrylic colour chart. WN Colour Code 624. Pigment code not listed.</t>
  </si>
  <si>
    <t xml:space="preserve">Official WN Professional Acrylic colour chart. WN Colour Code 283. Pigment code not listed.</t>
  </si>
  <si>
    <t xml:space="preserve">Official WN Professional Acrylic colour chart. WN Colour Code 573. Pigment code not listed.</t>
  </si>
  <si>
    <t xml:space="preserve">Official WN Professional Acrylic colour chart. WN Colour Code 014. Pigment code not listed.</t>
  </si>
  <si>
    <t xml:space="preserve">Official WN Professional Acrylic colour chart. WN Colour Code 447. Pigment code not listed.</t>
  </si>
  <si>
    <t xml:space="preserve">Official WN Professional Acrylic colour chart. WN Colour Code 294. Pigment code not listed.</t>
  </si>
  <si>
    <t xml:space="preserve">Official WN Professional Acrylic colour chart. WN Colour Code 060. Pigment code not listed.</t>
  </si>
  <si>
    <t xml:space="preserve">Official WN Professional Acrylic colour chart. WN Colour Code 422. Pigment code not listed.</t>
  </si>
  <si>
    <t xml:space="preserve">Official WN Professional Acrylic colour chart. WN Colour Code 425. Pigment code not listed.</t>
  </si>
  <si>
    <t xml:space="preserve">Official WN Professional Acrylic colour chart. WN Colour Code 744. Pigment code not listed.</t>
  </si>
  <si>
    <t xml:space="preserve">Official WN Professional Acrylic colour chart. WN Colour Code 737. Pigment code not listed.</t>
  </si>
  <si>
    <t xml:space="preserve">Official WN Professional Acrylic colour chart. WN Colour Code 285. Pigment code not listed.</t>
  </si>
  <si>
    <t xml:space="preserve">Official WN Professional Acrylic colour chart. WN Colour Code 547. Pigment code not listed.</t>
  </si>
  <si>
    <t xml:space="preserve">Official WN Professional Acrylic colour chart. WN Colour Code 552. Pigment code not listed.</t>
  </si>
  <si>
    <t xml:space="preserve">Official WN Professional Acrylic colour chart. WN Colour Code 074. Pigment code not listed.</t>
  </si>
  <si>
    <t xml:space="preserve">Official WN Professional Acrylic colour chart. WN Colour Code 537. Pigment code not listed.</t>
  </si>
  <si>
    <t xml:space="preserve">Official WN Professional Acrylic colour chart. WN Colour Code 545. Pigment code not listed.</t>
  </si>
  <si>
    <t xml:space="preserve">Official WN Professional Acrylic colour chart. WN Colour Code 470. Pigment code not listed.</t>
  </si>
  <si>
    <t xml:space="preserve">Official WN Professional Acrylic colour chart. WN Colour Code 229. Pigment code not listed.</t>
  </si>
  <si>
    <t xml:space="preserve">Official WN Professional Acrylic colour chart. WN Colour Code 672. Pigment code not listed.</t>
  </si>
  <si>
    <t xml:space="preserve">Official WN Professional Acrylic colour chart. WN Colour Code 321. Pigment code not listed.</t>
  </si>
  <si>
    <t xml:space="preserve">Official WN Professional Acrylic colour chart. WN Colour Code 664. Pigment code not listed.</t>
  </si>
  <si>
    <t xml:space="preserve">Official WN Professional Acrylic colour chart. WN Colour Code 180. Pigment code not listed.</t>
  </si>
  <si>
    <t xml:space="preserve">Official WN Professional Acrylic colour chart. WN Colour Code 178. Pigment code not listed.</t>
  </si>
  <si>
    <t xml:space="preserve">Official WN Professional Acrylic colour chart. WN Colour Code 514. Pigment code not listed.</t>
  </si>
  <si>
    <t xml:space="preserve">Official WN Professional Acrylic colour chart. WN Colour Code 515. Pigment code not listed.</t>
  </si>
  <si>
    <t xml:space="preserve">Official WN Professional Acrylic colour chart. WN Colour Code 137. Pigment code not listed.</t>
  </si>
  <si>
    <t xml:space="preserve">Official WN Professional Acrylic colour chart. WN Colour Code 130. Pigment code not listed.</t>
  </si>
  <si>
    <t xml:space="preserve">Official WN Professional Acrylic colour chart. WN Colour Code 346. Pigment code not listed.</t>
  </si>
  <si>
    <t xml:space="preserve">Official WN Professional Acrylic colour chart. WN Colour Code 086. Pigment code not listed.</t>
  </si>
  <si>
    <t xml:space="preserve">Official WN Professional Acrylic colour chart. WN Colour Code 025. Pigment code not listed.</t>
  </si>
  <si>
    <t xml:space="preserve">Official WN Professional Acrylic colour chart. WN Colour Code 113. Pigment code not listed.</t>
  </si>
  <si>
    <t xml:space="preserve">Official WN Professional Acrylic colour chart. WN Colour Code 439. Pigment code not listed.</t>
  </si>
  <si>
    <t xml:space="preserve">Official WN Professional Acrylic colour chart. WN Colour Code 019. Pigment code not listed.</t>
  </si>
  <si>
    <t xml:space="preserve">Official WN Professional Acrylic colour chart. WN Colour Code 116. Pigment code not listed.</t>
  </si>
  <si>
    <t xml:space="preserve">Official WN Professional Acrylic colour chart. WN Colour Code 111. Pigment code not listed.</t>
  </si>
  <si>
    <t xml:space="preserve">Official WN Professional Acrylic colour chart. WN Colour Code 039. Pigment code not listed.</t>
  </si>
  <si>
    <t xml:space="preserve">Official WN Professional Acrylic colour chart. WN Colour Code 089. Pigment code not listed.</t>
  </si>
  <si>
    <t xml:space="preserve">Official WN Professional Acrylic colour chart. WN Colour Code 519. Pigment code not listed.</t>
  </si>
  <si>
    <t xml:space="preserve">Official WN Professional Acrylic colour chart. WN Colour Code 100. Pigment code not listed.</t>
  </si>
  <si>
    <t xml:space="preserve">Official WN Professional Acrylic colour chart. WN Colour Code 139. Pigment code not listed.</t>
  </si>
  <si>
    <t xml:space="preserve">Official WN Professional Acrylic colour chart. WN Colour Code 191. Pigment code not listed.</t>
  </si>
  <si>
    <t xml:space="preserve">Official WN Professional Acrylic colour chart. WN Colour Code 190. Pigment code not listed.</t>
  </si>
  <si>
    <t xml:space="preserve">Official WN Professional Acrylic colour chart. WN Colour Code 526. Pigment code not listed.</t>
  </si>
  <si>
    <t xml:space="preserve">Official WN Professional Acrylic colour chart. WN Colour Code 522. Pigment code not listed.</t>
  </si>
  <si>
    <t xml:space="preserve">Official WN Professional Acrylic colour chart. WN Colour Code 521. Pigment code not listed.</t>
  </si>
  <si>
    <t xml:space="preserve">Official WN Professional Acrylic colour chart. WN Colour Code 184. Pigment code not listed.</t>
  </si>
  <si>
    <t xml:space="preserve">Official WN Professional Acrylic colour chart. WN Colour Code 185. Pigment code not listed.</t>
  </si>
  <si>
    <t xml:space="preserve">Official WN Professional Acrylic colour chart. WN Colour Code 162. Pigment code not listed.</t>
  </si>
  <si>
    <t xml:space="preserve">Official WN Professional Acrylic colour chart. WN Colour Code 311. Pigment code not listed.</t>
  </si>
  <si>
    <t xml:space="preserve">Official WN Professional Acrylic colour chart. WN Colour Code 460. Pigment code not listed.</t>
  </si>
  <si>
    <t xml:space="preserve">Official WN Professional Acrylic colour chart. WN Colour Code 503. Pigment code not listed.</t>
  </si>
  <si>
    <t xml:space="preserve">Official WN Professional Acrylic colour chart. WN Colour Code 536. Pigment code not listed.</t>
  </si>
  <si>
    <t xml:space="preserve">Official WN Professional Acrylic colour chart. WN Colour Code 099. Pigment code not listed.</t>
  </si>
  <si>
    <t xml:space="preserve">Official WN Professional Acrylic colour chart. WN Colour Code 421. Pigment code not listed.</t>
  </si>
  <si>
    <t xml:space="preserve">Official WN Professional Acrylic colour chart. WN Colour Code 534. Pigment code not listed.</t>
  </si>
  <si>
    <t xml:space="preserve">Official WN Professional Acrylic colour chart. WN Colour Code 097. Pigment code not listed.</t>
  </si>
  <si>
    <t xml:space="preserve">Official WN Professional Acrylic colour chart. WN Colour Code 548. Pigment code not listed.</t>
  </si>
  <si>
    <t xml:space="preserve">Official WN Professional Acrylic colour chart. WN Colour Code 464. Pigment code not listed.</t>
  </si>
  <si>
    <t xml:space="preserve">Official WN Professional Acrylic colour chart. WN Colour Code 423. Pigment code not listed.</t>
  </si>
  <si>
    <t xml:space="preserve">Official WN Professional Acrylic colour chart. WN Colour Code 502. Pigment code not listed.</t>
  </si>
  <si>
    <t xml:space="preserve">Official WN Professional Acrylic colour chart. WN Colour Code 466. Pigment code not listed.</t>
  </si>
  <si>
    <t xml:space="preserve">Official WN Professional Acrylic colour chart. WN Colour Code 507. Pigment code not listed.</t>
  </si>
  <si>
    <t xml:space="preserve">Official WN Professional Acrylic colour chart. WN Colour Code 550. Pigment code not listed.</t>
  </si>
  <si>
    <t xml:space="preserve">Official WN Professional Acrylic colour chart. WN Colour Code 362. Pigment code not listed.</t>
  </si>
  <si>
    <t xml:space="preserve">Official WN Professional Acrylic colour chart. WN Colour Code 560. Pigment code not listed.</t>
  </si>
  <si>
    <t xml:space="preserve">Official WN Professional Acrylic colour chart. WN Colour Code 549. Pigment code not listed.</t>
  </si>
  <si>
    <t xml:space="preserve">Official WN Professional Acrylic colour chart. WN Colour Code 691. Pigment code not listed.</t>
  </si>
  <si>
    <t xml:space="preserve">Official WN Professional Acrylic colour chart. WN Colour Code 557. Pigment code not listed.</t>
  </si>
  <si>
    <t xml:space="preserve">Official WN Professional Acrylic colour chart. WN Colour Code 554. Pigment code not listed.</t>
  </si>
  <si>
    <t xml:space="preserve">Official WN Professional Acrylic colour chart. WN Colour Code 076. Pigment code not listed.</t>
  </si>
  <si>
    <t xml:space="preserve">Official WN Professional Acrylic colour chart. WN Colour Code 217. Pigment code not listed.</t>
  </si>
  <si>
    <t xml:space="preserve">Official WN Professional Acrylic colour chart. WN Colour Code 292. Pigment code not listed.</t>
  </si>
  <si>
    <t xml:space="preserve">Official WN Professional Acrylic colour chart. WN Colour Code 465. Pigment code not listed.</t>
  </si>
  <si>
    <t xml:space="preserve">Official WN Professional Acrylic colour chart. WN Colour Code 331. Pigment code not listed.</t>
  </si>
  <si>
    <t xml:space="preserve">Official WN Professional Acrylic colour chart. WN Colour Code 386. Pigment code not listed.</t>
  </si>
  <si>
    <t xml:space="preserve">Measurement_Type</t>
  </si>
  <si>
    <t xml:space="preserve">Measurement_Method</t>
  </si>
  <si>
    <t xml:space="preserve">Mass Tone RGB</t>
  </si>
  <si>
    <t xml:space="preserve">Spectrophotometer measured per source page</t>
  </si>
  <si>
    <t xml:space="preserve">Imported from Sensual Logic.</t>
  </si>
  <si>
    <t xml:space="preserve">Temperature</t>
  </si>
  <si>
    <t xml:space="preserve">Behavior_Source</t>
  </si>
  <si>
    <t xml:space="preserve">Only opacity/permanence imported where provided by source.</t>
  </si>
  <si>
    <t xml:space="preserve">Pigment_Full_Name</t>
  </si>
  <si>
    <t xml:space="preserve">CI_Name</t>
  </si>
  <si>
    <t xml:space="preserve">Organic_or_Inorganic</t>
  </si>
  <si>
    <t xml:space="preserve">Pigment_Origin</t>
  </si>
  <si>
    <t xml:space="preserve">Unassigned</t>
  </si>
  <si>
    <t xml:space="preserve">Source row did not provide IndexName / pigment code.</t>
  </si>
  <si>
    <t xml:space="preserve">Valid</t>
  </si>
  <si>
    <t xml:space="preserve">Imported from Sensual Logic IndexName.</t>
  </si>
  <si>
    <t xml:space="preserve">Incomplete / Needs Review</t>
  </si>
  <si>
    <t xml:space="preserve">Imported value is incomplete/nonstandard; review needed.</t>
  </si>
  <si>
    <t xml:space="preserve">Added from official Winsor &amp; Newton Professional Acrylic Colour web table.</t>
  </si>
  <si>
    <t xml:space="preserve">Black</t>
  </si>
  <si>
    <t xml:space="preserve">Paint_Pigment_ID</t>
  </si>
  <si>
    <t xml:space="preserve">Relationship_Type</t>
  </si>
  <si>
    <t xml:space="preserve">PP000001</t>
  </si>
  <si>
    <t xml:space="preserve">Formula Pigment</t>
  </si>
  <si>
    <t xml:space="preserve">Linked from IndexName.</t>
  </si>
  <si>
    <t xml:space="preserve">PP000002</t>
  </si>
  <si>
    <t xml:space="preserve">PP000003</t>
  </si>
  <si>
    <t xml:space="preserve">PP000004</t>
  </si>
  <si>
    <t xml:space="preserve">PP000005</t>
  </si>
  <si>
    <t xml:space="preserve">PP000006</t>
  </si>
  <si>
    <t xml:space="preserve">PP000007</t>
  </si>
  <si>
    <t xml:space="preserve">PP000008</t>
  </si>
  <si>
    <t xml:space="preserve">PP000009</t>
  </si>
  <si>
    <t xml:space="preserve">PP000010</t>
  </si>
  <si>
    <t xml:space="preserve">PP000011</t>
  </si>
  <si>
    <t xml:space="preserve">PP000012</t>
  </si>
  <si>
    <t xml:space="preserve">PP000013</t>
  </si>
  <si>
    <t xml:space="preserve">PP000014</t>
  </si>
  <si>
    <t xml:space="preserve">PP000015</t>
  </si>
  <si>
    <t xml:space="preserve">PP000016</t>
  </si>
  <si>
    <t xml:space="preserve">PP000017</t>
  </si>
  <si>
    <t xml:space="preserve">PP000018</t>
  </si>
  <si>
    <t xml:space="preserve">PP000019</t>
  </si>
  <si>
    <t xml:space="preserve">PP000020</t>
  </si>
  <si>
    <t xml:space="preserve">PP000021</t>
  </si>
  <si>
    <t xml:space="preserve">PP000022</t>
  </si>
  <si>
    <t xml:space="preserve">PP000023</t>
  </si>
  <si>
    <t xml:space="preserve">PP000024</t>
  </si>
  <si>
    <t xml:space="preserve">PP000025</t>
  </si>
  <si>
    <t xml:space="preserve">PP000026</t>
  </si>
  <si>
    <t xml:space="preserve">PP000027</t>
  </si>
  <si>
    <t xml:space="preserve">PP000028</t>
  </si>
  <si>
    <t xml:space="preserve">PP000029</t>
  </si>
  <si>
    <t xml:space="preserve">PP000030</t>
  </si>
  <si>
    <t xml:space="preserve">PP000031</t>
  </si>
  <si>
    <t xml:space="preserve">PP000032</t>
  </si>
  <si>
    <t xml:space="preserve">PP000033</t>
  </si>
  <si>
    <t xml:space="preserve">PP000034</t>
  </si>
  <si>
    <t xml:space="preserve">PP000035</t>
  </si>
  <si>
    <t xml:space="preserve">PP000036</t>
  </si>
  <si>
    <t xml:space="preserve">PP000037</t>
  </si>
  <si>
    <t xml:space="preserve">PP000038</t>
  </si>
  <si>
    <t xml:space="preserve">PP000039</t>
  </si>
  <si>
    <t xml:space="preserve">PP000040</t>
  </si>
  <si>
    <t xml:space="preserve">PP000041</t>
  </si>
  <si>
    <t xml:space="preserve">PP000042</t>
  </si>
  <si>
    <t xml:space="preserve">PP000043</t>
  </si>
  <si>
    <t xml:space="preserve">PP000044</t>
  </si>
  <si>
    <t xml:space="preserve">PP000045</t>
  </si>
  <si>
    <t xml:space="preserve">PP000046</t>
  </si>
  <si>
    <t xml:space="preserve">PP000047</t>
  </si>
  <si>
    <t xml:space="preserve">PP000048</t>
  </si>
  <si>
    <t xml:space="preserve">PP000049</t>
  </si>
  <si>
    <t xml:space="preserve">PP000050</t>
  </si>
  <si>
    <t xml:space="preserve">PP000051</t>
  </si>
  <si>
    <t xml:space="preserve">PP000052</t>
  </si>
  <si>
    <t xml:space="preserve">PP000053</t>
  </si>
  <si>
    <t xml:space="preserve">PP000054</t>
  </si>
  <si>
    <t xml:space="preserve">PP000055</t>
  </si>
  <si>
    <t xml:space="preserve">PP000056</t>
  </si>
  <si>
    <t xml:space="preserve">PP000057</t>
  </si>
  <si>
    <t xml:space="preserve">PP000058</t>
  </si>
  <si>
    <t xml:space="preserve">PP000059</t>
  </si>
  <si>
    <t xml:space="preserve">PP000060</t>
  </si>
  <si>
    <t xml:space="preserve">PP000061</t>
  </si>
  <si>
    <t xml:space="preserve">PP000062</t>
  </si>
  <si>
    <t xml:space="preserve">PP000063</t>
  </si>
  <si>
    <t xml:space="preserve">PP000064</t>
  </si>
  <si>
    <t xml:space="preserve">PP000065</t>
  </si>
  <si>
    <t xml:space="preserve">PP000066</t>
  </si>
  <si>
    <t xml:space="preserve">PP000067</t>
  </si>
  <si>
    <t xml:space="preserve">PP000068</t>
  </si>
  <si>
    <t xml:space="preserve">PP000069</t>
  </si>
  <si>
    <t xml:space="preserve">PP000070</t>
  </si>
  <si>
    <t xml:space="preserve">PP000071</t>
  </si>
  <si>
    <t xml:space="preserve">PP000072</t>
  </si>
  <si>
    <t xml:space="preserve">PP000073</t>
  </si>
  <si>
    <t xml:space="preserve">PP000074</t>
  </si>
  <si>
    <t xml:space="preserve">PP000075</t>
  </si>
  <si>
    <t xml:space="preserve">PP000076</t>
  </si>
  <si>
    <t xml:space="preserve">PP000077</t>
  </si>
  <si>
    <t xml:space="preserve">PP000078</t>
  </si>
  <si>
    <t xml:space="preserve">PP000079</t>
  </si>
  <si>
    <t xml:space="preserve">PP000080</t>
  </si>
  <si>
    <t xml:space="preserve">PP000081</t>
  </si>
  <si>
    <t xml:space="preserve">PP000082</t>
  </si>
  <si>
    <t xml:space="preserve">PP000083</t>
  </si>
  <si>
    <t xml:space="preserve">PP000084</t>
  </si>
  <si>
    <t xml:space="preserve">PP000085</t>
  </si>
  <si>
    <t xml:space="preserve">PP000086</t>
  </si>
  <si>
    <t xml:space="preserve">PP000087</t>
  </si>
  <si>
    <t xml:space="preserve">PP000088</t>
  </si>
  <si>
    <t xml:space="preserve">PP000089</t>
  </si>
  <si>
    <t xml:space="preserve">PP000090</t>
  </si>
  <si>
    <t xml:space="preserve">PP000091</t>
  </si>
  <si>
    <t xml:space="preserve">PP000092</t>
  </si>
  <si>
    <t xml:space="preserve">PP000093</t>
  </si>
  <si>
    <t xml:space="preserve">PP000094</t>
  </si>
  <si>
    <t xml:space="preserve">PP000095</t>
  </si>
  <si>
    <t xml:space="preserve">PP000096</t>
  </si>
  <si>
    <t xml:space="preserve">PP000097</t>
  </si>
  <si>
    <t xml:space="preserve">PP000098</t>
  </si>
  <si>
    <t xml:space="preserve">PP000099</t>
  </si>
  <si>
    <t xml:space="preserve">PP000100</t>
  </si>
  <si>
    <t xml:space="preserve">PP000101</t>
  </si>
  <si>
    <t xml:space="preserve">PP000102</t>
  </si>
  <si>
    <t xml:space="preserve">PP000103</t>
  </si>
  <si>
    <t xml:space="preserve">PP000104</t>
  </si>
  <si>
    <t xml:space="preserve">PP000105</t>
  </si>
  <si>
    <t xml:space="preserve">PP000106</t>
  </si>
  <si>
    <t xml:space="preserve">PP000107</t>
  </si>
  <si>
    <t xml:space="preserve">PP000108</t>
  </si>
  <si>
    <t xml:space="preserve">PP000109</t>
  </si>
  <si>
    <t xml:space="preserve">PP000110</t>
  </si>
  <si>
    <t xml:space="preserve">PP000111</t>
  </si>
  <si>
    <t xml:space="preserve">PP000112</t>
  </si>
  <si>
    <t xml:space="preserve">PP000113</t>
  </si>
  <si>
    <t xml:space="preserve">PP000114</t>
  </si>
  <si>
    <t xml:space="preserve">PP000115</t>
  </si>
  <si>
    <t xml:space="preserve">PP000116</t>
  </si>
  <si>
    <t xml:space="preserve">PP000117</t>
  </si>
  <si>
    <t xml:space="preserve">PP000118</t>
  </si>
  <si>
    <t xml:space="preserve">PP000119</t>
  </si>
  <si>
    <t xml:space="preserve">PP000120</t>
  </si>
  <si>
    <t xml:space="preserve">PP000121</t>
  </si>
  <si>
    <t xml:space="preserve">PP000122</t>
  </si>
  <si>
    <t xml:space="preserve">PP000123</t>
  </si>
  <si>
    <t xml:space="preserve">PP000124</t>
  </si>
  <si>
    <t xml:space="preserve">PP000125</t>
  </si>
  <si>
    <t xml:space="preserve">PP000126</t>
  </si>
  <si>
    <t xml:space="preserve">PP000127</t>
  </si>
  <si>
    <t xml:space="preserve">PP000128</t>
  </si>
  <si>
    <t xml:space="preserve">PP000129</t>
  </si>
  <si>
    <t xml:space="preserve">PP000130</t>
  </si>
  <si>
    <t xml:space="preserve">PP000131</t>
  </si>
  <si>
    <t xml:space="preserve">PP000132</t>
  </si>
  <si>
    <t xml:space="preserve">PP000133</t>
  </si>
  <si>
    <t xml:space="preserve">PP000134</t>
  </si>
  <si>
    <t xml:space="preserve">PP000135</t>
  </si>
  <si>
    <t xml:space="preserve">PP000136</t>
  </si>
  <si>
    <t xml:space="preserve">PP000137</t>
  </si>
  <si>
    <t xml:space="preserve">PP000138</t>
  </si>
  <si>
    <t xml:space="preserve">PP000139</t>
  </si>
  <si>
    <t xml:space="preserve">PP000140</t>
  </si>
  <si>
    <t xml:space="preserve">PP000141</t>
  </si>
  <si>
    <t xml:space="preserve">PP000142</t>
  </si>
  <si>
    <t xml:space="preserve">PP000143</t>
  </si>
  <si>
    <t xml:space="preserve">PP000144</t>
  </si>
  <si>
    <t xml:space="preserve">PP000145</t>
  </si>
  <si>
    <t xml:space="preserve">PP000146</t>
  </si>
  <si>
    <t xml:space="preserve">PP000147</t>
  </si>
  <si>
    <t xml:space="preserve">PP000148</t>
  </si>
  <si>
    <t xml:space="preserve">PP000149</t>
  </si>
  <si>
    <t xml:space="preserve">Pigment Data Not Provided</t>
  </si>
  <si>
    <t xml:space="preserve">No IndexName in source row.</t>
  </si>
  <si>
    <t xml:space="preserve">PP000150</t>
  </si>
  <si>
    <t xml:space="preserve">PP000151</t>
  </si>
  <si>
    <t xml:space="preserve">PP000152</t>
  </si>
  <si>
    <t xml:space="preserve">PP000153</t>
  </si>
  <si>
    <t xml:space="preserve">PP000154</t>
  </si>
  <si>
    <t xml:space="preserve">PP000155</t>
  </si>
  <si>
    <t xml:space="preserve">PP000156</t>
  </si>
  <si>
    <t xml:space="preserve">PP000157</t>
  </si>
  <si>
    <t xml:space="preserve">PP000158</t>
  </si>
  <si>
    <t xml:space="preserve">PP000159</t>
  </si>
  <si>
    <t xml:space="preserve">PP000160</t>
  </si>
  <si>
    <t xml:space="preserve">PP000161</t>
  </si>
  <si>
    <t xml:space="preserve">PP000162</t>
  </si>
  <si>
    <t xml:space="preserve">PP000163</t>
  </si>
  <si>
    <t xml:space="preserve">PP000164</t>
  </si>
  <si>
    <t xml:space="preserve">PP000165</t>
  </si>
  <si>
    <t xml:space="preserve">PP000166</t>
  </si>
  <si>
    <t xml:space="preserve">PP000167</t>
  </si>
  <si>
    <t xml:space="preserve">PP000168</t>
  </si>
  <si>
    <t xml:space="preserve">PP000169</t>
  </si>
  <si>
    <t xml:space="preserve">PP000170</t>
  </si>
  <si>
    <t xml:space="preserve">PP000171</t>
  </si>
  <si>
    <t xml:space="preserve">PP000172</t>
  </si>
  <si>
    <t xml:space="preserve">PP000173</t>
  </si>
  <si>
    <t xml:space="preserve">PP000174</t>
  </si>
  <si>
    <t xml:space="preserve">PP000175</t>
  </si>
  <si>
    <t xml:space="preserve">PP000176</t>
  </si>
  <si>
    <t xml:space="preserve">PP000177</t>
  </si>
  <si>
    <t xml:space="preserve">PP000178</t>
  </si>
  <si>
    <t xml:space="preserve">PP000179</t>
  </si>
  <si>
    <t xml:space="preserve">PP000180</t>
  </si>
  <si>
    <t xml:space="preserve">PP000181</t>
  </si>
  <si>
    <t xml:space="preserve">PP000182</t>
  </si>
  <si>
    <t xml:space="preserve">PP000183</t>
  </si>
  <si>
    <t xml:space="preserve">PP000184</t>
  </si>
  <si>
    <t xml:space="preserve">PP000185</t>
  </si>
  <si>
    <t xml:space="preserve">PP000195</t>
  </si>
  <si>
    <t xml:space="preserve">PP000196</t>
  </si>
  <si>
    <t xml:space="preserve">Linked from official Winsor &amp; Newton Professional Acrylic Colour pigment-code table.</t>
  </si>
  <si>
    <t xml:space="preserve">PP000197</t>
  </si>
  <si>
    <t xml:space="preserve">PP000198</t>
  </si>
  <si>
    <t xml:space="preserve">PP000199</t>
  </si>
  <si>
    <t xml:space="preserve">PP000200</t>
  </si>
  <si>
    <t xml:space="preserve">PP000201</t>
  </si>
  <si>
    <t xml:space="preserve">PP000202</t>
  </si>
  <si>
    <t xml:space="preserve">PP000203</t>
  </si>
  <si>
    <t xml:space="preserve">PP000204</t>
  </si>
  <si>
    <t xml:space="preserve">PP000205</t>
  </si>
  <si>
    <t xml:space="preserve">PP000206</t>
  </si>
  <si>
    <t xml:space="preserve">PP000207</t>
  </si>
  <si>
    <t xml:space="preserve">PP000208</t>
  </si>
  <si>
    <t xml:space="preserve">PP000209</t>
  </si>
  <si>
    <t xml:space="preserve">PP000210</t>
  </si>
  <si>
    <t xml:space="preserve">PP000211</t>
  </si>
  <si>
    <t xml:space="preserve">PP000212</t>
  </si>
  <si>
    <t xml:space="preserve">PP000213</t>
  </si>
  <si>
    <t xml:space="preserve">PP000214</t>
  </si>
  <si>
    <t xml:space="preserve">PP000215</t>
  </si>
  <si>
    <t xml:space="preserve">PP000216</t>
  </si>
  <si>
    <t xml:space="preserve">PP000217</t>
  </si>
  <si>
    <t xml:space="preserve">PP000218</t>
  </si>
  <si>
    <t xml:space="preserve">PP000219</t>
  </si>
  <si>
    <t xml:space="preserve">PP000220</t>
  </si>
  <si>
    <t xml:space="preserve">PP000221</t>
  </si>
  <si>
    <t xml:space="preserve">PP000222</t>
  </si>
  <si>
    <t xml:space="preserve">PP000223</t>
  </si>
  <si>
    <t xml:space="preserve">PP000224</t>
  </si>
  <si>
    <t xml:space="preserve">PP000225</t>
  </si>
  <si>
    <t xml:space="preserve">PP000226</t>
  </si>
  <si>
    <t xml:space="preserve">PP000227</t>
  </si>
  <si>
    <t xml:space="preserve">PP000228</t>
  </si>
  <si>
    <t xml:space="preserve">PP000229</t>
  </si>
  <si>
    <t xml:space="preserve">PP000230</t>
  </si>
  <si>
    <t xml:space="preserve">PP000231</t>
  </si>
  <si>
    <t xml:space="preserve">PP000232</t>
  </si>
  <si>
    <t xml:space="preserve">PP000233</t>
  </si>
  <si>
    <t xml:space="preserve">PP000234</t>
  </si>
  <si>
    <t xml:space="preserve">PP000235</t>
  </si>
  <si>
    <t xml:space="preserve">PP000236</t>
  </si>
  <si>
    <t xml:space="preserve">PP000237</t>
  </si>
  <si>
    <t xml:space="preserve">PP000238</t>
  </si>
  <si>
    <t xml:space="preserve">PP000239</t>
  </si>
  <si>
    <t xml:space="preserve">PP000240</t>
  </si>
  <si>
    <t xml:space="preserve">PP000241</t>
  </si>
  <si>
    <t xml:space="preserve">PP000242</t>
  </si>
  <si>
    <t xml:space="preserve">PP000243</t>
  </si>
  <si>
    <t xml:space="preserve">PP000244</t>
  </si>
  <si>
    <t xml:space="preserve">PP000245</t>
  </si>
  <si>
    <t xml:space="preserve">PP000246</t>
  </si>
  <si>
    <t xml:space="preserve">PP000247</t>
  </si>
  <si>
    <t xml:space="preserve">PP000248</t>
  </si>
  <si>
    <t xml:space="preserve">PP000249</t>
  </si>
  <si>
    <t xml:space="preserve">PP000250</t>
  </si>
  <si>
    <t xml:space="preserve">PP000251</t>
  </si>
  <si>
    <t xml:space="preserve">PP000252</t>
  </si>
  <si>
    <t xml:space="preserve">PP000253</t>
  </si>
  <si>
    <t xml:space="preserve">PP000254</t>
  </si>
  <si>
    <t xml:space="preserve">PP000255</t>
  </si>
  <si>
    <t xml:space="preserve">PP000256</t>
  </si>
  <si>
    <t xml:space="preserve">PP000257</t>
  </si>
  <si>
    <t xml:space="preserve">PP000258</t>
  </si>
  <si>
    <t xml:space="preserve">PP000259</t>
  </si>
  <si>
    <t xml:space="preserve">PP000260</t>
  </si>
  <si>
    <t xml:space="preserve">PP000261</t>
  </si>
  <si>
    <t xml:space="preserve">PP000262</t>
  </si>
  <si>
    <t xml:space="preserve">PP000263</t>
  </si>
  <si>
    <t xml:space="preserve">PP000264</t>
  </si>
  <si>
    <t xml:space="preserve">PP000265</t>
  </si>
  <si>
    <t xml:space="preserve">PP000266</t>
  </si>
  <si>
    <t xml:space="preserve">PP000267</t>
  </si>
  <si>
    <t xml:space="preserve">PP000268</t>
  </si>
  <si>
    <t xml:space="preserve">PP000269</t>
  </si>
  <si>
    <t xml:space="preserve">PP000270</t>
  </si>
  <si>
    <t xml:space="preserve">PP000271</t>
  </si>
  <si>
    <t xml:space="preserve">PP000272</t>
  </si>
  <si>
    <t xml:space="preserve">PP000273</t>
  </si>
  <si>
    <t xml:space="preserve">PP000274</t>
  </si>
  <si>
    <t xml:space="preserve">PP000275</t>
  </si>
  <si>
    <t xml:space="preserve">PP000276</t>
  </si>
  <si>
    <t xml:space="preserve">PP000277</t>
  </si>
  <si>
    <t xml:space="preserve">PP000278</t>
  </si>
  <si>
    <t xml:space="preserve">PP000279</t>
  </si>
  <si>
    <t xml:space="preserve">PP000280</t>
  </si>
  <si>
    <t xml:space="preserve">PP000281</t>
  </si>
  <si>
    <t xml:space="preserve">PP000282</t>
  </si>
  <si>
    <t xml:space="preserve">PP000283</t>
  </si>
  <si>
    <t xml:space="preserve">PP000284</t>
  </si>
  <si>
    <t xml:space="preserve">PP000285</t>
  </si>
  <si>
    <t xml:space="preserve">PP000286</t>
  </si>
  <si>
    <t xml:space="preserve">PP000287</t>
  </si>
  <si>
    <t xml:space="preserve">PP000288</t>
  </si>
  <si>
    <t xml:space="preserve">PP000289</t>
  </si>
  <si>
    <t xml:space="preserve">PP000290</t>
  </si>
  <si>
    <t xml:space="preserve">PP000291</t>
  </si>
  <si>
    <t xml:space="preserve">PP000292</t>
  </si>
  <si>
    <t xml:space="preserve">PP000293</t>
  </si>
  <si>
    <t xml:space="preserve">PP000294</t>
  </si>
  <si>
    <t xml:space="preserve">PP000295</t>
  </si>
  <si>
    <t xml:space="preserve">PP000296</t>
  </si>
  <si>
    <t xml:space="preserve">PP000297</t>
  </si>
  <si>
    <t xml:space="preserve">PP000298</t>
  </si>
  <si>
    <t xml:space="preserve">PP000299</t>
  </si>
  <si>
    <t xml:space="preserve">PP000300</t>
  </si>
  <si>
    <t xml:space="preserve">PP000301</t>
  </si>
  <si>
    <t xml:space="preserve">PP000302</t>
  </si>
  <si>
    <t xml:space="preserve">PP000303</t>
  </si>
  <si>
    <t xml:space="preserve">PP000304</t>
  </si>
  <si>
    <t xml:space="preserve">PP000305</t>
  </si>
  <si>
    <t xml:space="preserve">PP000306</t>
  </si>
  <si>
    <t xml:space="preserve">PP000307</t>
  </si>
  <si>
    <t xml:space="preserve">PP000308</t>
  </si>
  <si>
    <t xml:space="preserve">PP000309</t>
  </si>
  <si>
    <t xml:space="preserve">PP000310</t>
  </si>
  <si>
    <t xml:space="preserve">PP000311</t>
  </si>
  <si>
    <t xml:space="preserve">PP000312</t>
  </si>
  <si>
    <t xml:space="preserve">PP000313</t>
  </si>
  <si>
    <t xml:space="preserve">PP000314</t>
  </si>
  <si>
    <t xml:space="preserve">PP000315</t>
  </si>
  <si>
    <t xml:space="preserve">PP000316</t>
  </si>
  <si>
    <t xml:space="preserve">PP000317</t>
  </si>
  <si>
    <t xml:space="preserve">PP000318</t>
  </si>
  <si>
    <t xml:space="preserve">PP000319</t>
  </si>
  <si>
    <t xml:space="preserve">PP000320</t>
  </si>
  <si>
    <t xml:space="preserve">PP000321</t>
  </si>
  <si>
    <t xml:space="preserve">PP000322</t>
  </si>
  <si>
    <t xml:space="preserve">PP000323</t>
  </si>
  <si>
    <t xml:space="preserve">PP000324</t>
  </si>
  <si>
    <t xml:space="preserve">PP000325</t>
  </si>
  <si>
    <t xml:space="preserve">PP000326</t>
  </si>
  <si>
    <t xml:space="preserve">PP000327</t>
  </si>
  <si>
    <t xml:space="preserve">PP000328</t>
  </si>
  <si>
    <t xml:space="preserve">PP000329</t>
  </si>
  <si>
    <t xml:space="preserve">PP000330</t>
  </si>
  <si>
    <t xml:space="preserve">PP000331</t>
  </si>
  <si>
    <t xml:space="preserve">PP000332</t>
  </si>
  <si>
    <t xml:space="preserve">PP000333</t>
  </si>
  <si>
    <t xml:space="preserve">PP000334</t>
  </si>
  <si>
    <t xml:space="preserve">PP000335</t>
  </si>
  <si>
    <t xml:space="preserve">PP000336</t>
  </si>
  <si>
    <t xml:space="preserve">PP000337</t>
  </si>
  <si>
    <t xml:space="preserve">PP000338</t>
  </si>
  <si>
    <t xml:space="preserve">PP000339</t>
  </si>
  <si>
    <t xml:space="preserve">PP000340</t>
  </si>
  <si>
    <t xml:space="preserve">PP000341</t>
  </si>
  <si>
    <t xml:space="preserve">PP000342</t>
  </si>
  <si>
    <t xml:space="preserve">PP000343</t>
  </si>
  <si>
    <t xml:space="preserve">PP000344</t>
  </si>
  <si>
    <t xml:space="preserve">PP000345</t>
  </si>
  <si>
    <t xml:space="preserve">PP000346</t>
  </si>
  <si>
    <t xml:space="preserve">PP000347</t>
  </si>
  <si>
    <t xml:space="preserve">PP000348</t>
  </si>
  <si>
    <t xml:space="preserve">PP000349</t>
  </si>
  <si>
    <t xml:space="preserve">PP000350</t>
  </si>
  <si>
    <t xml:space="preserve">PP000351</t>
  </si>
  <si>
    <t xml:space="preserve">PP000352</t>
  </si>
  <si>
    <t xml:space="preserve">PP000353</t>
  </si>
  <si>
    <t xml:space="preserve">PP000354</t>
  </si>
  <si>
    <t xml:space="preserve">PP000355</t>
  </si>
  <si>
    <t xml:space="preserve">Original_Record_ID</t>
  </si>
  <si>
    <t xml:space="preserve">v7 relational link</t>
  </si>
  <si>
    <t xml:space="preserve">Relationship</t>
  </si>
  <si>
    <t xml:space="preserve">Parent Table</t>
  </si>
  <si>
    <t xml:space="preserve">Child Table</t>
  </si>
  <si>
    <t xml:space="preserve">Key Field</t>
  </si>
  <si>
    <t xml:space="preserve">Meaning</t>
  </si>
  <si>
    <t xml:space="preserve">One brand has many product lines</t>
  </si>
  <si>
    <t xml:space="preserve">Winsor And Newton can have Professional Acrylic, Artisan Water Mixable Oil, Professional Watercolour, etc.</t>
  </si>
  <si>
    <t xml:space="preserve">One medium has many product lines</t>
  </si>
  <si>
    <t xml:space="preserve">Acrylic can include Heavy Body, Fluid, OPEN, Professional Acrylic, Galeria Acrylic, etc.</t>
  </si>
  <si>
    <t xml:space="preserve">One product line has many paints</t>
  </si>
  <si>
    <t xml:space="preserve">Paints</t>
  </si>
  <si>
    <t xml:space="preserve">Professional Acrylic contains individual paint colors.</t>
  </si>
  <si>
    <t xml:space="preserve">One paint can have many pigments</t>
  </si>
  <si>
    <t xml:space="preserve">Paint_Pigments</t>
  </si>
  <si>
    <t xml:space="preserve">A paint may be single-pigment or a multi-pigment mixture.</t>
  </si>
  <si>
    <t xml:space="preserve">One pigment can appear in many paints</t>
  </si>
  <si>
    <t xml:space="preserve">Pigments</t>
  </si>
  <si>
    <t xml:space="preserve">PB29 can appear across watercolor, acrylic, oil, gouache, and brands.</t>
  </si>
  <si>
    <t xml:space="preserve">One paint can have many measurements</t>
  </si>
  <si>
    <t xml:space="preserve">Measurements</t>
  </si>
  <si>
    <t xml:space="preserve">A paint can have RGB, density, spectral curves, lab values, etc.</t>
  </si>
  <si>
    <t xml:space="preserve">One paint can have many behavior attributes</t>
  </si>
  <si>
    <t xml:space="preserve">Paint_Behavior</t>
  </si>
  <si>
    <t xml:space="preserve">Medium-specific handling data is separated from identity.</t>
  </si>
  <si>
    <t xml:space="preserve">One source can support many rows</t>
  </si>
  <si>
    <t xml:space="preserve">Sources</t>
  </si>
  <si>
    <t xml:space="preserve">Paints / Measurements / Behavior</t>
  </si>
  <si>
    <t xml:space="preserve">Keeps raw data and source audit traceable.</t>
  </si>
  <si>
    <t xml:space="preserve">ID Field</t>
  </si>
  <si>
    <t xml:space="preserve">Format</t>
  </si>
  <si>
    <t xml:space="preserve">Table</t>
  </si>
  <si>
    <t xml:space="preserve">B###</t>
  </si>
  <si>
    <t xml:space="preserve">Identifies a brand/manufacturer entity.</t>
  </si>
  <si>
    <t xml:space="preserve">M###</t>
  </si>
  <si>
    <t xml:space="preserve">Identifies a broad paint medium.</t>
  </si>
  <si>
    <t xml:space="preserve">PL###</t>
  </si>
  <si>
    <t xml:space="preserve">Identifies product line or formulation family.</t>
  </si>
  <si>
    <t xml:space="preserve">PNT######</t>
  </si>
  <si>
    <t xml:space="preserve">Identifies one specific paint product record.</t>
  </si>
  <si>
    <t xml:space="preserve">PIG######</t>
  </si>
  <si>
    <t xml:space="preserve">Identifies one pigment chemistry record.</t>
  </si>
  <si>
    <t xml:space="preserve">PP######</t>
  </si>
  <si>
    <t xml:space="preserve">Join record linking paint products to pigments.</t>
  </si>
  <si>
    <t xml:space="preserve">MEA######</t>
  </si>
  <si>
    <t xml:space="preserve">Identifies one measurement record such as RGB/density.</t>
  </si>
  <si>
    <t xml:space="preserve">BEH######</t>
  </si>
  <si>
    <t xml:space="preserve">Identifies one behavior/handling record.</t>
  </si>
  <si>
    <t xml:space="preserve">S###</t>
  </si>
  <si>
    <t xml:space="preserve">Identifies a data source.</t>
  </si>
  <si>
    <t xml:space="preserve">Query / Report Starter</t>
  </si>
  <si>
    <t xml:space="preserve">This sheet lists example reports that can now be built because v2 has relational IDs and linked tables.</t>
  </si>
  <si>
    <t xml:space="preserve">Example Report Question</t>
  </si>
  <si>
    <t xml:space="preserve">Required Tables</t>
  </si>
  <si>
    <t xml:space="preserve">Join Path</t>
  </si>
  <si>
    <t xml:space="preserve">Show all paints in a specific product line</t>
  </si>
  <si>
    <t xml:space="preserve">Paints, Product_Lines_Formulations</t>
  </si>
  <si>
    <t xml:space="preserve">Paints.Product_Line_ID → Product_Lines_Formulations.Product_Line_ID</t>
  </si>
  <si>
    <t xml:space="preserve">Ready structurally</t>
  </si>
  <si>
    <t xml:space="preserve">Show all RGB measurements for Winsor And Newton Professional Acrylic</t>
  </si>
  <si>
    <t xml:space="preserve">Brands, Product_Lines_Formulations, Paints, Measurements</t>
  </si>
  <si>
    <t xml:space="preserve">Brands → Product Lines → Paints → Measurements</t>
  </si>
  <si>
    <t xml:space="preserve">Show all paints using pigment PB29</t>
  </si>
  <si>
    <t xml:space="preserve">Paints, Paint_Pigments, Pigments</t>
  </si>
  <si>
    <t xml:space="preserve">Paints → Paint_Pigments → Pigments</t>
  </si>
  <si>
    <t xml:space="preserve">Structure ready; pigment data pending</t>
  </si>
  <si>
    <t xml:space="preserve">Compare same pigment across product lines</t>
  </si>
  <si>
    <t xml:space="preserve">Pigments, Paint_Pigments, Paints, Product_Lines_Formulations</t>
  </si>
  <si>
    <t xml:space="preserve">Pigments → Paint_Pigments → Paints → Product Lines</t>
  </si>
  <si>
    <t xml:space="preserve">Show all transparent colors</t>
  </si>
  <si>
    <t xml:space="preserve">Paints, Paint_Behavior</t>
  </si>
  <si>
    <t xml:space="preserve">Paints.Paint_ID → Paint_Behavior.Paint_ID</t>
  </si>
  <si>
    <t xml:space="preserve">Ready when transparency populated</t>
  </si>
  <si>
    <t xml:space="preserve">Show all measurements from a given source</t>
  </si>
  <si>
    <t xml:space="preserve">Sources, Measurements</t>
  </si>
  <si>
    <t xml:space="preserve">Sources.Source_ID → Measurements.Source_ID</t>
  </si>
  <si>
    <t xml:space="preserve">Filter_Category</t>
  </si>
  <si>
    <t xml:space="preserve">Filter_Value</t>
  </si>
  <si>
    <t xml:space="preserve">ChromaCodex Database v7 - Working Query Dashboard</t>
  </si>
  <si>
    <t xml:space="preserve">Pigment dropdown comes from the Pigments table.</t>
  </si>
  <si>
    <t xml:space="preserve">Professional Acrylic rows have Not Provided because Sensual Logic did not provide IndexName for that section.</t>
  </si>
  <si>
    <t xml:space="preserve">Issue</t>
  </si>
  <si>
    <t xml:space="preserve">Correction Made</t>
  </si>
  <si>
    <t xml:space="preserve">Result</t>
  </si>
  <si>
    <t xml:space="preserve">Pigment codes not visible in dropdown</t>
  </si>
  <si>
    <t xml:space="preserve">Created/rebuilt Pigments table from IndexName values in the source data.</t>
  </si>
  <si>
    <t xml:space="preserve">Pigment Code dropdown now includes PB29, PR122, PY35, etc.</t>
  </si>
  <si>
    <t xml:space="preserve">No Paint-to-Pigment relationship</t>
  </si>
  <si>
    <t xml:space="preserve">Created/rebuilt Paint_Pigments join table.</t>
  </si>
  <si>
    <t xml:space="preserve">Multi-pigment paints now create multiple linked rows.</t>
  </si>
  <si>
    <t xml:space="preserve">Query source not using pigment relationships</t>
  </si>
  <si>
    <t xml:space="preserve">Rebuilt Query_Source_View to flatten one paint-pigment relationship per row.</t>
  </si>
  <si>
    <t xml:space="preserve">Query output can filter by pigment code.</t>
  </si>
  <si>
    <t xml:space="preserve">Professional Acrylic source lacks IndexName</t>
  </si>
  <si>
    <t xml:space="preserve">Rows retained and marked Not Provided.</t>
  </si>
  <si>
    <t xml:space="preserve">No pigment codes were fabricated.</t>
  </si>
  <si>
    <t xml:space="preserve">Imported official Winsor And Newton Professional Acrylic chart and repaired pigment relationships</t>
  </si>
  <si>
    <t xml:space="preserve">Added official source records; created Paint_Pigments links to Not Provided By Source because the WN chart does not list Color Index pigment codes. Query filters now pull pigment values from the relational Query_Source_View.</t>
  </si>
  <si>
    <t xml:space="preserve">v14</t>
  </si>
  <si>
    <t xml:space="preserve">Repaired query execution formulas</t>
  </si>
  <si>
    <t xml:space="preserve">Corrected Query_Source_View helper formulas and reconnected Query_Interface dropdowns to Query_Results output.</t>
  </si>
  <si>
    <t xml:space="preserve">Check_ID</t>
  </si>
  <si>
    <t xml:space="preserve">Check_Name</t>
  </si>
  <si>
    <t xml:space="preserve">Formula / Rule</t>
  </si>
  <si>
    <t xml:space="preserve">CHK001</t>
  </si>
  <si>
    <t xml:space="preserve">Every Paint_Pigments Paint_ID exists in Paints</t>
  </si>
  <si>
    <t xml:space="preserve">Formula</t>
  </si>
  <si>
    <t xml:space="preserve">Flags broken Paint_ID links.</t>
  </si>
  <si>
    <t xml:space="preserve">CHK002</t>
  </si>
  <si>
    <t xml:space="preserve">Every Paint_Pigments Pigment_ID exists in Pigments</t>
  </si>
  <si>
    <t xml:space="preserve">Flags broken Pigment_ID links.</t>
  </si>
  <si>
    <t xml:space="preserve">CHK003</t>
  </si>
  <si>
    <t xml:space="preserve">Pigment dropdown is sourced from Pigments table</t>
  </si>
  <si>
    <t xml:space="preserve">Manual</t>
  </si>
  <si>
    <t xml:space="preserve">Pass</t>
  </si>
  <si>
    <t xml:space="preserve">Query_Filter_Lists column D is rebuilt from Pigments!Pigment_Code.</t>
  </si>
  <si>
    <t xml:space="preserve">CHK004</t>
  </si>
  <si>
    <t xml:space="preserve">Query formulas connected to Query_Interface</t>
  </si>
  <si>
    <t xml:space="preserve">Query_Source_View Query_Include references Query_Interface B5:B12.</t>
  </si>
  <si>
    <t xml:space="preserve">CHK005</t>
  </si>
  <si>
    <t xml:space="preserve">Query_Results connected to Query_Source_View</t>
  </si>
  <si>
    <t xml:space="preserve">Query_Results uses INDEX/MATCH against Query_Source_View Query_Match_Number.</t>
  </si>
  <si>
    <t xml:space="preserve">Component</t>
  </si>
  <si>
    <t xml:space="preserve">What Was Completed</t>
  </si>
  <si>
    <t xml:space="preserve">Pigments table</t>
  </si>
  <si>
    <t xml:space="preserve">Complete</t>
  </si>
  <si>
    <t xml:space="preserve">Pigments sheet exists and is used to generate the pigment-code dropdown.</t>
  </si>
  <si>
    <t xml:space="preserve">Paint to Pigment join table</t>
  </si>
  <si>
    <t xml:space="preserve">Paint_Pigments links Paint_ID to Pigment_ID and Pigment_Code.</t>
  </si>
  <si>
    <t xml:space="preserve">Lookup lists pulled from data</t>
  </si>
  <si>
    <t xml:space="preserve">Query_Filter_Lists is rebuilt from live Query_Source_View values and the Pigments table.</t>
  </si>
  <si>
    <t xml:space="preserve">Query formulas connected to tables</t>
  </si>
  <si>
    <t xml:space="preserve">Query_Interface selections drive Query_Source_View helper formulas and Query_Results output.</t>
  </si>
  <si>
    <t xml:space="preserve">Validated pigment code dropdown</t>
  </si>
  <si>
    <t xml:space="preserve">Pigment Code dropdown references Query_Filter_Lists column D populated from Pigments.</t>
  </si>
  <si>
    <t xml:space="preserve">Relational integrity checks</t>
  </si>
  <si>
    <t xml:space="preserve">Added</t>
  </si>
  <si>
    <t xml:space="preserve">Relational_Integrity_Checks provides link-check formulas and status notes.</t>
  </si>
  <si>
    <t xml:space="preserve">True relational query engine</t>
  </si>
  <si>
    <t xml:space="preserve">Excel-limited implementation</t>
  </si>
  <si>
    <t xml:space="preserve">This is Excel formula based, not SQL. It now behaves as a functional relational-style query report.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</si>
</sst>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24"/>
  </cols>
  <sheetData>
    <row r="1" customFormat="false" ht="37.3" hidden="false" customHeight="false" outlineLevel="0" collapsed="false">
      <c r="A1" s="1" t="s">
        <v>0</v>
      </c>
      <c r="B1" s="2"/>
      <c r="C1" s="2"/>
      <c r="D1" s="2"/>
    </row>
    <row r="2" customFormat="false" ht="46.2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/>
      <c r="D4" s="3" t="s">
        <v>4</v>
      </c>
    </row>
    <row r="5" customFormat="false" ht="46.25" hidden="false" customHeight="false" outlineLevel="0" collapsed="false">
      <c r="A5" s="2" t="s">
        <v>5</v>
      </c>
      <c r="B5" s="4" t="s">
        <v>6</v>
      </c>
      <c r="C5" s="2"/>
      <c r="D5" s="2" t="s">
        <v>7</v>
      </c>
    </row>
    <row r="6" customFormat="false" ht="46.25" hidden="false" customHeight="false" outlineLevel="0" collapsed="false">
      <c r="A6" s="2" t="s">
        <v>8</v>
      </c>
      <c r="B6" s="4" t="s">
        <v>6</v>
      </c>
      <c r="C6" s="2"/>
      <c r="D6" s="2" t="s">
        <v>7</v>
      </c>
    </row>
    <row r="7" customFormat="false" ht="46.25" hidden="false" customHeight="false" outlineLevel="0" collapsed="false">
      <c r="A7" s="2" t="s">
        <v>9</v>
      </c>
      <c r="B7" s="4" t="s">
        <v>6</v>
      </c>
      <c r="C7" s="2"/>
      <c r="D7" s="2" t="s">
        <v>7</v>
      </c>
    </row>
    <row r="8" customFormat="false" ht="46.25" hidden="false" customHeight="false" outlineLevel="0" collapsed="false">
      <c r="A8" s="2" t="s">
        <v>10</v>
      </c>
      <c r="B8" s="4" t="s">
        <v>6</v>
      </c>
      <c r="C8" s="2"/>
      <c r="D8" s="2" t="s">
        <v>7</v>
      </c>
    </row>
    <row r="9" customFormat="false" ht="46.25" hidden="false" customHeight="false" outlineLevel="0" collapsed="false">
      <c r="A9" s="2" t="s">
        <v>11</v>
      </c>
      <c r="B9" s="4" t="s">
        <v>6</v>
      </c>
      <c r="C9" s="2"/>
      <c r="D9" s="2" t="s">
        <v>7</v>
      </c>
    </row>
    <row r="10" customFormat="false" ht="46.25" hidden="false" customHeight="false" outlineLevel="0" collapsed="false">
      <c r="A10" s="2" t="s">
        <v>12</v>
      </c>
      <c r="B10" s="4" t="s">
        <v>6</v>
      </c>
      <c r="C10" s="2"/>
      <c r="D10" s="2" t="s">
        <v>7</v>
      </c>
    </row>
    <row r="11" customFormat="false" ht="46.25" hidden="false" customHeight="false" outlineLevel="0" collapsed="false">
      <c r="A11" s="2" t="s">
        <v>13</v>
      </c>
      <c r="B11" s="4" t="s">
        <v>6</v>
      </c>
      <c r="C11" s="2"/>
      <c r="D11" s="2" t="s">
        <v>7</v>
      </c>
    </row>
    <row r="12" customFormat="false" ht="46.25" hidden="false" customHeight="false" outlineLevel="0" collapsed="false">
      <c r="A12" s="2" t="s">
        <v>14</v>
      </c>
      <c r="B12" s="4" t="s">
        <v>6</v>
      </c>
      <c r="C12" s="2"/>
      <c r="D12" s="2" t="s">
        <v>7</v>
      </c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false" outlineLevel="0" collapsed="false">
      <c r="A14" s="5" t="s">
        <v>15</v>
      </c>
      <c r="B14" s="2"/>
      <c r="C14" s="2"/>
      <c r="D14" s="2"/>
    </row>
    <row r="15" customFormat="false" ht="57.45" hidden="false" customHeight="false" outlineLevel="0" collapsed="false">
      <c r="A15" s="2" t="s">
        <v>16</v>
      </c>
      <c r="B15" s="2"/>
      <c r="C15" s="2"/>
      <c r="D15" s="2"/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5" t="s">
        <v>17</v>
      </c>
      <c r="B17" s="2"/>
      <c r="C17" s="2"/>
      <c r="D17" s="2"/>
    </row>
    <row r="18" customFormat="false" ht="68.65" hidden="false" customHeight="false" outlineLevel="0" collapsed="false">
      <c r="A18" s="2" t="s">
        <v>18</v>
      </c>
      <c r="B18" s="2"/>
      <c r="C18" s="2"/>
      <c r="D18" s="2"/>
    </row>
  </sheetData>
  <dataValidations count="8">
    <dataValidation allowBlank="false" errorStyle="stop" operator="between" showDropDown="false" showErrorMessage="false" showInputMessage="false" sqref="B5" type="list">
      <formula1>Query_Filter_Lists!$A$2:$A$3</formula1>
      <formula2>0</formula2>
    </dataValidation>
    <dataValidation allowBlank="false" errorStyle="stop" operator="between" showDropDown="false" showErrorMessage="false" showInputMessage="false" sqref="B6" type="list">
      <formula1>Query_Filter_Lists!$B$2:$B$5</formula1>
      <formula2>0</formula2>
    </dataValidation>
    <dataValidation allowBlank="false" errorStyle="stop" operator="between" showDropDown="false" showErrorMessage="false" showInputMessage="false" sqref="B7" type="list">
      <formula1>Query_Filter_Lists!$C$2:$C$6</formula1>
      <formula2>0</formula2>
    </dataValidation>
    <dataValidation allowBlank="false" errorStyle="stop" operator="between" showDropDown="false" showErrorMessage="false" showInputMessage="false" sqref="B8" type="list">
      <formula1>Query_Filter_Lists!$D$2:$D$86</formula1>
      <formula2>0</formula2>
    </dataValidation>
    <dataValidation allowBlank="false" errorStyle="stop" operator="between" showDropDown="false" showErrorMessage="false" showInputMessage="false" sqref="B9" type="list">
      <formula1>Query_Filter_Lists!$E$2:$E$12</formula1>
      <formula2>0</formula2>
    </dataValidation>
    <dataValidation allowBlank="false" errorStyle="stop" operator="between" showDropDown="false" showErrorMessage="false" showInputMessage="false" sqref="B10" type="list">
      <formula1>Query_Filter_Lists!$F$2:$F$6</formula1>
      <formula2>0</formula2>
    </dataValidation>
    <dataValidation allowBlank="false" errorStyle="stop" operator="between" showDropDown="false" showErrorMessage="false" showInputMessage="false" sqref="B11" type="list">
      <formula1>Query_Filter_Lists!$G$2:$G$8</formula1>
      <formula2>0</formula2>
    </dataValidation>
    <dataValidation allowBlank="false" errorStyle="stop" operator="between" showDropDown="false" showErrorMessage="false" showInputMessage="false" sqref="B12" type="list">
      <formula1>Query_Filter_Lists!$H$2:$H$6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5" min="1" style="0" width="24"/>
  </cols>
  <sheetData>
    <row r="1" customFormat="false" ht="37.3" hidden="false" customHeight="false" outlineLevel="0" collapsed="false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46.25" hidden="false" customHeight="fals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 t="s">
        <v>21</v>
      </c>
      <c r="B4" s="2" t="n">
        <f aca="false">COUNTIF(Query_Source_View!$Y$2:$Y$1000,1)</f>
        <v>352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2" t="s">
        <v>5</v>
      </c>
      <c r="B5" s="2" t="str">
        <f aca="false">Query_Interface!B5</f>
        <v>All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2" t="s">
        <v>8</v>
      </c>
      <c r="B6" s="2" t="str">
        <f aca="false">Query_Interface!B6</f>
        <v>All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2" t="s">
        <v>9</v>
      </c>
      <c r="B7" s="2" t="str">
        <f aca="false">Query_Interface!B7</f>
        <v>All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15" hidden="false" customHeight="false" outlineLevel="0" collapsed="false">
      <c r="A8" s="2" t="s">
        <v>10</v>
      </c>
      <c r="B8" s="2" t="str">
        <f aca="false">Query_Interface!B8</f>
        <v>All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2" t="s">
        <v>11</v>
      </c>
      <c r="B9" s="2" t="str">
        <f aca="false">Query_Interface!B9</f>
        <v>All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2" t="s">
        <v>12</v>
      </c>
      <c r="B10" s="2" t="str">
        <f aca="false">Query_Interface!B10</f>
        <v>All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" hidden="false" customHeight="false" outlineLevel="0" collapsed="false">
      <c r="A11" s="2" t="s">
        <v>13</v>
      </c>
      <c r="B11" s="2" t="str">
        <f aca="false">Query_Interface!B11</f>
        <v>All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5" hidden="false" customHeight="false" outlineLevel="0" collapsed="false">
      <c r="A12" s="2" t="s">
        <v>14</v>
      </c>
      <c r="B12" s="2" t="str">
        <f aca="false">Query_Interface!B12</f>
        <v>All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3" t="s">
        <v>22</v>
      </c>
      <c r="B14" s="3" t="s">
        <v>23</v>
      </c>
      <c r="C14" s="3" t="s">
        <v>8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 t="s">
        <v>29</v>
      </c>
      <c r="J14" s="3" t="s">
        <v>12</v>
      </c>
      <c r="K14" s="3" t="s">
        <v>13</v>
      </c>
      <c r="L14" s="3" t="s">
        <v>30</v>
      </c>
      <c r="M14" s="3" t="s">
        <v>31</v>
      </c>
      <c r="N14" s="3" t="s">
        <v>32</v>
      </c>
      <c r="O14" s="3" t="s">
        <v>33</v>
      </c>
    </row>
    <row r="15" customFormat="false" ht="23.85" hidden="false" customHeight="false" outlineLevel="0" collapsed="false">
      <c r="A15" s="2" t="str">
        <f aca="false">IFERROR(INDEX(Query_Source_View!$A:$A,MATCH(ROW()-14,Query_Source_View!$Z:$Z,0)),"")</f>
        <v>PNT000001</v>
      </c>
      <c r="B15" s="2" t="str">
        <f aca="false">IFERROR(INDEX(Query_Source_View!$D:$D,MATCH(ROW()-14,Query_Source_View!$Z:$Z,0)),"")</f>
        <v>Winsor And Newton</v>
      </c>
      <c r="C15" s="2" t="str">
        <f aca="false">IFERROR(INDEX(Query_Source_View!$F:$F,MATCH(ROW()-14,Query_Source_View!$Z:$Z,0)),"")</f>
        <v>Oil</v>
      </c>
      <c r="D15" s="2" t="str">
        <f aca="false">IFERROR(INDEX(Query_Source_View!$H:$H,MATCH(ROW()-14,Query_Source_View!$Z:$Z,0)),"")</f>
        <v>Artists Oil</v>
      </c>
      <c r="E15" s="2" t="str">
        <f aca="false">IFERROR(INDEX(Query_Source_View!$J:$J,MATCH(ROW()-14,Query_Source_View!$Z:$Z,0)),"")</f>
        <v>Alizarin Crimson</v>
      </c>
      <c r="F15" s="2" t="str">
        <f aca="false">IFERROR(INDEX(Query_Source_View!$L:$L,MATCH(ROW()-14,Query_Source_View!$Z:$Z,0)),"")</f>
        <v>Red</v>
      </c>
      <c r="G15" s="2" t="str">
        <f aca="false">IFERROR(INDEX(Query_Source_View!$N:$N,MATCH(ROW()-14,Query_Source_View!$Z:$Z,0)),"")</f>
        <v>PR83</v>
      </c>
      <c r="H15" s="2" t="n">
        <f aca="false">IFERROR(INDEX(Query_Source_View!$P:$P,MATCH(ROW()-14,Query_Source_View!$Z:$Z,0)),"")</f>
        <v>1</v>
      </c>
      <c r="I15" s="2" t="str">
        <f aca="false">IFERROR(INDEX(Query_Source_View!$Q:$Q,MATCH(ROW()-14,Query_Source_View!$Z:$Z,0)),"")</f>
        <v>Yes</v>
      </c>
      <c r="J15" s="2" t="n">
        <f aca="false">IFERROR(INDEX(Query_Source_View!$R:$R,MATCH(ROW()-14,Query_Source_View!$Z:$Z,0)),"")</f>
        <v>0</v>
      </c>
      <c r="K15" s="2" t="str">
        <f aca="false">IFERROR(INDEX(Query_Source_View!$T:$T,MATCH(ROW()-14,Query_Source_View!$Z:$Z,0)),"")</f>
        <v>B</v>
      </c>
      <c r="L15" s="2" t="n">
        <f aca="false">IFERROR(INDEX(Query_Source_View!$U:$U,MATCH(ROW()-14,Query_Source_View!$Z:$Z,0)),"")</f>
        <v>0</v>
      </c>
      <c r="M15" s="2" t="n">
        <f aca="false">IFERROR(INDEX(Query_Source_View!$V:$V,MATCH(ROW()-14,Query_Source_View!$Z:$Z,0)),"")</f>
        <v>0</v>
      </c>
      <c r="N15" s="2" t="str">
        <f aca="false">IFERROR(INDEX(Query_Source_View!$W:$W,MATCH(ROW()-14,Query_Source_View!$Z:$Z,0)),"")</f>
        <v>Needs Review</v>
      </c>
      <c r="O15" s="2" t="str">
        <f aca="false">IFERROR(INDEX(Query_Source_View!$X:$X,MATCH(ROW()-14,Query_Source_View!$Z:$Z,0)),"")</f>
        <v>https://sensuallogic.com/artistcolordata</v>
      </c>
    </row>
    <row r="16" customFormat="false" ht="23.85" hidden="false" customHeight="false" outlineLevel="0" collapsed="false">
      <c r="A16" s="2" t="str">
        <f aca="false">IFERROR(INDEX(Query_Source_View!$A:$A,MATCH(ROW()-14,Query_Source_View!$Z:$Z,0)),"")</f>
        <v>PNT000002</v>
      </c>
      <c r="B16" s="2" t="str">
        <f aca="false">IFERROR(INDEX(Query_Source_View!$D:$D,MATCH(ROW()-14,Query_Source_View!$Z:$Z,0)),"")</f>
        <v>Winsor And Newton</v>
      </c>
      <c r="C16" s="2" t="str">
        <f aca="false">IFERROR(INDEX(Query_Source_View!$F:$F,MATCH(ROW()-14,Query_Source_View!$Z:$Z,0)),"")</f>
        <v>Oil</v>
      </c>
      <c r="D16" s="2" t="str">
        <f aca="false">IFERROR(INDEX(Query_Source_View!$H:$H,MATCH(ROW()-14,Query_Source_View!$Z:$Z,0)),"")</f>
        <v>Artists Oil</v>
      </c>
      <c r="E16" s="2" t="str">
        <f aca="false">IFERROR(INDEX(Query_Source_View!$J:$J,MATCH(ROW()-14,Query_Source_View!$Z:$Z,0)),"")</f>
        <v>Bismuth Yellow</v>
      </c>
      <c r="F16" s="2" t="str">
        <f aca="false">IFERROR(INDEX(Query_Source_View!$L:$L,MATCH(ROW()-14,Query_Source_View!$Z:$Z,0)),"")</f>
        <v>Yellow</v>
      </c>
      <c r="G16" s="2" t="str">
        <f aca="false">IFERROR(INDEX(Query_Source_View!$N:$N,MATCH(ROW()-14,Query_Source_View!$Z:$Z,0)),"")</f>
        <v>PY184</v>
      </c>
      <c r="H16" s="2" t="n">
        <f aca="false">IFERROR(INDEX(Query_Source_View!$P:$P,MATCH(ROW()-14,Query_Source_View!$Z:$Z,0)),"")</f>
        <v>1</v>
      </c>
      <c r="I16" s="2" t="str">
        <f aca="false">IFERROR(INDEX(Query_Source_View!$Q:$Q,MATCH(ROW()-14,Query_Source_View!$Z:$Z,0)),"")</f>
        <v>Yes</v>
      </c>
      <c r="J16" s="2" t="n">
        <f aca="false">IFERROR(INDEX(Query_Source_View!$R:$R,MATCH(ROW()-14,Query_Source_View!$Z:$Z,0)),"")</f>
        <v>0</v>
      </c>
      <c r="K16" s="2" t="str">
        <f aca="false">IFERROR(INDEX(Query_Source_View!$T:$T,MATCH(ROW()-14,Query_Source_View!$Z:$Z,0)),"")</f>
        <v>A</v>
      </c>
      <c r="L16" s="2" t="n">
        <f aca="false">IFERROR(INDEX(Query_Source_View!$U:$U,MATCH(ROW()-14,Query_Source_View!$Z:$Z,0)),"")</f>
        <v>0</v>
      </c>
      <c r="M16" s="2" t="n">
        <f aca="false">IFERROR(INDEX(Query_Source_View!$V:$V,MATCH(ROW()-14,Query_Source_View!$Z:$Z,0)),"")</f>
        <v>0</v>
      </c>
      <c r="N16" s="2" t="str">
        <f aca="false">IFERROR(INDEX(Query_Source_View!$W:$W,MATCH(ROW()-14,Query_Source_View!$Z:$Z,0)),"")</f>
        <v>Needs Review</v>
      </c>
      <c r="O16" s="2" t="str">
        <f aca="false">IFERROR(INDEX(Query_Source_View!$X:$X,MATCH(ROW()-14,Query_Source_View!$Z:$Z,0)),"")</f>
        <v>https://sensuallogic.com/artistcolordata</v>
      </c>
    </row>
    <row r="17" customFormat="false" ht="23.85" hidden="false" customHeight="false" outlineLevel="0" collapsed="false">
      <c r="A17" s="2" t="str">
        <f aca="false">IFERROR(INDEX(Query_Source_View!$A:$A,MATCH(ROW()-14,Query_Source_View!$Z:$Z,0)),"")</f>
        <v>PNT000003</v>
      </c>
      <c r="B17" s="2" t="str">
        <f aca="false">IFERROR(INDEX(Query_Source_View!$D:$D,MATCH(ROW()-14,Query_Source_View!$Z:$Z,0)),"")</f>
        <v>Winsor And Newton</v>
      </c>
      <c r="C17" s="2" t="str">
        <f aca="false">IFERROR(INDEX(Query_Source_View!$F:$F,MATCH(ROW()-14,Query_Source_View!$Z:$Z,0)),"")</f>
        <v>Oil</v>
      </c>
      <c r="D17" s="2" t="str">
        <f aca="false">IFERROR(INDEX(Query_Source_View!$H:$H,MATCH(ROW()-14,Query_Source_View!$Z:$Z,0)),"")</f>
        <v>Artists Oil</v>
      </c>
      <c r="E17" s="2" t="str">
        <f aca="false">IFERROR(INDEX(Query_Source_View!$J:$J,MATCH(ROW()-14,Query_Source_View!$Z:$Z,0)),"")</f>
        <v>Bright Red</v>
      </c>
      <c r="F17" s="2" t="str">
        <f aca="false">IFERROR(INDEX(Query_Source_View!$L:$L,MATCH(ROW()-14,Query_Source_View!$Z:$Z,0)),"")</f>
        <v>Red</v>
      </c>
      <c r="G17" s="2" t="str">
        <f aca="false">IFERROR(INDEX(Query_Source_View!$N:$N,MATCH(ROW()-14,Query_Source_View!$Z:$Z,0)),"")</f>
        <v>PR</v>
      </c>
      <c r="H17" s="2" t="n">
        <f aca="false">IFERROR(INDEX(Query_Source_View!$P:$P,MATCH(ROW()-14,Query_Source_View!$Z:$Z,0)),"")</f>
        <v>1</v>
      </c>
      <c r="I17" s="2" t="str">
        <f aca="false">IFERROR(INDEX(Query_Source_View!$Q:$Q,MATCH(ROW()-14,Query_Source_View!$Z:$Z,0)),"")</f>
        <v>Yes</v>
      </c>
      <c r="J17" s="2" t="n">
        <f aca="false">IFERROR(INDEX(Query_Source_View!$R:$R,MATCH(ROW()-14,Query_Source_View!$Z:$Z,0)),"")</f>
        <v>0</v>
      </c>
      <c r="K17" s="2" t="str">
        <f aca="false">IFERROR(INDEX(Query_Source_View!$T:$T,MATCH(ROW()-14,Query_Source_View!$Z:$Z,0)),"")</f>
        <v>A</v>
      </c>
      <c r="L17" s="2" t="n">
        <f aca="false">IFERROR(INDEX(Query_Source_View!$U:$U,MATCH(ROW()-14,Query_Source_View!$Z:$Z,0)),"")</f>
        <v>0</v>
      </c>
      <c r="M17" s="2" t="n">
        <f aca="false">IFERROR(INDEX(Query_Source_View!$V:$V,MATCH(ROW()-14,Query_Source_View!$Z:$Z,0)),"")</f>
        <v>0</v>
      </c>
      <c r="N17" s="2" t="str">
        <f aca="false">IFERROR(INDEX(Query_Source_View!$W:$W,MATCH(ROW()-14,Query_Source_View!$Z:$Z,0)),"")</f>
        <v>Needs Review</v>
      </c>
      <c r="O17" s="2" t="str">
        <f aca="false">IFERROR(INDEX(Query_Source_View!$X:$X,MATCH(ROW()-14,Query_Source_View!$Z:$Z,0)),"")</f>
        <v>https://sensuallogic.com/artistcolordata</v>
      </c>
    </row>
    <row r="18" customFormat="false" ht="23.85" hidden="false" customHeight="false" outlineLevel="0" collapsed="false">
      <c r="A18" s="2" t="str">
        <f aca="false">IFERROR(INDEX(Query_Source_View!$A:$A,MATCH(ROW()-14,Query_Source_View!$Z:$Z,0)),"")</f>
        <v>PNT000004</v>
      </c>
      <c r="B18" s="2" t="str">
        <f aca="false">IFERROR(INDEX(Query_Source_View!$D:$D,MATCH(ROW()-14,Query_Source_View!$Z:$Z,0)),"")</f>
        <v>Winsor And Newton</v>
      </c>
      <c r="C18" s="2" t="str">
        <f aca="false">IFERROR(INDEX(Query_Source_View!$F:$F,MATCH(ROW()-14,Query_Source_View!$Z:$Z,0)),"")</f>
        <v>Oil</v>
      </c>
      <c r="D18" s="2" t="str">
        <f aca="false">IFERROR(INDEX(Query_Source_View!$H:$H,MATCH(ROW()-14,Query_Source_View!$Z:$Z,0)),"")</f>
        <v>Artists Oil</v>
      </c>
      <c r="E18" s="2" t="str">
        <f aca="false">IFERROR(INDEX(Query_Source_View!$J:$J,MATCH(ROW()-14,Query_Source_View!$Z:$Z,0)),"")</f>
        <v>Burnt Sienna</v>
      </c>
      <c r="F18" s="2" t="str">
        <f aca="false">IFERROR(INDEX(Query_Source_View!$L:$L,MATCH(ROW()-14,Query_Source_View!$Z:$Z,0)),"")</f>
        <v>Orange</v>
      </c>
      <c r="G18" s="2" t="str">
        <f aca="false">IFERROR(INDEX(Query_Source_View!$N:$N,MATCH(ROW()-14,Query_Source_View!$Z:$Z,0)),"")</f>
        <v>PR101</v>
      </c>
      <c r="H18" s="2" t="n">
        <f aca="false">IFERROR(INDEX(Query_Source_View!$P:$P,MATCH(ROW()-14,Query_Source_View!$Z:$Z,0)),"")</f>
        <v>1</v>
      </c>
      <c r="I18" s="2" t="str">
        <f aca="false">IFERROR(INDEX(Query_Source_View!$Q:$Q,MATCH(ROW()-14,Query_Source_View!$Z:$Z,0)),"")</f>
        <v>Yes</v>
      </c>
      <c r="J18" s="2" t="n">
        <f aca="false">IFERROR(INDEX(Query_Source_View!$R:$R,MATCH(ROW()-14,Query_Source_View!$Z:$Z,0)),"")</f>
        <v>0</v>
      </c>
      <c r="K18" s="2" t="str">
        <f aca="false">IFERROR(INDEX(Query_Source_View!$T:$T,MATCH(ROW()-14,Query_Source_View!$Z:$Z,0)),"")</f>
        <v>AA</v>
      </c>
      <c r="L18" s="2" t="n">
        <f aca="false">IFERROR(INDEX(Query_Source_View!$U:$U,MATCH(ROW()-14,Query_Source_View!$Z:$Z,0)),"")</f>
        <v>0</v>
      </c>
      <c r="M18" s="2" t="n">
        <f aca="false">IFERROR(INDEX(Query_Source_View!$V:$V,MATCH(ROW()-14,Query_Source_View!$Z:$Z,0)),"")</f>
        <v>0</v>
      </c>
      <c r="N18" s="2" t="str">
        <f aca="false">IFERROR(INDEX(Query_Source_View!$W:$W,MATCH(ROW()-14,Query_Source_View!$Z:$Z,0)),"")</f>
        <v>Needs Review</v>
      </c>
      <c r="O18" s="2" t="str">
        <f aca="false">IFERROR(INDEX(Query_Source_View!$X:$X,MATCH(ROW()-14,Query_Source_View!$Z:$Z,0)),"")</f>
        <v>https://sensuallogic.com/artistcolordata</v>
      </c>
    </row>
    <row r="19" customFormat="false" ht="23.85" hidden="false" customHeight="false" outlineLevel="0" collapsed="false">
      <c r="A19" s="2" t="str">
        <f aca="false">IFERROR(INDEX(Query_Source_View!$A:$A,MATCH(ROW()-14,Query_Source_View!$Z:$Z,0)),"")</f>
        <v>PNT000005</v>
      </c>
      <c r="B19" s="2" t="str">
        <f aca="false">IFERROR(INDEX(Query_Source_View!$D:$D,MATCH(ROW()-14,Query_Source_View!$Z:$Z,0)),"")</f>
        <v>Winsor And Newton</v>
      </c>
      <c r="C19" s="2" t="str">
        <f aca="false">IFERROR(INDEX(Query_Source_View!$F:$F,MATCH(ROW()-14,Query_Source_View!$Z:$Z,0)),"")</f>
        <v>Oil</v>
      </c>
      <c r="D19" s="2" t="str">
        <f aca="false">IFERROR(INDEX(Query_Source_View!$H:$H,MATCH(ROW()-14,Query_Source_View!$Z:$Z,0)),"")</f>
        <v>Artists Oil</v>
      </c>
      <c r="E19" s="2" t="str">
        <f aca="false">IFERROR(INDEX(Query_Source_View!$J:$J,MATCH(ROW()-14,Query_Source_View!$Z:$Z,0)),"")</f>
        <v>Cadmium Lemon</v>
      </c>
      <c r="F19" s="2" t="str">
        <f aca="false">IFERROR(INDEX(Query_Source_View!$L:$L,MATCH(ROW()-14,Query_Source_View!$Z:$Z,0)),"")</f>
        <v>Yellow</v>
      </c>
      <c r="G19" s="2" t="str">
        <f aca="false">IFERROR(INDEX(Query_Source_View!$N:$N,MATCH(ROW()-14,Query_Source_View!$Z:$Z,0)),"")</f>
        <v>PY35</v>
      </c>
      <c r="H19" s="2" t="n">
        <f aca="false">IFERROR(INDEX(Query_Source_View!$P:$P,MATCH(ROW()-14,Query_Source_View!$Z:$Z,0)),"")</f>
        <v>1</v>
      </c>
      <c r="I19" s="2" t="str">
        <f aca="false">IFERROR(INDEX(Query_Source_View!$Q:$Q,MATCH(ROW()-14,Query_Source_View!$Z:$Z,0)),"")</f>
        <v>Yes</v>
      </c>
      <c r="J19" s="2" t="n">
        <f aca="false">IFERROR(INDEX(Query_Source_View!$R:$R,MATCH(ROW()-14,Query_Source_View!$Z:$Z,0)),"")</f>
        <v>0</v>
      </c>
      <c r="K19" s="2" t="str">
        <f aca="false">IFERROR(INDEX(Query_Source_View!$T:$T,MATCH(ROW()-14,Query_Source_View!$Z:$Z,0)),"")</f>
        <v>A</v>
      </c>
      <c r="L19" s="2" t="n">
        <f aca="false">IFERROR(INDEX(Query_Source_View!$U:$U,MATCH(ROW()-14,Query_Source_View!$Z:$Z,0)),"")</f>
        <v>0</v>
      </c>
      <c r="M19" s="2" t="n">
        <f aca="false">IFERROR(INDEX(Query_Source_View!$V:$V,MATCH(ROW()-14,Query_Source_View!$Z:$Z,0)),"")</f>
        <v>0</v>
      </c>
      <c r="N19" s="2" t="str">
        <f aca="false">IFERROR(INDEX(Query_Source_View!$W:$W,MATCH(ROW()-14,Query_Source_View!$Z:$Z,0)),"")</f>
        <v>Needs Review</v>
      </c>
      <c r="O19" s="2" t="str">
        <f aca="false">IFERROR(INDEX(Query_Source_View!$X:$X,MATCH(ROW()-14,Query_Source_View!$Z:$Z,0)),"")</f>
        <v>https://sensuallogic.com/artistcolordata</v>
      </c>
    </row>
    <row r="20" customFormat="false" ht="23.85" hidden="false" customHeight="false" outlineLevel="0" collapsed="false">
      <c r="A20" s="2" t="str">
        <f aca="false">IFERROR(INDEX(Query_Source_View!$A:$A,MATCH(ROW()-14,Query_Source_View!$Z:$Z,0)),"")</f>
        <v>PNT000006</v>
      </c>
      <c r="B20" s="2" t="str">
        <f aca="false">IFERROR(INDEX(Query_Source_View!$D:$D,MATCH(ROW()-14,Query_Source_View!$Z:$Z,0)),"")</f>
        <v>Winsor And Newton</v>
      </c>
      <c r="C20" s="2" t="str">
        <f aca="false">IFERROR(INDEX(Query_Source_View!$F:$F,MATCH(ROW()-14,Query_Source_View!$Z:$Z,0)),"")</f>
        <v>Oil</v>
      </c>
      <c r="D20" s="2" t="str">
        <f aca="false">IFERROR(INDEX(Query_Source_View!$H:$H,MATCH(ROW()-14,Query_Source_View!$Z:$Z,0)),"")</f>
        <v>Artists Oil</v>
      </c>
      <c r="E20" s="2" t="str">
        <f aca="false">IFERROR(INDEX(Query_Source_View!$J:$J,MATCH(ROW()-14,Query_Source_View!$Z:$Z,0)),"")</f>
        <v>Cadmium Red</v>
      </c>
      <c r="F20" s="2" t="str">
        <f aca="false">IFERROR(INDEX(Query_Source_View!$L:$L,MATCH(ROW()-14,Query_Source_View!$Z:$Z,0)),"")</f>
        <v>Red</v>
      </c>
      <c r="G20" s="2" t="str">
        <f aca="false">IFERROR(INDEX(Query_Source_View!$N:$N,MATCH(ROW()-14,Query_Source_View!$Z:$Z,0)),"")</f>
        <v>PR108</v>
      </c>
      <c r="H20" s="2" t="n">
        <f aca="false">IFERROR(INDEX(Query_Source_View!$P:$P,MATCH(ROW()-14,Query_Source_View!$Z:$Z,0)),"")</f>
        <v>1</v>
      </c>
      <c r="I20" s="2" t="str">
        <f aca="false">IFERROR(INDEX(Query_Source_View!$Q:$Q,MATCH(ROW()-14,Query_Source_View!$Z:$Z,0)),"")</f>
        <v>Yes</v>
      </c>
      <c r="J20" s="2" t="n">
        <f aca="false">IFERROR(INDEX(Query_Source_View!$R:$R,MATCH(ROW()-14,Query_Source_View!$Z:$Z,0)),"")</f>
        <v>0</v>
      </c>
      <c r="K20" s="2" t="str">
        <f aca="false">IFERROR(INDEX(Query_Source_View!$T:$T,MATCH(ROW()-14,Query_Source_View!$Z:$Z,0)),"")</f>
        <v>A</v>
      </c>
      <c r="L20" s="2" t="n">
        <f aca="false">IFERROR(INDEX(Query_Source_View!$U:$U,MATCH(ROW()-14,Query_Source_View!$Z:$Z,0)),"")</f>
        <v>0</v>
      </c>
      <c r="M20" s="2" t="n">
        <f aca="false">IFERROR(INDEX(Query_Source_View!$V:$V,MATCH(ROW()-14,Query_Source_View!$Z:$Z,0)),"")</f>
        <v>0</v>
      </c>
      <c r="N20" s="2" t="str">
        <f aca="false">IFERROR(INDEX(Query_Source_View!$W:$W,MATCH(ROW()-14,Query_Source_View!$Z:$Z,0)),"")</f>
        <v>Needs Review</v>
      </c>
      <c r="O20" s="2" t="str">
        <f aca="false">IFERROR(INDEX(Query_Source_View!$X:$X,MATCH(ROW()-14,Query_Source_View!$Z:$Z,0)),"")</f>
        <v>https://sensuallogic.com/artistcolordata</v>
      </c>
    </row>
    <row r="21" customFormat="false" ht="23.85" hidden="false" customHeight="false" outlineLevel="0" collapsed="false">
      <c r="A21" s="2" t="str">
        <f aca="false">IFERROR(INDEX(Query_Source_View!$A:$A,MATCH(ROW()-14,Query_Source_View!$Z:$Z,0)),"")</f>
        <v>PNT000007</v>
      </c>
      <c r="B21" s="2" t="str">
        <f aca="false">IFERROR(INDEX(Query_Source_View!$D:$D,MATCH(ROW()-14,Query_Source_View!$Z:$Z,0)),"")</f>
        <v>Winsor And Newton</v>
      </c>
      <c r="C21" s="2" t="str">
        <f aca="false">IFERROR(INDEX(Query_Source_View!$F:$F,MATCH(ROW()-14,Query_Source_View!$Z:$Z,0)),"")</f>
        <v>Oil</v>
      </c>
      <c r="D21" s="2" t="str">
        <f aca="false">IFERROR(INDEX(Query_Source_View!$H:$H,MATCH(ROW()-14,Query_Source_View!$Z:$Z,0)),"")</f>
        <v>Artists Oil</v>
      </c>
      <c r="E21" s="2" t="str">
        <f aca="false">IFERROR(INDEX(Query_Source_View!$J:$J,MATCH(ROW()-14,Query_Source_View!$Z:$Z,0)),"")</f>
        <v>Cadmium Yellow</v>
      </c>
      <c r="F21" s="2" t="str">
        <f aca="false">IFERROR(INDEX(Query_Source_View!$L:$L,MATCH(ROW()-14,Query_Source_View!$Z:$Z,0)),"")</f>
        <v>Yellow</v>
      </c>
      <c r="G21" s="2" t="str">
        <f aca="false">IFERROR(INDEX(Query_Source_View!$N:$N,MATCH(ROW()-14,Query_Source_View!$Z:$Z,0)),"")</f>
        <v>PY35</v>
      </c>
      <c r="H21" s="2" t="n">
        <f aca="false">IFERROR(INDEX(Query_Source_View!$P:$P,MATCH(ROW()-14,Query_Source_View!$Z:$Z,0)),"")</f>
        <v>1</v>
      </c>
      <c r="I21" s="2" t="str">
        <f aca="false">IFERROR(INDEX(Query_Source_View!$Q:$Q,MATCH(ROW()-14,Query_Source_View!$Z:$Z,0)),"")</f>
        <v>Yes</v>
      </c>
      <c r="J21" s="2" t="n">
        <f aca="false">IFERROR(INDEX(Query_Source_View!$R:$R,MATCH(ROW()-14,Query_Source_View!$Z:$Z,0)),"")</f>
        <v>0</v>
      </c>
      <c r="K21" s="2" t="str">
        <f aca="false">IFERROR(INDEX(Query_Source_View!$T:$T,MATCH(ROW()-14,Query_Source_View!$Z:$Z,0)),"")</f>
        <v>A</v>
      </c>
      <c r="L21" s="2" t="n">
        <f aca="false">IFERROR(INDEX(Query_Source_View!$U:$U,MATCH(ROW()-14,Query_Source_View!$Z:$Z,0)),"")</f>
        <v>0</v>
      </c>
      <c r="M21" s="2" t="n">
        <f aca="false">IFERROR(INDEX(Query_Source_View!$V:$V,MATCH(ROW()-14,Query_Source_View!$Z:$Z,0)),"")</f>
        <v>0</v>
      </c>
      <c r="N21" s="2" t="str">
        <f aca="false">IFERROR(INDEX(Query_Source_View!$W:$W,MATCH(ROW()-14,Query_Source_View!$Z:$Z,0)),"")</f>
        <v>Needs Review</v>
      </c>
      <c r="O21" s="2" t="str">
        <f aca="false">IFERROR(INDEX(Query_Source_View!$X:$X,MATCH(ROW()-14,Query_Source_View!$Z:$Z,0)),"")</f>
        <v>https://sensuallogic.com/artistcolordata</v>
      </c>
    </row>
    <row r="22" customFormat="false" ht="23.85" hidden="false" customHeight="false" outlineLevel="0" collapsed="false">
      <c r="A22" s="2" t="str">
        <f aca="false">IFERROR(INDEX(Query_Source_View!$A:$A,MATCH(ROW()-14,Query_Source_View!$Z:$Z,0)),"")</f>
        <v>PNT000008</v>
      </c>
      <c r="B22" s="2" t="str">
        <f aca="false">IFERROR(INDEX(Query_Source_View!$D:$D,MATCH(ROW()-14,Query_Source_View!$Z:$Z,0)),"")</f>
        <v>Winsor And Newton</v>
      </c>
      <c r="C22" s="2" t="str">
        <f aca="false">IFERROR(INDEX(Query_Source_View!$F:$F,MATCH(ROW()-14,Query_Source_View!$Z:$Z,0)),"")</f>
        <v>Oil</v>
      </c>
      <c r="D22" s="2" t="str">
        <f aca="false">IFERROR(INDEX(Query_Source_View!$H:$H,MATCH(ROW()-14,Query_Source_View!$Z:$Z,0)),"")</f>
        <v>Artists Oil</v>
      </c>
      <c r="E22" s="2" t="str">
        <f aca="false">IFERROR(INDEX(Query_Source_View!$J:$J,MATCH(ROW()-14,Query_Source_View!$Z:$Z,0)),"")</f>
        <v>Cadmium Yellow Deep</v>
      </c>
      <c r="F22" s="2" t="str">
        <f aca="false">IFERROR(INDEX(Query_Source_View!$L:$L,MATCH(ROW()-14,Query_Source_View!$Z:$Z,0)),"")</f>
        <v>Yellow</v>
      </c>
      <c r="G22" s="2" t="str">
        <f aca="false">IFERROR(INDEX(Query_Source_View!$N:$N,MATCH(ROW()-14,Query_Source_View!$Z:$Z,0)),"")</f>
        <v>PO20</v>
      </c>
      <c r="H22" s="2" t="n">
        <f aca="false">IFERROR(INDEX(Query_Source_View!$P:$P,MATCH(ROW()-14,Query_Source_View!$Z:$Z,0)),"")</f>
        <v>2</v>
      </c>
      <c r="I22" s="2" t="str">
        <f aca="false">IFERROR(INDEX(Query_Source_View!$Q:$Q,MATCH(ROW()-14,Query_Source_View!$Z:$Z,0)),"")</f>
        <v>No</v>
      </c>
      <c r="J22" s="2" t="n">
        <f aca="false">IFERROR(INDEX(Query_Source_View!$R:$R,MATCH(ROW()-14,Query_Source_View!$Z:$Z,0)),"")</f>
        <v>0</v>
      </c>
      <c r="K22" s="2" t="str">
        <f aca="false">IFERROR(INDEX(Query_Source_View!$T:$T,MATCH(ROW()-14,Query_Source_View!$Z:$Z,0)),"")</f>
        <v>A</v>
      </c>
      <c r="L22" s="2" t="n">
        <f aca="false">IFERROR(INDEX(Query_Source_View!$U:$U,MATCH(ROW()-14,Query_Source_View!$Z:$Z,0)),"")</f>
        <v>0</v>
      </c>
      <c r="M22" s="2" t="n">
        <f aca="false">IFERROR(INDEX(Query_Source_View!$V:$V,MATCH(ROW()-14,Query_Source_View!$Z:$Z,0)),"")</f>
        <v>0</v>
      </c>
      <c r="N22" s="2" t="str">
        <f aca="false">IFERROR(INDEX(Query_Source_View!$W:$W,MATCH(ROW()-14,Query_Source_View!$Z:$Z,0)),"")</f>
        <v>Needs Review</v>
      </c>
      <c r="O22" s="2" t="str">
        <f aca="false">IFERROR(INDEX(Query_Source_View!$X:$X,MATCH(ROW()-14,Query_Source_View!$Z:$Z,0)),"")</f>
        <v>https://sensuallogic.com/artistcolordata</v>
      </c>
    </row>
    <row r="23" customFormat="false" ht="23.85" hidden="false" customHeight="false" outlineLevel="0" collapsed="false">
      <c r="A23" s="2" t="str">
        <f aca="false">IFERROR(INDEX(Query_Source_View!$A:$A,MATCH(ROW()-14,Query_Source_View!$Z:$Z,0)),"")</f>
        <v>PNT000008</v>
      </c>
      <c r="B23" s="2" t="str">
        <f aca="false">IFERROR(INDEX(Query_Source_View!$D:$D,MATCH(ROW()-14,Query_Source_View!$Z:$Z,0)),"")</f>
        <v>Winsor And Newton</v>
      </c>
      <c r="C23" s="2" t="str">
        <f aca="false">IFERROR(INDEX(Query_Source_View!$F:$F,MATCH(ROW()-14,Query_Source_View!$Z:$Z,0)),"")</f>
        <v>Oil</v>
      </c>
      <c r="D23" s="2" t="str">
        <f aca="false">IFERROR(INDEX(Query_Source_View!$H:$H,MATCH(ROW()-14,Query_Source_View!$Z:$Z,0)),"")</f>
        <v>Artists Oil</v>
      </c>
      <c r="E23" s="2" t="str">
        <f aca="false">IFERROR(INDEX(Query_Source_View!$J:$J,MATCH(ROW()-14,Query_Source_View!$Z:$Z,0)),"")</f>
        <v>Cadmium Yellow Deep</v>
      </c>
      <c r="F23" s="2" t="str">
        <f aca="false">IFERROR(INDEX(Query_Source_View!$L:$L,MATCH(ROW()-14,Query_Source_View!$Z:$Z,0)),"")</f>
        <v>Yellow</v>
      </c>
      <c r="G23" s="2" t="str">
        <f aca="false">IFERROR(INDEX(Query_Source_View!$N:$N,MATCH(ROW()-14,Query_Source_View!$Z:$Z,0)),"")</f>
        <v>PY35</v>
      </c>
      <c r="H23" s="2" t="n">
        <f aca="false">IFERROR(INDEX(Query_Source_View!$P:$P,MATCH(ROW()-14,Query_Source_View!$Z:$Z,0)),"")</f>
        <v>2</v>
      </c>
      <c r="I23" s="2" t="str">
        <f aca="false">IFERROR(INDEX(Query_Source_View!$Q:$Q,MATCH(ROW()-14,Query_Source_View!$Z:$Z,0)),"")</f>
        <v>No</v>
      </c>
      <c r="J23" s="2" t="n">
        <f aca="false">IFERROR(INDEX(Query_Source_View!$R:$R,MATCH(ROW()-14,Query_Source_View!$Z:$Z,0)),"")</f>
        <v>0</v>
      </c>
      <c r="K23" s="2" t="str">
        <f aca="false">IFERROR(INDEX(Query_Source_View!$T:$T,MATCH(ROW()-14,Query_Source_View!$Z:$Z,0)),"")</f>
        <v>A</v>
      </c>
      <c r="L23" s="2" t="n">
        <f aca="false">IFERROR(INDEX(Query_Source_View!$U:$U,MATCH(ROW()-14,Query_Source_View!$Z:$Z,0)),"")</f>
        <v>0</v>
      </c>
      <c r="M23" s="2" t="n">
        <f aca="false">IFERROR(INDEX(Query_Source_View!$V:$V,MATCH(ROW()-14,Query_Source_View!$Z:$Z,0)),"")</f>
        <v>0</v>
      </c>
      <c r="N23" s="2" t="str">
        <f aca="false">IFERROR(INDEX(Query_Source_View!$W:$W,MATCH(ROW()-14,Query_Source_View!$Z:$Z,0)),"")</f>
        <v>Needs Review</v>
      </c>
      <c r="O23" s="2" t="str">
        <f aca="false">IFERROR(INDEX(Query_Source_View!$X:$X,MATCH(ROW()-14,Query_Source_View!$Z:$Z,0)),"")</f>
        <v>https://sensuallogic.com/artistcolordata</v>
      </c>
    </row>
    <row r="24" customFormat="false" ht="23.85" hidden="false" customHeight="false" outlineLevel="0" collapsed="false">
      <c r="A24" s="2" t="str">
        <f aca="false">IFERROR(INDEX(Query_Source_View!$A:$A,MATCH(ROW()-14,Query_Source_View!$Z:$Z,0)),"")</f>
        <v>PNT000009</v>
      </c>
      <c r="B24" s="2" t="str">
        <f aca="false">IFERROR(INDEX(Query_Source_View!$D:$D,MATCH(ROW()-14,Query_Source_View!$Z:$Z,0)),"")</f>
        <v>Winsor And Newton</v>
      </c>
      <c r="C24" s="2" t="str">
        <f aca="false">IFERROR(INDEX(Query_Source_View!$F:$F,MATCH(ROW()-14,Query_Source_View!$Z:$Z,0)),"")</f>
        <v>Oil</v>
      </c>
      <c r="D24" s="2" t="str">
        <f aca="false">IFERROR(INDEX(Query_Source_View!$H:$H,MATCH(ROW()-14,Query_Source_View!$Z:$Z,0)),"")</f>
        <v>Artists Oil</v>
      </c>
      <c r="E24" s="2" t="str">
        <f aca="false">IFERROR(INDEX(Query_Source_View!$J:$J,MATCH(ROW()-14,Query_Source_View!$Z:$Z,0)),"")</f>
        <v>Cerulean Blue</v>
      </c>
      <c r="F24" s="2" t="str">
        <f aca="false">IFERROR(INDEX(Query_Source_View!$L:$L,MATCH(ROW()-14,Query_Source_View!$Z:$Z,0)),"")</f>
        <v>Blue</v>
      </c>
      <c r="G24" s="2" t="str">
        <f aca="false">IFERROR(INDEX(Query_Source_View!$N:$N,MATCH(ROW()-14,Query_Source_View!$Z:$Z,0)),"")</f>
        <v>PB35</v>
      </c>
      <c r="H24" s="2" t="n">
        <f aca="false">IFERROR(INDEX(Query_Source_View!$P:$P,MATCH(ROW()-14,Query_Source_View!$Z:$Z,0)),"")</f>
        <v>1</v>
      </c>
      <c r="I24" s="2" t="str">
        <f aca="false">IFERROR(INDEX(Query_Source_View!$Q:$Q,MATCH(ROW()-14,Query_Source_View!$Z:$Z,0)),"")</f>
        <v>Yes</v>
      </c>
      <c r="J24" s="2" t="n">
        <f aca="false">IFERROR(INDEX(Query_Source_View!$R:$R,MATCH(ROW()-14,Query_Source_View!$Z:$Z,0)),"")</f>
        <v>0</v>
      </c>
      <c r="K24" s="2" t="str">
        <f aca="false">IFERROR(INDEX(Query_Source_View!$T:$T,MATCH(ROW()-14,Query_Source_View!$Z:$Z,0)),"")</f>
        <v>AA</v>
      </c>
      <c r="L24" s="2" t="n">
        <f aca="false">IFERROR(INDEX(Query_Source_View!$U:$U,MATCH(ROW()-14,Query_Source_View!$Z:$Z,0)),"")</f>
        <v>0</v>
      </c>
      <c r="M24" s="2" t="n">
        <f aca="false">IFERROR(INDEX(Query_Source_View!$V:$V,MATCH(ROW()-14,Query_Source_View!$Z:$Z,0)),"")</f>
        <v>0</v>
      </c>
      <c r="N24" s="2" t="str">
        <f aca="false">IFERROR(INDEX(Query_Source_View!$W:$W,MATCH(ROW()-14,Query_Source_View!$Z:$Z,0)),"")</f>
        <v>Needs Review</v>
      </c>
      <c r="O24" s="2" t="str">
        <f aca="false">IFERROR(INDEX(Query_Source_View!$X:$X,MATCH(ROW()-14,Query_Source_View!$Z:$Z,0)),"")</f>
        <v>https://sensuallogic.com/artistcolordata</v>
      </c>
    </row>
    <row r="25" customFormat="false" ht="23.85" hidden="false" customHeight="false" outlineLevel="0" collapsed="false">
      <c r="A25" s="2" t="str">
        <f aca="false">IFERROR(INDEX(Query_Source_View!$A:$A,MATCH(ROW()-14,Query_Source_View!$Z:$Z,0)),"")</f>
        <v>PNT000010</v>
      </c>
      <c r="B25" s="2" t="str">
        <f aca="false">IFERROR(INDEX(Query_Source_View!$D:$D,MATCH(ROW()-14,Query_Source_View!$Z:$Z,0)),"")</f>
        <v>Winsor And Newton</v>
      </c>
      <c r="C25" s="2" t="str">
        <f aca="false">IFERROR(INDEX(Query_Source_View!$F:$F,MATCH(ROW()-14,Query_Source_View!$Z:$Z,0)),"")</f>
        <v>Oil</v>
      </c>
      <c r="D25" s="2" t="str">
        <f aca="false">IFERROR(INDEX(Query_Source_View!$H:$H,MATCH(ROW()-14,Query_Source_View!$Z:$Z,0)),"")</f>
        <v>Artists Oil</v>
      </c>
      <c r="E25" s="2" t="str">
        <f aca="false">IFERROR(INDEX(Query_Source_View!$J:$J,MATCH(ROW()-14,Query_Source_View!$Z:$Z,0)),"")</f>
        <v>Cobalt Blue</v>
      </c>
      <c r="F25" s="2" t="str">
        <f aca="false">IFERROR(INDEX(Query_Source_View!$L:$L,MATCH(ROW()-14,Query_Source_View!$Z:$Z,0)),"")</f>
        <v>Blue</v>
      </c>
      <c r="G25" s="2" t="str">
        <f aca="false">IFERROR(INDEX(Query_Source_View!$N:$N,MATCH(ROW()-14,Query_Source_View!$Z:$Z,0)),"")</f>
        <v>PB28</v>
      </c>
      <c r="H25" s="2" t="n">
        <f aca="false">IFERROR(INDEX(Query_Source_View!$P:$P,MATCH(ROW()-14,Query_Source_View!$Z:$Z,0)),"")</f>
        <v>1</v>
      </c>
      <c r="I25" s="2" t="str">
        <f aca="false">IFERROR(INDEX(Query_Source_View!$Q:$Q,MATCH(ROW()-14,Query_Source_View!$Z:$Z,0)),"")</f>
        <v>Yes</v>
      </c>
      <c r="J25" s="2" t="n">
        <f aca="false">IFERROR(INDEX(Query_Source_View!$R:$R,MATCH(ROW()-14,Query_Source_View!$Z:$Z,0)),"")</f>
        <v>0</v>
      </c>
      <c r="K25" s="2" t="str">
        <f aca="false">IFERROR(INDEX(Query_Source_View!$T:$T,MATCH(ROW()-14,Query_Source_View!$Z:$Z,0)),"")</f>
        <v>AA</v>
      </c>
      <c r="L25" s="2" t="n">
        <f aca="false">IFERROR(INDEX(Query_Source_View!$U:$U,MATCH(ROW()-14,Query_Source_View!$Z:$Z,0)),"")</f>
        <v>0</v>
      </c>
      <c r="M25" s="2" t="n">
        <f aca="false">IFERROR(INDEX(Query_Source_View!$V:$V,MATCH(ROW()-14,Query_Source_View!$Z:$Z,0)),"")</f>
        <v>0</v>
      </c>
      <c r="N25" s="2" t="str">
        <f aca="false">IFERROR(INDEX(Query_Source_View!$W:$W,MATCH(ROW()-14,Query_Source_View!$Z:$Z,0)),"")</f>
        <v>Needs Review</v>
      </c>
      <c r="O25" s="2" t="str">
        <f aca="false">IFERROR(INDEX(Query_Source_View!$X:$X,MATCH(ROW()-14,Query_Source_View!$Z:$Z,0)),"")</f>
        <v>https://sensuallogic.com/artistcolordata</v>
      </c>
    </row>
    <row r="26" customFormat="false" ht="23.85" hidden="false" customHeight="false" outlineLevel="0" collapsed="false">
      <c r="A26" s="2" t="str">
        <f aca="false">IFERROR(INDEX(Query_Source_View!$A:$A,MATCH(ROW()-14,Query_Source_View!$Z:$Z,0)),"")</f>
        <v>PNT000011</v>
      </c>
      <c r="B26" s="2" t="str">
        <f aca="false">IFERROR(INDEX(Query_Source_View!$D:$D,MATCH(ROW()-14,Query_Source_View!$Z:$Z,0)),"")</f>
        <v>Winsor And Newton</v>
      </c>
      <c r="C26" s="2" t="str">
        <f aca="false">IFERROR(INDEX(Query_Source_View!$F:$F,MATCH(ROW()-14,Query_Source_View!$Z:$Z,0)),"")</f>
        <v>Oil</v>
      </c>
      <c r="D26" s="2" t="str">
        <f aca="false">IFERROR(INDEX(Query_Source_View!$H:$H,MATCH(ROW()-14,Query_Source_View!$Z:$Z,0)),"")</f>
        <v>Artists Oil</v>
      </c>
      <c r="E26" s="2" t="str">
        <f aca="false">IFERROR(INDEX(Query_Source_View!$J:$J,MATCH(ROW()-14,Query_Source_View!$Z:$Z,0)),"")</f>
        <v>Cobalt Blue Deep</v>
      </c>
      <c r="F26" s="2" t="str">
        <f aca="false">IFERROR(INDEX(Query_Source_View!$L:$L,MATCH(ROW()-14,Query_Source_View!$Z:$Z,0)),"")</f>
        <v>Blue</v>
      </c>
      <c r="G26" s="2" t="str">
        <f aca="false">IFERROR(INDEX(Query_Source_View!$N:$N,MATCH(ROW()-14,Query_Source_View!$Z:$Z,0)),"")</f>
        <v>PB74</v>
      </c>
      <c r="H26" s="2" t="n">
        <f aca="false">IFERROR(INDEX(Query_Source_View!$P:$P,MATCH(ROW()-14,Query_Source_View!$Z:$Z,0)),"")</f>
        <v>1</v>
      </c>
      <c r="I26" s="2" t="str">
        <f aca="false">IFERROR(INDEX(Query_Source_View!$Q:$Q,MATCH(ROW()-14,Query_Source_View!$Z:$Z,0)),"")</f>
        <v>Yes</v>
      </c>
      <c r="J26" s="2" t="n">
        <f aca="false">IFERROR(INDEX(Query_Source_View!$R:$R,MATCH(ROW()-14,Query_Source_View!$Z:$Z,0)),"")</f>
        <v>0</v>
      </c>
      <c r="K26" s="2" t="str">
        <f aca="false">IFERROR(INDEX(Query_Source_View!$T:$T,MATCH(ROW()-14,Query_Source_View!$Z:$Z,0)),"")</f>
        <v>AA</v>
      </c>
      <c r="L26" s="2" t="n">
        <f aca="false">IFERROR(INDEX(Query_Source_View!$U:$U,MATCH(ROW()-14,Query_Source_View!$Z:$Z,0)),"")</f>
        <v>0</v>
      </c>
      <c r="M26" s="2" t="n">
        <f aca="false">IFERROR(INDEX(Query_Source_View!$V:$V,MATCH(ROW()-14,Query_Source_View!$Z:$Z,0)),"")</f>
        <v>0</v>
      </c>
      <c r="N26" s="2" t="str">
        <f aca="false">IFERROR(INDEX(Query_Source_View!$W:$W,MATCH(ROW()-14,Query_Source_View!$Z:$Z,0)),"")</f>
        <v>Needs Review</v>
      </c>
      <c r="O26" s="2" t="str">
        <f aca="false">IFERROR(INDEX(Query_Source_View!$X:$X,MATCH(ROW()-14,Query_Source_View!$Z:$Z,0)),"")</f>
        <v>https://sensuallogic.com/artistcolordata</v>
      </c>
    </row>
    <row r="27" customFormat="false" ht="23.85" hidden="false" customHeight="false" outlineLevel="0" collapsed="false">
      <c r="A27" s="2" t="str">
        <f aca="false">IFERROR(INDEX(Query_Source_View!$A:$A,MATCH(ROW()-14,Query_Source_View!$Z:$Z,0)),"")</f>
        <v>PNT000012</v>
      </c>
      <c r="B27" s="2" t="str">
        <f aca="false">IFERROR(INDEX(Query_Source_View!$D:$D,MATCH(ROW()-14,Query_Source_View!$Z:$Z,0)),"")</f>
        <v>Winsor And Newton</v>
      </c>
      <c r="C27" s="2" t="str">
        <f aca="false">IFERROR(INDEX(Query_Source_View!$F:$F,MATCH(ROW()-14,Query_Source_View!$Z:$Z,0)),"")</f>
        <v>Oil</v>
      </c>
      <c r="D27" s="2" t="str">
        <f aca="false">IFERROR(INDEX(Query_Source_View!$H:$H,MATCH(ROW()-14,Query_Source_View!$Z:$Z,0)),"")</f>
        <v>Artists Oil</v>
      </c>
      <c r="E27" s="2" t="str">
        <f aca="false">IFERROR(INDEX(Query_Source_View!$J:$J,MATCH(ROW()-14,Query_Source_View!$Z:$Z,0)),"")</f>
        <v>Cobalt Chromite Green</v>
      </c>
      <c r="F27" s="2" t="str">
        <f aca="false">IFERROR(INDEX(Query_Source_View!$L:$L,MATCH(ROW()-14,Query_Source_View!$Z:$Z,0)),"")</f>
        <v>Blue</v>
      </c>
      <c r="G27" s="2" t="str">
        <f aca="false">IFERROR(INDEX(Query_Source_View!$N:$N,MATCH(ROW()-14,Query_Source_View!$Z:$Z,0)),"")</f>
        <v>PG26</v>
      </c>
      <c r="H27" s="2" t="n">
        <f aca="false">IFERROR(INDEX(Query_Source_View!$P:$P,MATCH(ROW()-14,Query_Source_View!$Z:$Z,0)),"")</f>
        <v>1</v>
      </c>
      <c r="I27" s="2" t="str">
        <f aca="false">IFERROR(INDEX(Query_Source_View!$Q:$Q,MATCH(ROW()-14,Query_Source_View!$Z:$Z,0)),"")</f>
        <v>Yes</v>
      </c>
      <c r="J27" s="2" t="n">
        <f aca="false">IFERROR(INDEX(Query_Source_View!$R:$R,MATCH(ROW()-14,Query_Source_View!$Z:$Z,0)),"")</f>
        <v>0</v>
      </c>
      <c r="K27" s="2" t="str">
        <f aca="false">IFERROR(INDEX(Query_Source_View!$T:$T,MATCH(ROW()-14,Query_Source_View!$Z:$Z,0)),"")</f>
        <v>AA</v>
      </c>
      <c r="L27" s="2" t="n">
        <f aca="false">IFERROR(INDEX(Query_Source_View!$U:$U,MATCH(ROW()-14,Query_Source_View!$Z:$Z,0)),"")</f>
        <v>0</v>
      </c>
      <c r="M27" s="2" t="n">
        <f aca="false">IFERROR(INDEX(Query_Source_View!$V:$V,MATCH(ROW()-14,Query_Source_View!$Z:$Z,0)),"")</f>
        <v>0</v>
      </c>
      <c r="N27" s="2" t="str">
        <f aca="false">IFERROR(INDEX(Query_Source_View!$W:$W,MATCH(ROW()-14,Query_Source_View!$Z:$Z,0)),"")</f>
        <v>Needs Review</v>
      </c>
      <c r="O27" s="2" t="str">
        <f aca="false">IFERROR(INDEX(Query_Source_View!$X:$X,MATCH(ROW()-14,Query_Source_View!$Z:$Z,0)),"")</f>
        <v>https://sensuallogic.com/artistcolordata</v>
      </c>
    </row>
    <row r="28" customFormat="false" ht="23.85" hidden="false" customHeight="false" outlineLevel="0" collapsed="false">
      <c r="A28" s="2" t="str">
        <f aca="false">IFERROR(INDEX(Query_Source_View!$A:$A,MATCH(ROW()-14,Query_Source_View!$Z:$Z,0)),"")</f>
        <v>PNT000013</v>
      </c>
      <c r="B28" s="2" t="str">
        <f aca="false">IFERROR(INDEX(Query_Source_View!$D:$D,MATCH(ROW()-14,Query_Source_View!$Z:$Z,0)),"")</f>
        <v>Winsor And Newton</v>
      </c>
      <c r="C28" s="2" t="str">
        <f aca="false">IFERROR(INDEX(Query_Source_View!$F:$F,MATCH(ROW()-14,Query_Source_View!$Z:$Z,0)),"")</f>
        <v>Oil</v>
      </c>
      <c r="D28" s="2" t="str">
        <f aca="false">IFERROR(INDEX(Query_Source_View!$H:$H,MATCH(ROW()-14,Query_Source_View!$Z:$Z,0)),"")</f>
        <v>Artists Oil</v>
      </c>
      <c r="E28" s="2" t="str">
        <f aca="false">IFERROR(INDEX(Query_Source_View!$J:$J,MATCH(ROW()-14,Query_Source_View!$Z:$Z,0)),"")</f>
        <v>Cobalt Green</v>
      </c>
      <c r="F28" s="2" t="str">
        <f aca="false">IFERROR(INDEX(Query_Source_View!$L:$L,MATCH(ROW()-14,Query_Source_View!$Z:$Z,0)),"")</f>
        <v>Blue</v>
      </c>
      <c r="G28" s="2" t="str">
        <f aca="false">IFERROR(INDEX(Query_Source_View!$N:$N,MATCH(ROW()-14,Query_Source_View!$Z:$Z,0)),"")</f>
        <v>PG26</v>
      </c>
      <c r="H28" s="2" t="n">
        <f aca="false">IFERROR(INDEX(Query_Source_View!$P:$P,MATCH(ROW()-14,Query_Source_View!$Z:$Z,0)),"")</f>
        <v>2</v>
      </c>
      <c r="I28" s="2" t="str">
        <f aca="false">IFERROR(INDEX(Query_Source_View!$Q:$Q,MATCH(ROW()-14,Query_Source_View!$Z:$Z,0)),"")</f>
        <v>No</v>
      </c>
      <c r="J28" s="2" t="n">
        <f aca="false">IFERROR(INDEX(Query_Source_View!$R:$R,MATCH(ROW()-14,Query_Source_View!$Z:$Z,0)),"")</f>
        <v>0</v>
      </c>
      <c r="K28" s="2" t="str">
        <f aca="false">IFERROR(INDEX(Query_Source_View!$T:$T,MATCH(ROW()-14,Query_Source_View!$Z:$Z,0)),"")</f>
        <v>AA</v>
      </c>
      <c r="L28" s="2" t="n">
        <f aca="false">IFERROR(INDEX(Query_Source_View!$U:$U,MATCH(ROW()-14,Query_Source_View!$Z:$Z,0)),"")</f>
        <v>0</v>
      </c>
      <c r="M28" s="2" t="n">
        <f aca="false">IFERROR(INDEX(Query_Source_View!$V:$V,MATCH(ROW()-14,Query_Source_View!$Z:$Z,0)),"")</f>
        <v>0</v>
      </c>
      <c r="N28" s="2" t="str">
        <f aca="false">IFERROR(INDEX(Query_Source_View!$W:$W,MATCH(ROW()-14,Query_Source_View!$Z:$Z,0)),"")</f>
        <v>Needs Review</v>
      </c>
      <c r="O28" s="2" t="str">
        <f aca="false">IFERROR(INDEX(Query_Source_View!$X:$X,MATCH(ROW()-14,Query_Source_View!$Z:$Z,0)),"")</f>
        <v>https://sensuallogic.com/artistcolordata</v>
      </c>
    </row>
    <row r="29" customFormat="false" ht="23.85" hidden="false" customHeight="false" outlineLevel="0" collapsed="false">
      <c r="A29" s="2" t="str">
        <f aca="false">IFERROR(INDEX(Query_Source_View!$A:$A,MATCH(ROW()-14,Query_Source_View!$Z:$Z,0)),"")</f>
        <v>PNT000013</v>
      </c>
      <c r="B29" s="2" t="str">
        <f aca="false">IFERROR(INDEX(Query_Source_View!$D:$D,MATCH(ROW()-14,Query_Source_View!$Z:$Z,0)),"")</f>
        <v>Winsor And Newton</v>
      </c>
      <c r="C29" s="2" t="str">
        <f aca="false">IFERROR(INDEX(Query_Source_View!$F:$F,MATCH(ROW()-14,Query_Source_View!$Z:$Z,0)),"")</f>
        <v>Oil</v>
      </c>
      <c r="D29" s="2" t="str">
        <f aca="false">IFERROR(INDEX(Query_Source_View!$H:$H,MATCH(ROW()-14,Query_Source_View!$Z:$Z,0)),"")</f>
        <v>Artists Oil</v>
      </c>
      <c r="E29" s="2" t="str">
        <f aca="false">IFERROR(INDEX(Query_Source_View!$J:$J,MATCH(ROW()-14,Query_Source_View!$Z:$Z,0)),"")</f>
        <v>Cobalt Green</v>
      </c>
      <c r="F29" s="2" t="str">
        <f aca="false">IFERROR(INDEX(Query_Source_View!$L:$L,MATCH(ROW()-14,Query_Source_View!$Z:$Z,0)),"")</f>
        <v>Blue</v>
      </c>
      <c r="G29" s="2" t="str">
        <f aca="false">IFERROR(INDEX(Query_Source_View!$N:$N,MATCH(ROW()-14,Query_Source_View!$Z:$Z,0)),"")</f>
        <v>PG50</v>
      </c>
      <c r="H29" s="2" t="n">
        <f aca="false">IFERROR(INDEX(Query_Source_View!$P:$P,MATCH(ROW()-14,Query_Source_View!$Z:$Z,0)),"")</f>
        <v>2</v>
      </c>
      <c r="I29" s="2" t="str">
        <f aca="false">IFERROR(INDEX(Query_Source_View!$Q:$Q,MATCH(ROW()-14,Query_Source_View!$Z:$Z,0)),"")</f>
        <v>No</v>
      </c>
      <c r="J29" s="2" t="n">
        <f aca="false">IFERROR(INDEX(Query_Source_View!$R:$R,MATCH(ROW()-14,Query_Source_View!$Z:$Z,0)),"")</f>
        <v>0</v>
      </c>
      <c r="K29" s="2" t="str">
        <f aca="false">IFERROR(INDEX(Query_Source_View!$T:$T,MATCH(ROW()-14,Query_Source_View!$Z:$Z,0)),"")</f>
        <v>AA</v>
      </c>
      <c r="L29" s="2" t="n">
        <f aca="false">IFERROR(INDEX(Query_Source_View!$U:$U,MATCH(ROW()-14,Query_Source_View!$Z:$Z,0)),"")</f>
        <v>0</v>
      </c>
      <c r="M29" s="2" t="n">
        <f aca="false">IFERROR(INDEX(Query_Source_View!$V:$V,MATCH(ROW()-14,Query_Source_View!$Z:$Z,0)),"")</f>
        <v>0</v>
      </c>
      <c r="N29" s="2" t="str">
        <f aca="false">IFERROR(INDEX(Query_Source_View!$W:$W,MATCH(ROW()-14,Query_Source_View!$Z:$Z,0)),"")</f>
        <v>Needs Review</v>
      </c>
      <c r="O29" s="2" t="str">
        <f aca="false">IFERROR(INDEX(Query_Source_View!$X:$X,MATCH(ROW()-14,Query_Source_View!$Z:$Z,0)),"")</f>
        <v>https://sensuallogic.com/artistcolordata</v>
      </c>
    </row>
    <row r="30" customFormat="false" ht="23.85" hidden="false" customHeight="false" outlineLevel="0" collapsed="false">
      <c r="A30" s="2" t="str">
        <f aca="false">IFERROR(INDEX(Query_Source_View!$A:$A,MATCH(ROW()-14,Query_Source_View!$Z:$Z,0)),"")</f>
        <v>PNT000014</v>
      </c>
      <c r="B30" s="2" t="str">
        <f aca="false">IFERROR(INDEX(Query_Source_View!$D:$D,MATCH(ROW()-14,Query_Source_View!$Z:$Z,0)),"")</f>
        <v>Winsor And Newton</v>
      </c>
      <c r="C30" s="2" t="str">
        <f aca="false">IFERROR(INDEX(Query_Source_View!$F:$F,MATCH(ROW()-14,Query_Source_View!$Z:$Z,0)),"")</f>
        <v>Oil</v>
      </c>
      <c r="D30" s="2" t="str">
        <f aca="false">IFERROR(INDEX(Query_Source_View!$H:$H,MATCH(ROW()-14,Query_Source_View!$Z:$Z,0)),"")</f>
        <v>Artists Oil</v>
      </c>
      <c r="E30" s="2" t="str">
        <f aca="false">IFERROR(INDEX(Query_Source_View!$J:$J,MATCH(ROW()-14,Query_Source_View!$Z:$Z,0)),"")</f>
        <v>Cobalt Turquoise</v>
      </c>
      <c r="F30" s="2" t="str">
        <f aca="false">IFERROR(INDEX(Query_Source_View!$L:$L,MATCH(ROW()-14,Query_Source_View!$Z:$Z,0)),"")</f>
        <v>Blue</v>
      </c>
      <c r="G30" s="2" t="str">
        <f aca="false">IFERROR(INDEX(Query_Source_View!$N:$N,MATCH(ROW()-14,Query_Source_View!$Z:$Z,0)),"")</f>
        <v>PB36</v>
      </c>
      <c r="H30" s="2" t="n">
        <f aca="false">IFERROR(INDEX(Query_Source_View!$P:$P,MATCH(ROW()-14,Query_Source_View!$Z:$Z,0)),"")</f>
        <v>1</v>
      </c>
      <c r="I30" s="2" t="str">
        <f aca="false">IFERROR(INDEX(Query_Source_View!$Q:$Q,MATCH(ROW()-14,Query_Source_View!$Z:$Z,0)),"")</f>
        <v>Yes</v>
      </c>
      <c r="J30" s="2" t="n">
        <f aca="false">IFERROR(INDEX(Query_Source_View!$R:$R,MATCH(ROW()-14,Query_Source_View!$Z:$Z,0)),"")</f>
        <v>0</v>
      </c>
      <c r="K30" s="2" t="str">
        <f aca="false">IFERROR(INDEX(Query_Source_View!$T:$T,MATCH(ROW()-14,Query_Source_View!$Z:$Z,0)),"")</f>
        <v>AA</v>
      </c>
      <c r="L30" s="2" t="n">
        <f aca="false">IFERROR(INDEX(Query_Source_View!$U:$U,MATCH(ROW()-14,Query_Source_View!$Z:$Z,0)),"")</f>
        <v>0</v>
      </c>
      <c r="M30" s="2" t="n">
        <f aca="false">IFERROR(INDEX(Query_Source_View!$V:$V,MATCH(ROW()-14,Query_Source_View!$Z:$Z,0)),"")</f>
        <v>0</v>
      </c>
      <c r="N30" s="2" t="str">
        <f aca="false">IFERROR(INDEX(Query_Source_View!$W:$W,MATCH(ROW()-14,Query_Source_View!$Z:$Z,0)),"")</f>
        <v>Needs Review</v>
      </c>
      <c r="O30" s="2" t="str">
        <f aca="false">IFERROR(INDEX(Query_Source_View!$X:$X,MATCH(ROW()-14,Query_Source_View!$Z:$Z,0)),"")</f>
        <v>https://sensuallogic.com/artistcolordata</v>
      </c>
    </row>
    <row r="31" customFormat="false" ht="23.85" hidden="false" customHeight="false" outlineLevel="0" collapsed="false">
      <c r="A31" s="2" t="str">
        <f aca="false">IFERROR(INDEX(Query_Source_View!$A:$A,MATCH(ROW()-14,Query_Source_View!$Z:$Z,0)),"")</f>
        <v>PNT000015</v>
      </c>
      <c r="B31" s="2" t="str">
        <f aca="false">IFERROR(INDEX(Query_Source_View!$D:$D,MATCH(ROW()-14,Query_Source_View!$Z:$Z,0)),"")</f>
        <v>Winsor And Newton</v>
      </c>
      <c r="C31" s="2" t="str">
        <f aca="false">IFERROR(INDEX(Query_Source_View!$F:$F,MATCH(ROW()-14,Query_Source_View!$Z:$Z,0)),"")</f>
        <v>Oil</v>
      </c>
      <c r="D31" s="2" t="str">
        <f aca="false">IFERROR(INDEX(Query_Source_View!$H:$H,MATCH(ROW()-14,Query_Source_View!$Z:$Z,0)),"")</f>
        <v>Artists Oil</v>
      </c>
      <c r="E31" s="2" t="str">
        <f aca="false">IFERROR(INDEX(Query_Source_View!$J:$J,MATCH(ROW()-14,Query_Source_View!$Z:$Z,0)),"")</f>
        <v>Cobalt Turquoise Light</v>
      </c>
      <c r="F31" s="2" t="str">
        <f aca="false">IFERROR(INDEX(Query_Source_View!$L:$L,MATCH(ROW()-14,Query_Source_View!$Z:$Z,0)),"")</f>
        <v>Blue</v>
      </c>
      <c r="G31" s="2" t="str">
        <f aca="false">IFERROR(INDEX(Query_Source_View!$N:$N,MATCH(ROW()-14,Query_Source_View!$Z:$Z,0)),"")</f>
        <v>PG50</v>
      </c>
      <c r="H31" s="2" t="n">
        <f aca="false">IFERROR(INDEX(Query_Source_View!$P:$P,MATCH(ROW()-14,Query_Source_View!$Z:$Z,0)),"")</f>
        <v>1</v>
      </c>
      <c r="I31" s="2" t="str">
        <f aca="false">IFERROR(INDEX(Query_Source_View!$Q:$Q,MATCH(ROW()-14,Query_Source_View!$Z:$Z,0)),"")</f>
        <v>Yes</v>
      </c>
      <c r="J31" s="2" t="n">
        <f aca="false">IFERROR(INDEX(Query_Source_View!$R:$R,MATCH(ROW()-14,Query_Source_View!$Z:$Z,0)),"")</f>
        <v>0</v>
      </c>
      <c r="K31" s="2" t="str">
        <f aca="false">IFERROR(INDEX(Query_Source_View!$T:$T,MATCH(ROW()-14,Query_Source_View!$Z:$Z,0)),"")</f>
        <v>AA</v>
      </c>
      <c r="L31" s="2" t="n">
        <f aca="false">IFERROR(INDEX(Query_Source_View!$U:$U,MATCH(ROW()-14,Query_Source_View!$Z:$Z,0)),"")</f>
        <v>0</v>
      </c>
      <c r="M31" s="2" t="n">
        <f aca="false">IFERROR(INDEX(Query_Source_View!$V:$V,MATCH(ROW()-14,Query_Source_View!$Z:$Z,0)),"")</f>
        <v>0</v>
      </c>
      <c r="N31" s="2" t="str">
        <f aca="false">IFERROR(INDEX(Query_Source_View!$W:$W,MATCH(ROW()-14,Query_Source_View!$Z:$Z,0)),"")</f>
        <v>Needs Review</v>
      </c>
      <c r="O31" s="2" t="str">
        <f aca="false">IFERROR(INDEX(Query_Source_View!$X:$X,MATCH(ROW()-14,Query_Source_View!$Z:$Z,0)),"")</f>
        <v>https://sensuallogic.com/artistcolordata</v>
      </c>
    </row>
    <row r="32" customFormat="false" ht="23.85" hidden="false" customHeight="false" outlineLevel="0" collapsed="false">
      <c r="A32" s="2" t="str">
        <f aca="false">IFERROR(INDEX(Query_Source_View!$A:$A,MATCH(ROW()-14,Query_Source_View!$Z:$Z,0)),"")</f>
        <v>PNT000016</v>
      </c>
      <c r="B32" s="2" t="str">
        <f aca="false">IFERROR(INDEX(Query_Source_View!$D:$D,MATCH(ROW()-14,Query_Source_View!$Z:$Z,0)),"")</f>
        <v>Winsor And Newton</v>
      </c>
      <c r="C32" s="2" t="str">
        <f aca="false">IFERROR(INDEX(Query_Source_View!$F:$F,MATCH(ROW()-14,Query_Source_View!$Z:$Z,0)),"")</f>
        <v>Oil</v>
      </c>
      <c r="D32" s="2" t="str">
        <f aca="false">IFERROR(INDEX(Query_Source_View!$H:$H,MATCH(ROW()-14,Query_Source_View!$Z:$Z,0)),"")</f>
        <v>Artists Oil</v>
      </c>
      <c r="E32" s="2" t="str">
        <f aca="false">IFERROR(INDEX(Query_Source_View!$J:$J,MATCH(ROW()-14,Query_Source_View!$Z:$Z,0)),"")</f>
        <v>Cobalt Violet</v>
      </c>
      <c r="F32" s="2" t="str">
        <f aca="false">IFERROR(INDEX(Query_Source_View!$L:$L,MATCH(ROW()-14,Query_Source_View!$Z:$Z,0)),"")</f>
        <v>Violet</v>
      </c>
      <c r="G32" s="2" t="str">
        <f aca="false">IFERROR(INDEX(Query_Source_View!$N:$N,MATCH(ROW()-14,Query_Source_View!$Z:$Z,0)),"")</f>
        <v>PV14</v>
      </c>
      <c r="H32" s="2" t="n">
        <f aca="false">IFERROR(INDEX(Query_Source_View!$P:$P,MATCH(ROW()-14,Query_Source_View!$Z:$Z,0)),"")</f>
        <v>1</v>
      </c>
      <c r="I32" s="2" t="str">
        <f aca="false">IFERROR(INDEX(Query_Source_View!$Q:$Q,MATCH(ROW()-14,Query_Source_View!$Z:$Z,0)),"")</f>
        <v>Yes</v>
      </c>
      <c r="J32" s="2" t="n">
        <f aca="false">IFERROR(INDEX(Query_Source_View!$R:$R,MATCH(ROW()-14,Query_Source_View!$Z:$Z,0)),"")</f>
        <v>0</v>
      </c>
      <c r="K32" s="2" t="str">
        <f aca="false">IFERROR(INDEX(Query_Source_View!$T:$T,MATCH(ROW()-14,Query_Source_View!$Z:$Z,0)),"")</f>
        <v>AA</v>
      </c>
      <c r="L32" s="2" t="n">
        <f aca="false">IFERROR(INDEX(Query_Source_View!$U:$U,MATCH(ROW()-14,Query_Source_View!$Z:$Z,0)),"")</f>
        <v>0</v>
      </c>
      <c r="M32" s="2" t="n">
        <f aca="false">IFERROR(INDEX(Query_Source_View!$V:$V,MATCH(ROW()-14,Query_Source_View!$Z:$Z,0)),"")</f>
        <v>0</v>
      </c>
      <c r="N32" s="2" t="str">
        <f aca="false">IFERROR(INDEX(Query_Source_View!$W:$W,MATCH(ROW()-14,Query_Source_View!$Z:$Z,0)),"")</f>
        <v>Needs Review</v>
      </c>
      <c r="O32" s="2" t="str">
        <f aca="false">IFERROR(INDEX(Query_Source_View!$X:$X,MATCH(ROW()-14,Query_Source_View!$Z:$Z,0)),"")</f>
        <v>https://sensuallogic.com/artistcolordata</v>
      </c>
    </row>
    <row r="33" customFormat="false" ht="23.85" hidden="false" customHeight="false" outlineLevel="0" collapsed="false">
      <c r="A33" s="2" t="str">
        <f aca="false">IFERROR(INDEX(Query_Source_View!$A:$A,MATCH(ROW()-14,Query_Source_View!$Z:$Z,0)),"")</f>
        <v>PNT000017</v>
      </c>
      <c r="B33" s="2" t="str">
        <f aca="false">IFERROR(INDEX(Query_Source_View!$D:$D,MATCH(ROW()-14,Query_Source_View!$Z:$Z,0)),"")</f>
        <v>Winsor And Newton</v>
      </c>
      <c r="C33" s="2" t="str">
        <f aca="false">IFERROR(INDEX(Query_Source_View!$F:$F,MATCH(ROW()-14,Query_Source_View!$Z:$Z,0)),"")</f>
        <v>Oil</v>
      </c>
      <c r="D33" s="2" t="str">
        <f aca="false">IFERROR(INDEX(Query_Source_View!$H:$H,MATCH(ROW()-14,Query_Source_View!$Z:$Z,0)),"")</f>
        <v>Artists Oil</v>
      </c>
      <c r="E33" s="2" t="str">
        <f aca="false">IFERROR(INDEX(Query_Source_View!$J:$J,MATCH(ROW()-14,Query_Source_View!$Z:$Z,0)),"")</f>
        <v>French Ultramarine</v>
      </c>
      <c r="F33" s="2" t="str">
        <f aca="false">IFERROR(INDEX(Query_Source_View!$L:$L,MATCH(ROW()-14,Query_Source_View!$Z:$Z,0)),"")</f>
        <v>Blue</v>
      </c>
      <c r="G33" s="2" t="str">
        <f aca="false">IFERROR(INDEX(Query_Source_View!$N:$N,MATCH(ROW()-14,Query_Source_View!$Z:$Z,0)),"")</f>
        <v>PB29</v>
      </c>
      <c r="H33" s="2" t="n">
        <f aca="false">IFERROR(INDEX(Query_Source_View!$P:$P,MATCH(ROW()-14,Query_Source_View!$Z:$Z,0)),"")</f>
        <v>1</v>
      </c>
      <c r="I33" s="2" t="str">
        <f aca="false">IFERROR(INDEX(Query_Source_View!$Q:$Q,MATCH(ROW()-14,Query_Source_View!$Z:$Z,0)),"")</f>
        <v>Yes</v>
      </c>
      <c r="J33" s="2" t="n">
        <f aca="false">IFERROR(INDEX(Query_Source_View!$R:$R,MATCH(ROW()-14,Query_Source_View!$Z:$Z,0)),"")</f>
        <v>0</v>
      </c>
      <c r="K33" s="2" t="str">
        <f aca="false">IFERROR(INDEX(Query_Source_View!$T:$T,MATCH(ROW()-14,Query_Source_View!$Z:$Z,0)),"")</f>
        <v>A</v>
      </c>
      <c r="L33" s="2" t="n">
        <f aca="false">IFERROR(INDEX(Query_Source_View!$U:$U,MATCH(ROW()-14,Query_Source_View!$Z:$Z,0)),"")</f>
        <v>0</v>
      </c>
      <c r="M33" s="2" t="n">
        <f aca="false">IFERROR(INDEX(Query_Source_View!$V:$V,MATCH(ROW()-14,Query_Source_View!$Z:$Z,0)),"")</f>
        <v>0</v>
      </c>
      <c r="N33" s="2" t="str">
        <f aca="false">IFERROR(INDEX(Query_Source_View!$W:$W,MATCH(ROW()-14,Query_Source_View!$Z:$Z,0)),"")</f>
        <v>Needs Review</v>
      </c>
      <c r="O33" s="2" t="str">
        <f aca="false">IFERROR(INDEX(Query_Source_View!$X:$X,MATCH(ROW()-14,Query_Source_View!$Z:$Z,0)),"")</f>
        <v>https://sensuallogic.com/artistcolordata</v>
      </c>
    </row>
    <row r="34" customFormat="false" ht="23.85" hidden="false" customHeight="false" outlineLevel="0" collapsed="false">
      <c r="A34" s="2" t="str">
        <f aca="false">IFERROR(INDEX(Query_Source_View!$A:$A,MATCH(ROW()-14,Query_Source_View!$Z:$Z,0)),"")</f>
        <v>PNT000018</v>
      </c>
      <c r="B34" s="2" t="str">
        <f aca="false">IFERROR(INDEX(Query_Source_View!$D:$D,MATCH(ROW()-14,Query_Source_View!$Z:$Z,0)),"")</f>
        <v>Winsor And Newton</v>
      </c>
      <c r="C34" s="2" t="str">
        <f aca="false">IFERROR(INDEX(Query_Source_View!$F:$F,MATCH(ROW()-14,Query_Source_View!$Z:$Z,0)),"")</f>
        <v>Oil</v>
      </c>
      <c r="D34" s="2" t="str">
        <f aca="false">IFERROR(INDEX(Query_Source_View!$H:$H,MATCH(ROW()-14,Query_Source_View!$Z:$Z,0)),"")</f>
        <v>Artists Oil</v>
      </c>
      <c r="E34" s="2" t="str">
        <f aca="false">IFERROR(INDEX(Query_Source_View!$J:$J,MATCH(ROW()-14,Query_Source_View!$Z:$Z,0)),"")</f>
        <v>Gold Ochre</v>
      </c>
      <c r="F34" s="2" t="str">
        <f aca="false">IFERROR(INDEX(Query_Source_View!$L:$L,MATCH(ROW()-14,Query_Source_View!$Z:$Z,0)),"")</f>
        <v>Yellow</v>
      </c>
      <c r="G34" s="2" t="str">
        <f aca="false">IFERROR(INDEX(Query_Source_View!$N:$N,MATCH(ROW()-14,Query_Source_View!$Z:$Z,0)),"")</f>
        <v>PY42</v>
      </c>
      <c r="H34" s="2" t="n">
        <f aca="false">IFERROR(INDEX(Query_Source_View!$P:$P,MATCH(ROW()-14,Query_Source_View!$Z:$Z,0)),"")</f>
        <v>1</v>
      </c>
      <c r="I34" s="2" t="str">
        <f aca="false">IFERROR(INDEX(Query_Source_View!$Q:$Q,MATCH(ROW()-14,Query_Source_View!$Z:$Z,0)),"")</f>
        <v>Yes</v>
      </c>
      <c r="J34" s="2" t="n">
        <f aca="false">IFERROR(INDEX(Query_Source_View!$R:$R,MATCH(ROW()-14,Query_Source_View!$Z:$Z,0)),"")</f>
        <v>0</v>
      </c>
      <c r="K34" s="2" t="str">
        <f aca="false">IFERROR(INDEX(Query_Source_View!$T:$T,MATCH(ROW()-14,Query_Source_View!$Z:$Z,0)),"")</f>
        <v>AA</v>
      </c>
      <c r="L34" s="2" t="n">
        <f aca="false">IFERROR(INDEX(Query_Source_View!$U:$U,MATCH(ROW()-14,Query_Source_View!$Z:$Z,0)),"")</f>
        <v>0</v>
      </c>
      <c r="M34" s="2" t="n">
        <f aca="false">IFERROR(INDEX(Query_Source_View!$V:$V,MATCH(ROW()-14,Query_Source_View!$Z:$Z,0)),"")</f>
        <v>0</v>
      </c>
      <c r="N34" s="2" t="str">
        <f aca="false">IFERROR(INDEX(Query_Source_View!$W:$W,MATCH(ROW()-14,Query_Source_View!$Z:$Z,0)),"")</f>
        <v>Needs Review</v>
      </c>
      <c r="O34" s="2" t="str">
        <f aca="false">IFERROR(INDEX(Query_Source_View!$X:$X,MATCH(ROW()-14,Query_Source_View!$Z:$Z,0)),"")</f>
        <v>https://sensuallogic.com/artistcolordata</v>
      </c>
    </row>
    <row r="35" customFormat="false" ht="23.85" hidden="false" customHeight="false" outlineLevel="0" collapsed="false">
      <c r="A35" s="2" t="str">
        <f aca="false">IFERROR(INDEX(Query_Source_View!$A:$A,MATCH(ROW()-14,Query_Source_View!$Z:$Z,0)),"")</f>
        <v>PNT000019</v>
      </c>
      <c r="B35" s="2" t="str">
        <f aca="false">IFERROR(INDEX(Query_Source_View!$D:$D,MATCH(ROW()-14,Query_Source_View!$Z:$Z,0)),"")</f>
        <v>Winsor And Newton</v>
      </c>
      <c r="C35" s="2" t="str">
        <f aca="false">IFERROR(INDEX(Query_Source_View!$F:$F,MATCH(ROW()-14,Query_Source_View!$Z:$Z,0)),"")</f>
        <v>Oil</v>
      </c>
      <c r="D35" s="2" t="str">
        <f aca="false">IFERROR(INDEX(Query_Source_View!$H:$H,MATCH(ROW()-14,Query_Source_View!$Z:$Z,0)),"")</f>
        <v>Artists Oil</v>
      </c>
      <c r="E35" s="2" t="str">
        <f aca="false">IFERROR(INDEX(Query_Source_View!$J:$J,MATCH(ROW()-14,Query_Source_View!$Z:$Z,0)),"")</f>
        <v>Green Gold</v>
      </c>
      <c r="F35" s="2" t="str">
        <f aca="false">IFERROR(INDEX(Query_Source_View!$L:$L,MATCH(ROW()-14,Query_Source_View!$Z:$Z,0)),"")</f>
        <v>Yellow</v>
      </c>
      <c r="G35" s="2" t="str">
        <f aca="false">IFERROR(INDEX(Query_Source_View!$N:$N,MATCH(ROW()-14,Query_Source_View!$Z:$Z,0)),"")</f>
        <v>PY129</v>
      </c>
      <c r="H35" s="2" t="n">
        <f aca="false">IFERROR(INDEX(Query_Source_View!$P:$P,MATCH(ROW()-14,Query_Source_View!$Z:$Z,0)),"")</f>
        <v>1</v>
      </c>
      <c r="I35" s="2" t="str">
        <f aca="false">IFERROR(INDEX(Query_Source_View!$Q:$Q,MATCH(ROW()-14,Query_Source_View!$Z:$Z,0)),"")</f>
        <v>Yes</v>
      </c>
      <c r="J35" s="2" t="n">
        <f aca="false">IFERROR(INDEX(Query_Source_View!$R:$R,MATCH(ROW()-14,Query_Source_View!$Z:$Z,0)),"")</f>
        <v>0</v>
      </c>
      <c r="K35" s="2" t="str">
        <f aca="false">IFERROR(INDEX(Query_Source_View!$T:$T,MATCH(ROW()-14,Query_Source_View!$Z:$Z,0)),"")</f>
        <v>A</v>
      </c>
      <c r="L35" s="2" t="n">
        <f aca="false">IFERROR(INDEX(Query_Source_View!$U:$U,MATCH(ROW()-14,Query_Source_View!$Z:$Z,0)),"")</f>
        <v>0</v>
      </c>
      <c r="M35" s="2" t="n">
        <f aca="false">IFERROR(INDEX(Query_Source_View!$V:$V,MATCH(ROW()-14,Query_Source_View!$Z:$Z,0)),"")</f>
        <v>0</v>
      </c>
      <c r="N35" s="2" t="str">
        <f aca="false">IFERROR(INDEX(Query_Source_View!$W:$W,MATCH(ROW()-14,Query_Source_View!$Z:$Z,0)),"")</f>
        <v>Needs Review</v>
      </c>
      <c r="O35" s="2" t="str">
        <f aca="false">IFERROR(INDEX(Query_Source_View!$X:$X,MATCH(ROW()-14,Query_Source_View!$Z:$Z,0)),"")</f>
        <v>https://sensuallogic.com/artistcolordata</v>
      </c>
    </row>
    <row r="36" customFormat="false" ht="23.85" hidden="false" customHeight="false" outlineLevel="0" collapsed="false">
      <c r="A36" s="2" t="str">
        <f aca="false">IFERROR(INDEX(Query_Source_View!$A:$A,MATCH(ROW()-14,Query_Source_View!$Z:$Z,0)),"")</f>
        <v>PNT000020</v>
      </c>
      <c r="B36" s="2" t="str">
        <f aca="false">IFERROR(INDEX(Query_Source_View!$D:$D,MATCH(ROW()-14,Query_Source_View!$Z:$Z,0)),"")</f>
        <v>Winsor And Newton</v>
      </c>
      <c r="C36" s="2" t="str">
        <f aca="false">IFERROR(INDEX(Query_Source_View!$F:$F,MATCH(ROW()-14,Query_Source_View!$Z:$Z,0)),"")</f>
        <v>Oil</v>
      </c>
      <c r="D36" s="2" t="str">
        <f aca="false">IFERROR(INDEX(Query_Source_View!$H:$H,MATCH(ROW()-14,Query_Source_View!$Z:$Z,0)),"")</f>
        <v>Artists Oil</v>
      </c>
      <c r="E36" s="2" t="str">
        <f aca="false">IFERROR(INDEX(Query_Source_View!$J:$J,MATCH(ROW()-14,Query_Source_View!$Z:$Z,0)),"")</f>
        <v>Indian Yellow</v>
      </c>
      <c r="F36" s="2" t="str">
        <f aca="false">IFERROR(INDEX(Query_Source_View!$L:$L,MATCH(ROW()-14,Query_Source_View!$Z:$Z,0)),"")</f>
        <v>Yellow</v>
      </c>
      <c r="G36" s="2" t="str">
        <f aca="false">IFERROR(INDEX(Query_Source_View!$N:$N,MATCH(ROW()-14,Query_Source_View!$Z:$Z,0)),"")</f>
        <v>PY139</v>
      </c>
      <c r="H36" s="2" t="n">
        <f aca="false">IFERROR(INDEX(Query_Source_View!$P:$P,MATCH(ROW()-14,Query_Source_View!$Z:$Z,0)),"")</f>
        <v>2</v>
      </c>
      <c r="I36" s="2" t="str">
        <f aca="false">IFERROR(INDEX(Query_Source_View!$Q:$Q,MATCH(ROW()-14,Query_Source_View!$Z:$Z,0)),"")</f>
        <v>No</v>
      </c>
      <c r="J36" s="2" t="n">
        <f aca="false">IFERROR(INDEX(Query_Source_View!$R:$R,MATCH(ROW()-14,Query_Source_View!$Z:$Z,0)),"")</f>
        <v>0</v>
      </c>
      <c r="K36" s="2" t="str">
        <f aca="false">IFERROR(INDEX(Query_Source_View!$T:$T,MATCH(ROW()-14,Query_Source_View!$Z:$Z,0)),"")</f>
        <v>A</v>
      </c>
      <c r="L36" s="2" t="n">
        <f aca="false">IFERROR(INDEX(Query_Source_View!$U:$U,MATCH(ROW()-14,Query_Source_View!$Z:$Z,0)),"")</f>
        <v>0</v>
      </c>
      <c r="M36" s="2" t="n">
        <f aca="false">IFERROR(INDEX(Query_Source_View!$V:$V,MATCH(ROW()-14,Query_Source_View!$Z:$Z,0)),"")</f>
        <v>0</v>
      </c>
      <c r="N36" s="2" t="str">
        <f aca="false">IFERROR(INDEX(Query_Source_View!$W:$W,MATCH(ROW()-14,Query_Source_View!$Z:$Z,0)),"")</f>
        <v>Needs Review</v>
      </c>
      <c r="O36" s="2" t="str">
        <f aca="false">IFERROR(INDEX(Query_Source_View!$X:$X,MATCH(ROW()-14,Query_Source_View!$Z:$Z,0)),"")</f>
        <v>https://sensuallogic.com/artistcolordata</v>
      </c>
    </row>
    <row r="37" customFormat="false" ht="23.85" hidden="false" customHeight="false" outlineLevel="0" collapsed="false">
      <c r="A37" s="2" t="str">
        <f aca="false">IFERROR(INDEX(Query_Source_View!$A:$A,MATCH(ROW()-14,Query_Source_View!$Z:$Z,0)),"")</f>
        <v>PNT000020</v>
      </c>
      <c r="B37" s="2" t="str">
        <f aca="false">IFERROR(INDEX(Query_Source_View!$D:$D,MATCH(ROW()-14,Query_Source_View!$Z:$Z,0)),"")</f>
        <v>Winsor And Newton</v>
      </c>
      <c r="C37" s="2" t="str">
        <f aca="false">IFERROR(INDEX(Query_Source_View!$F:$F,MATCH(ROW()-14,Query_Source_View!$Z:$Z,0)),"")</f>
        <v>Oil</v>
      </c>
      <c r="D37" s="2" t="str">
        <f aca="false">IFERROR(INDEX(Query_Source_View!$H:$H,MATCH(ROW()-14,Query_Source_View!$Z:$Z,0)),"")</f>
        <v>Artists Oil</v>
      </c>
      <c r="E37" s="2" t="str">
        <f aca="false">IFERROR(INDEX(Query_Source_View!$J:$J,MATCH(ROW()-14,Query_Source_View!$Z:$Z,0)),"")</f>
        <v>Indian Yellow</v>
      </c>
      <c r="F37" s="2" t="str">
        <f aca="false">IFERROR(INDEX(Query_Source_View!$L:$L,MATCH(ROW()-14,Query_Source_View!$Z:$Z,0)),"")</f>
        <v>Yellow</v>
      </c>
      <c r="G37" s="2" t="str">
        <f aca="false">IFERROR(INDEX(Query_Source_View!$N:$N,MATCH(ROW()-14,Query_Source_View!$Z:$Z,0)),"")</f>
        <v>PR101</v>
      </c>
      <c r="H37" s="2" t="n">
        <f aca="false">IFERROR(INDEX(Query_Source_View!$P:$P,MATCH(ROW()-14,Query_Source_View!$Z:$Z,0)),"")</f>
        <v>2</v>
      </c>
      <c r="I37" s="2" t="str">
        <f aca="false">IFERROR(INDEX(Query_Source_View!$Q:$Q,MATCH(ROW()-14,Query_Source_View!$Z:$Z,0)),"")</f>
        <v>No</v>
      </c>
      <c r="J37" s="2" t="n">
        <f aca="false">IFERROR(INDEX(Query_Source_View!$R:$R,MATCH(ROW()-14,Query_Source_View!$Z:$Z,0)),"")</f>
        <v>0</v>
      </c>
      <c r="K37" s="2" t="str">
        <f aca="false">IFERROR(INDEX(Query_Source_View!$T:$T,MATCH(ROW()-14,Query_Source_View!$Z:$Z,0)),"")</f>
        <v>A</v>
      </c>
      <c r="L37" s="2" t="n">
        <f aca="false">IFERROR(INDEX(Query_Source_View!$U:$U,MATCH(ROW()-14,Query_Source_View!$Z:$Z,0)),"")</f>
        <v>0</v>
      </c>
      <c r="M37" s="2" t="n">
        <f aca="false">IFERROR(INDEX(Query_Source_View!$V:$V,MATCH(ROW()-14,Query_Source_View!$Z:$Z,0)),"")</f>
        <v>0</v>
      </c>
      <c r="N37" s="2" t="str">
        <f aca="false">IFERROR(INDEX(Query_Source_View!$W:$W,MATCH(ROW()-14,Query_Source_View!$Z:$Z,0)),"")</f>
        <v>Needs Review</v>
      </c>
      <c r="O37" s="2" t="str">
        <f aca="false">IFERROR(INDEX(Query_Source_View!$X:$X,MATCH(ROW()-14,Query_Source_View!$Z:$Z,0)),"")</f>
        <v>https://sensuallogic.com/artistcolordata</v>
      </c>
    </row>
    <row r="38" customFormat="false" ht="23.85" hidden="false" customHeight="false" outlineLevel="0" collapsed="false">
      <c r="A38" s="2" t="str">
        <f aca="false">IFERROR(INDEX(Query_Source_View!$A:$A,MATCH(ROW()-14,Query_Source_View!$Z:$Z,0)),"")</f>
        <v>PNT000021</v>
      </c>
      <c r="B38" s="2" t="str">
        <f aca="false">IFERROR(INDEX(Query_Source_View!$D:$D,MATCH(ROW()-14,Query_Source_View!$Z:$Z,0)),"")</f>
        <v>Winsor And Newton</v>
      </c>
      <c r="C38" s="2" t="str">
        <f aca="false">IFERROR(INDEX(Query_Source_View!$F:$F,MATCH(ROW()-14,Query_Source_View!$Z:$Z,0)),"")</f>
        <v>Oil</v>
      </c>
      <c r="D38" s="2" t="str">
        <f aca="false">IFERROR(INDEX(Query_Source_View!$H:$H,MATCH(ROW()-14,Query_Source_View!$Z:$Z,0)),"")</f>
        <v>Artists Oil</v>
      </c>
      <c r="E38" s="2" t="str">
        <f aca="false">IFERROR(INDEX(Query_Source_View!$J:$J,MATCH(ROW()-14,Query_Source_View!$Z:$Z,0)),"")</f>
        <v>Indian Yellow Deep</v>
      </c>
      <c r="F38" s="2" t="str">
        <f aca="false">IFERROR(INDEX(Query_Source_View!$L:$L,MATCH(ROW()-14,Query_Source_View!$Z:$Z,0)),"")</f>
        <v>Yellow</v>
      </c>
      <c r="G38" s="2" t="str">
        <f aca="false">IFERROR(INDEX(Query_Source_View!$N:$N,MATCH(ROW()-14,Query_Source_View!$Z:$Z,0)),"")</f>
        <v>PY150</v>
      </c>
      <c r="H38" s="2" t="n">
        <f aca="false">IFERROR(INDEX(Query_Source_View!$P:$P,MATCH(ROW()-14,Query_Source_View!$Z:$Z,0)),"")</f>
        <v>1</v>
      </c>
      <c r="I38" s="2" t="str">
        <f aca="false">IFERROR(INDEX(Query_Source_View!$Q:$Q,MATCH(ROW()-14,Query_Source_View!$Z:$Z,0)),"")</f>
        <v>Yes</v>
      </c>
      <c r="J38" s="2" t="n">
        <f aca="false">IFERROR(INDEX(Query_Source_View!$R:$R,MATCH(ROW()-14,Query_Source_View!$Z:$Z,0)),"")</f>
        <v>0</v>
      </c>
      <c r="K38" s="2" t="str">
        <f aca="false">IFERROR(INDEX(Query_Source_View!$T:$T,MATCH(ROW()-14,Query_Source_View!$Z:$Z,0)),"")</f>
        <v>A</v>
      </c>
      <c r="L38" s="2" t="n">
        <f aca="false">IFERROR(INDEX(Query_Source_View!$U:$U,MATCH(ROW()-14,Query_Source_View!$Z:$Z,0)),"")</f>
        <v>0</v>
      </c>
      <c r="M38" s="2" t="n">
        <f aca="false">IFERROR(INDEX(Query_Source_View!$V:$V,MATCH(ROW()-14,Query_Source_View!$Z:$Z,0)),"")</f>
        <v>0</v>
      </c>
      <c r="N38" s="2" t="str">
        <f aca="false">IFERROR(INDEX(Query_Source_View!$W:$W,MATCH(ROW()-14,Query_Source_View!$Z:$Z,0)),"")</f>
        <v>Needs Review</v>
      </c>
      <c r="O38" s="2" t="str">
        <f aca="false">IFERROR(INDEX(Query_Source_View!$X:$X,MATCH(ROW()-14,Query_Source_View!$Z:$Z,0)),"")</f>
        <v>https://sensuallogic.com/artistcolordata</v>
      </c>
    </row>
    <row r="39" customFormat="false" ht="23.85" hidden="false" customHeight="false" outlineLevel="0" collapsed="false">
      <c r="A39" s="2" t="str">
        <f aca="false">IFERROR(INDEX(Query_Source_View!$A:$A,MATCH(ROW()-14,Query_Source_View!$Z:$Z,0)),"")</f>
        <v>PNT000022</v>
      </c>
      <c r="B39" s="2" t="str">
        <f aca="false">IFERROR(INDEX(Query_Source_View!$D:$D,MATCH(ROW()-14,Query_Source_View!$Z:$Z,0)),"")</f>
        <v>Winsor And Newton</v>
      </c>
      <c r="C39" s="2" t="str">
        <f aca="false">IFERROR(INDEX(Query_Source_View!$F:$F,MATCH(ROW()-14,Query_Source_View!$Z:$Z,0)),"")</f>
        <v>Oil</v>
      </c>
      <c r="D39" s="2" t="str">
        <f aca="false">IFERROR(INDEX(Query_Source_View!$H:$H,MATCH(ROW()-14,Query_Source_View!$Z:$Z,0)),"")</f>
        <v>Artists Oil</v>
      </c>
      <c r="E39" s="2" t="str">
        <f aca="false">IFERROR(INDEX(Query_Source_View!$J:$J,MATCH(ROW()-14,Query_Source_View!$Z:$Z,0)),"")</f>
        <v>Indanthrene Blue</v>
      </c>
      <c r="F39" s="2" t="str">
        <f aca="false">IFERROR(INDEX(Query_Source_View!$L:$L,MATCH(ROW()-14,Query_Source_View!$Z:$Z,0)),"")</f>
        <v>Blue</v>
      </c>
      <c r="G39" s="2" t="str">
        <f aca="false">IFERROR(INDEX(Query_Source_View!$N:$N,MATCH(ROW()-14,Query_Source_View!$Z:$Z,0)),"")</f>
        <v>PB60</v>
      </c>
      <c r="H39" s="2" t="n">
        <f aca="false">IFERROR(INDEX(Query_Source_View!$P:$P,MATCH(ROW()-14,Query_Source_View!$Z:$Z,0)),"")</f>
        <v>1</v>
      </c>
      <c r="I39" s="2" t="str">
        <f aca="false">IFERROR(INDEX(Query_Source_View!$Q:$Q,MATCH(ROW()-14,Query_Source_View!$Z:$Z,0)),"")</f>
        <v>Yes</v>
      </c>
      <c r="J39" s="2" t="n">
        <f aca="false">IFERROR(INDEX(Query_Source_View!$R:$R,MATCH(ROW()-14,Query_Source_View!$Z:$Z,0)),"")</f>
        <v>0</v>
      </c>
      <c r="K39" s="2" t="str">
        <f aca="false">IFERROR(INDEX(Query_Source_View!$T:$T,MATCH(ROW()-14,Query_Source_View!$Z:$Z,0)),"")</f>
        <v>A</v>
      </c>
      <c r="L39" s="2" t="n">
        <f aca="false">IFERROR(INDEX(Query_Source_View!$U:$U,MATCH(ROW()-14,Query_Source_View!$Z:$Z,0)),"")</f>
        <v>0</v>
      </c>
      <c r="M39" s="2" t="n">
        <f aca="false">IFERROR(INDEX(Query_Source_View!$V:$V,MATCH(ROW()-14,Query_Source_View!$Z:$Z,0)),"")</f>
        <v>0</v>
      </c>
      <c r="N39" s="2" t="str">
        <f aca="false">IFERROR(INDEX(Query_Source_View!$W:$W,MATCH(ROW()-14,Query_Source_View!$Z:$Z,0)),"")</f>
        <v>Needs Review</v>
      </c>
      <c r="O39" s="2" t="str">
        <f aca="false">IFERROR(INDEX(Query_Source_View!$X:$X,MATCH(ROW()-14,Query_Source_View!$Z:$Z,0)),"")</f>
        <v>https://sensuallogic.com/artistcolordata</v>
      </c>
    </row>
    <row r="40" customFormat="false" ht="23.85" hidden="false" customHeight="false" outlineLevel="0" collapsed="false">
      <c r="A40" s="2" t="str">
        <f aca="false">IFERROR(INDEX(Query_Source_View!$A:$A,MATCH(ROW()-14,Query_Source_View!$Z:$Z,0)),"")</f>
        <v>PNT000023</v>
      </c>
      <c r="B40" s="2" t="str">
        <f aca="false">IFERROR(INDEX(Query_Source_View!$D:$D,MATCH(ROW()-14,Query_Source_View!$Z:$Z,0)),"")</f>
        <v>Winsor And Newton</v>
      </c>
      <c r="C40" s="2" t="str">
        <f aca="false">IFERROR(INDEX(Query_Source_View!$F:$F,MATCH(ROW()-14,Query_Source_View!$Z:$Z,0)),"")</f>
        <v>Oil</v>
      </c>
      <c r="D40" s="2" t="str">
        <f aca="false">IFERROR(INDEX(Query_Source_View!$H:$H,MATCH(ROW()-14,Query_Source_View!$Z:$Z,0)),"")</f>
        <v>Artists Oil</v>
      </c>
      <c r="E40" s="2" t="str">
        <f aca="false">IFERROR(INDEX(Query_Source_View!$J:$J,MATCH(ROW()-14,Query_Source_View!$Z:$Z,0)),"")</f>
        <v>Ivory Black</v>
      </c>
      <c r="F40" s="2" t="str">
        <f aca="false">IFERROR(INDEX(Query_Source_View!$L:$L,MATCH(ROW()-14,Query_Source_View!$Z:$Z,0)),"")</f>
        <v>Black Or Gray</v>
      </c>
      <c r="G40" s="2" t="str">
        <f aca="false">IFERROR(INDEX(Query_Source_View!$N:$N,MATCH(ROW()-14,Query_Source_View!$Z:$Z,0)),"")</f>
        <v>PBk9</v>
      </c>
      <c r="H40" s="2" t="n">
        <f aca="false">IFERROR(INDEX(Query_Source_View!$P:$P,MATCH(ROW()-14,Query_Source_View!$Z:$Z,0)),"")</f>
        <v>1</v>
      </c>
      <c r="I40" s="2" t="str">
        <f aca="false">IFERROR(INDEX(Query_Source_View!$Q:$Q,MATCH(ROW()-14,Query_Source_View!$Z:$Z,0)),"")</f>
        <v>Yes</v>
      </c>
      <c r="J40" s="2" t="n">
        <f aca="false">IFERROR(INDEX(Query_Source_View!$R:$R,MATCH(ROW()-14,Query_Source_View!$Z:$Z,0)),"")</f>
        <v>0</v>
      </c>
      <c r="K40" s="2" t="str">
        <f aca="false">IFERROR(INDEX(Query_Source_View!$T:$T,MATCH(ROW()-14,Query_Source_View!$Z:$Z,0)),"")</f>
        <v>AA</v>
      </c>
      <c r="L40" s="2" t="n">
        <f aca="false">IFERROR(INDEX(Query_Source_View!$U:$U,MATCH(ROW()-14,Query_Source_View!$Z:$Z,0)),"")</f>
        <v>0</v>
      </c>
      <c r="M40" s="2" t="n">
        <f aca="false">IFERROR(INDEX(Query_Source_View!$V:$V,MATCH(ROW()-14,Query_Source_View!$Z:$Z,0)),"")</f>
        <v>0</v>
      </c>
      <c r="N40" s="2" t="str">
        <f aca="false">IFERROR(INDEX(Query_Source_View!$W:$W,MATCH(ROW()-14,Query_Source_View!$Z:$Z,0)),"")</f>
        <v>Needs Review</v>
      </c>
      <c r="O40" s="2" t="str">
        <f aca="false">IFERROR(INDEX(Query_Source_View!$X:$X,MATCH(ROW()-14,Query_Source_View!$Z:$Z,0)),"")</f>
        <v>https://sensuallogic.com/artistcolordata</v>
      </c>
    </row>
    <row r="41" customFormat="false" ht="23.85" hidden="false" customHeight="false" outlineLevel="0" collapsed="false">
      <c r="A41" s="2" t="str">
        <f aca="false">IFERROR(INDEX(Query_Source_View!$A:$A,MATCH(ROW()-14,Query_Source_View!$Z:$Z,0)),"")</f>
        <v>PNT000024</v>
      </c>
      <c r="B41" s="2" t="str">
        <f aca="false">IFERROR(INDEX(Query_Source_View!$D:$D,MATCH(ROW()-14,Query_Source_View!$Z:$Z,0)),"")</f>
        <v>Winsor And Newton</v>
      </c>
      <c r="C41" s="2" t="str">
        <f aca="false">IFERROR(INDEX(Query_Source_View!$F:$F,MATCH(ROW()-14,Query_Source_View!$Z:$Z,0)),"")</f>
        <v>Oil</v>
      </c>
      <c r="D41" s="2" t="str">
        <f aca="false">IFERROR(INDEX(Query_Source_View!$H:$H,MATCH(ROW()-14,Query_Source_View!$Z:$Z,0)),"")</f>
        <v>Artists Oil</v>
      </c>
      <c r="E41" s="2" t="str">
        <f aca="false">IFERROR(INDEX(Query_Source_View!$J:$J,MATCH(ROW()-14,Query_Source_View!$Z:$Z,0)),"")</f>
        <v>Lamp Black</v>
      </c>
      <c r="F41" s="2" t="str">
        <f aca="false">IFERROR(INDEX(Query_Source_View!$L:$L,MATCH(ROW()-14,Query_Source_View!$Z:$Z,0)),"")</f>
        <v>Black Or Gray</v>
      </c>
      <c r="G41" s="2" t="str">
        <f aca="false">IFERROR(INDEX(Query_Source_View!$N:$N,MATCH(ROW()-14,Query_Source_View!$Z:$Z,0)),"")</f>
        <v>PBk6</v>
      </c>
      <c r="H41" s="2" t="n">
        <f aca="false">IFERROR(INDEX(Query_Source_View!$P:$P,MATCH(ROW()-14,Query_Source_View!$Z:$Z,0)),"")</f>
        <v>1</v>
      </c>
      <c r="I41" s="2" t="str">
        <f aca="false">IFERROR(INDEX(Query_Source_View!$Q:$Q,MATCH(ROW()-14,Query_Source_View!$Z:$Z,0)),"")</f>
        <v>Yes</v>
      </c>
      <c r="J41" s="2" t="n">
        <f aca="false">IFERROR(INDEX(Query_Source_View!$R:$R,MATCH(ROW()-14,Query_Source_View!$Z:$Z,0)),"")</f>
        <v>0</v>
      </c>
      <c r="K41" s="2" t="str">
        <f aca="false">IFERROR(INDEX(Query_Source_View!$T:$T,MATCH(ROW()-14,Query_Source_View!$Z:$Z,0)),"")</f>
        <v>AA</v>
      </c>
      <c r="L41" s="2" t="n">
        <f aca="false">IFERROR(INDEX(Query_Source_View!$U:$U,MATCH(ROW()-14,Query_Source_View!$Z:$Z,0)),"")</f>
        <v>0</v>
      </c>
      <c r="M41" s="2" t="n">
        <f aca="false">IFERROR(INDEX(Query_Source_View!$V:$V,MATCH(ROW()-14,Query_Source_View!$Z:$Z,0)),"")</f>
        <v>0</v>
      </c>
      <c r="N41" s="2" t="str">
        <f aca="false">IFERROR(INDEX(Query_Source_View!$W:$W,MATCH(ROW()-14,Query_Source_View!$Z:$Z,0)),"")</f>
        <v>Needs Review</v>
      </c>
      <c r="O41" s="2" t="str">
        <f aca="false">IFERROR(INDEX(Query_Source_View!$X:$X,MATCH(ROW()-14,Query_Source_View!$Z:$Z,0)),"")</f>
        <v>https://sensuallogic.com/artistcolordata</v>
      </c>
    </row>
    <row r="42" customFormat="false" ht="23.85" hidden="false" customHeight="false" outlineLevel="0" collapsed="false">
      <c r="A42" s="2" t="str">
        <f aca="false">IFERROR(INDEX(Query_Source_View!$A:$A,MATCH(ROW()-14,Query_Source_View!$Z:$Z,0)),"")</f>
        <v>PNT000025</v>
      </c>
      <c r="B42" s="2" t="str">
        <f aca="false">IFERROR(INDEX(Query_Source_View!$D:$D,MATCH(ROW()-14,Query_Source_View!$Z:$Z,0)),"")</f>
        <v>Winsor And Newton</v>
      </c>
      <c r="C42" s="2" t="str">
        <f aca="false">IFERROR(INDEX(Query_Source_View!$F:$F,MATCH(ROW()-14,Query_Source_View!$Z:$Z,0)),"")</f>
        <v>Oil</v>
      </c>
      <c r="D42" s="2" t="str">
        <f aca="false">IFERROR(INDEX(Query_Source_View!$H:$H,MATCH(ROW()-14,Query_Source_View!$Z:$Z,0)),"")</f>
        <v>Artists Oil</v>
      </c>
      <c r="E42" s="2" t="str">
        <f aca="false">IFERROR(INDEX(Query_Source_View!$J:$J,MATCH(ROW()-14,Query_Source_View!$Z:$Z,0)),"")</f>
        <v>Lemon Yellow Hue</v>
      </c>
      <c r="F42" s="2" t="str">
        <f aca="false">IFERROR(INDEX(Query_Source_View!$L:$L,MATCH(ROW()-14,Query_Source_View!$Z:$Z,0)),"")</f>
        <v>Yellow</v>
      </c>
      <c r="G42" s="2" t="str">
        <f aca="false">IFERROR(INDEX(Query_Source_View!$N:$N,MATCH(ROW()-14,Query_Source_View!$Z:$Z,0)),"")</f>
        <v>PY53</v>
      </c>
      <c r="H42" s="2" t="n">
        <f aca="false">IFERROR(INDEX(Query_Source_View!$P:$P,MATCH(ROW()-14,Query_Source_View!$Z:$Z,0)),"")</f>
        <v>1</v>
      </c>
      <c r="I42" s="2" t="str">
        <f aca="false">IFERROR(INDEX(Query_Source_View!$Q:$Q,MATCH(ROW()-14,Query_Source_View!$Z:$Z,0)),"")</f>
        <v>Yes</v>
      </c>
      <c r="J42" s="2" t="n">
        <f aca="false">IFERROR(INDEX(Query_Source_View!$R:$R,MATCH(ROW()-14,Query_Source_View!$Z:$Z,0)),"")</f>
        <v>0</v>
      </c>
      <c r="K42" s="2" t="str">
        <f aca="false">IFERROR(INDEX(Query_Source_View!$T:$T,MATCH(ROW()-14,Query_Source_View!$Z:$Z,0)),"")</f>
        <v>AA</v>
      </c>
      <c r="L42" s="2" t="n">
        <f aca="false">IFERROR(INDEX(Query_Source_View!$U:$U,MATCH(ROW()-14,Query_Source_View!$Z:$Z,0)),"")</f>
        <v>0</v>
      </c>
      <c r="M42" s="2" t="n">
        <f aca="false">IFERROR(INDEX(Query_Source_View!$V:$V,MATCH(ROW()-14,Query_Source_View!$Z:$Z,0)),"")</f>
        <v>0</v>
      </c>
      <c r="N42" s="2" t="str">
        <f aca="false">IFERROR(INDEX(Query_Source_View!$W:$W,MATCH(ROW()-14,Query_Source_View!$Z:$Z,0)),"")</f>
        <v>Needs Review</v>
      </c>
      <c r="O42" s="2" t="str">
        <f aca="false">IFERROR(INDEX(Query_Source_View!$X:$X,MATCH(ROW()-14,Query_Source_View!$Z:$Z,0)),"")</f>
        <v>https://sensuallogic.com/artistcolordata</v>
      </c>
    </row>
    <row r="43" customFormat="false" ht="23.85" hidden="false" customHeight="false" outlineLevel="0" collapsed="false">
      <c r="A43" s="2" t="str">
        <f aca="false">IFERROR(INDEX(Query_Source_View!$A:$A,MATCH(ROW()-14,Query_Source_View!$Z:$Z,0)),"")</f>
        <v>PNT000026</v>
      </c>
      <c r="B43" s="2" t="str">
        <f aca="false">IFERROR(INDEX(Query_Source_View!$D:$D,MATCH(ROW()-14,Query_Source_View!$Z:$Z,0)),"")</f>
        <v>Winsor And Newton</v>
      </c>
      <c r="C43" s="2" t="str">
        <f aca="false">IFERROR(INDEX(Query_Source_View!$F:$F,MATCH(ROW()-14,Query_Source_View!$Z:$Z,0)),"")</f>
        <v>Oil</v>
      </c>
      <c r="D43" s="2" t="str">
        <f aca="false">IFERROR(INDEX(Query_Source_View!$H:$H,MATCH(ROW()-14,Query_Source_View!$Z:$Z,0)),"")</f>
        <v>Artists Oil</v>
      </c>
      <c r="E43" s="2" t="str">
        <f aca="false">IFERROR(INDEX(Query_Source_View!$J:$J,MATCH(ROW()-14,Query_Source_View!$Z:$Z,0)),"")</f>
        <v>Mars Black</v>
      </c>
      <c r="F43" s="2" t="str">
        <f aca="false">IFERROR(INDEX(Query_Source_View!$L:$L,MATCH(ROW()-14,Query_Source_View!$Z:$Z,0)),"")</f>
        <v>Black Or Gray</v>
      </c>
      <c r="G43" s="2" t="str">
        <f aca="false">IFERROR(INDEX(Query_Source_View!$N:$N,MATCH(ROW()-14,Query_Source_View!$Z:$Z,0)),"")</f>
        <v>PBk11</v>
      </c>
      <c r="H43" s="2" t="n">
        <f aca="false">IFERROR(INDEX(Query_Source_View!$P:$P,MATCH(ROW()-14,Query_Source_View!$Z:$Z,0)),"")</f>
        <v>1</v>
      </c>
      <c r="I43" s="2" t="str">
        <f aca="false">IFERROR(INDEX(Query_Source_View!$Q:$Q,MATCH(ROW()-14,Query_Source_View!$Z:$Z,0)),"")</f>
        <v>Yes</v>
      </c>
      <c r="J43" s="2" t="n">
        <f aca="false">IFERROR(INDEX(Query_Source_View!$R:$R,MATCH(ROW()-14,Query_Source_View!$Z:$Z,0)),"")</f>
        <v>0</v>
      </c>
      <c r="K43" s="2" t="str">
        <f aca="false">IFERROR(INDEX(Query_Source_View!$T:$T,MATCH(ROW()-14,Query_Source_View!$Z:$Z,0)),"")</f>
        <v>AA</v>
      </c>
      <c r="L43" s="2" t="n">
        <f aca="false">IFERROR(INDEX(Query_Source_View!$U:$U,MATCH(ROW()-14,Query_Source_View!$Z:$Z,0)),"")</f>
        <v>0</v>
      </c>
      <c r="M43" s="2" t="n">
        <f aca="false">IFERROR(INDEX(Query_Source_View!$V:$V,MATCH(ROW()-14,Query_Source_View!$Z:$Z,0)),"")</f>
        <v>0</v>
      </c>
      <c r="N43" s="2" t="str">
        <f aca="false">IFERROR(INDEX(Query_Source_View!$W:$W,MATCH(ROW()-14,Query_Source_View!$Z:$Z,0)),"")</f>
        <v>Needs Review</v>
      </c>
      <c r="O43" s="2" t="str">
        <f aca="false">IFERROR(INDEX(Query_Source_View!$X:$X,MATCH(ROW()-14,Query_Source_View!$Z:$Z,0)),"")</f>
        <v>https://sensuallogic.com/artistcolordata</v>
      </c>
    </row>
    <row r="44" customFormat="false" ht="23.85" hidden="false" customHeight="false" outlineLevel="0" collapsed="false">
      <c r="A44" s="2" t="str">
        <f aca="false">IFERROR(INDEX(Query_Source_View!$A:$A,MATCH(ROW()-14,Query_Source_View!$Z:$Z,0)),"")</f>
        <v>PNT000027</v>
      </c>
      <c r="B44" s="2" t="str">
        <f aca="false">IFERROR(INDEX(Query_Source_View!$D:$D,MATCH(ROW()-14,Query_Source_View!$Z:$Z,0)),"")</f>
        <v>Winsor And Newton</v>
      </c>
      <c r="C44" s="2" t="str">
        <f aca="false">IFERROR(INDEX(Query_Source_View!$F:$F,MATCH(ROW()-14,Query_Source_View!$Z:$Z,0)),"")</f>
        <v>Oil</v>
      </c>
      <c r="D44" s="2" t="str">
        <f aca="false">IFERROR(INDEX(Query_Source_View!$H:$H,MATCH(ROW()-14,Query_Source_View!$Z:$Z,0)),"")</f>
        <v>Artists Oil</v>
      </c>
      <c r="E44" s="2" t="str">
        <f aca="false">IFERROR(INDEX(Query_Source_View!$J:$J,MATCH(ROW()-14,Query_Source_View!$Z:$Z,0)),"")</f>
        <v>Naples Yellow Deep</v>
      </c>
      <c r="F44" s="2" t="str">
        <f aca="false">IFERROR(INDEX(Query_Source_View!$L:$L,MATCH(ROW()-14,Query_Source_View!$Z:$Z,0)),"")</f>
        <v>Yellow</v>
      </c>
      <c r="G44" s="2" t="str">
        <f aca="false">IFERROR(INDEX(Query_Source_View!$N:$N,MATCH(ROW()-14,Query_Source_View!$Z:$Z,0)),"")</f>
        <v>PBr24</v>
      </c>
      <c r="H44" s="2" t="n">
        <f aca="false">IFERROR(INDEX(Query_Source_View!$P:$P,MATCH(ROW()-14,Query_Source_View!$Z:$Z,0)),"")</f>
        <v>1</v>
      </c>
      <c r="I44" s="2" t="str">
        <f aca="false">IFERROR(INDEX(Query_Source_View!$Q:$Q,MATCH(ROW()-14,Query_Source_View!$Z:$Z,0)),"")</f>
        <v>Yes</v>
      </c>
      <c r="J44" s="2" t="n">
        <f aca="false">IFERROR(INDEX(Query_Source_View!$R:$R,MATCH(ROW()-14,Query_Source_View!$Z:$Z,0)),"")</f>
        <v>0</v>
      </c>
      <c r="K44" s="2" t="str">
        <f aca="false">IFERROR(INDEX(Query_Source_View!$T:$T,MATCH(ROW()-14,Query_Source_View!$Z:$Z,0)),"")</f>
        <v>AA</v>
      </c>
      <c r="L44" s="2" t="n">
        <f aca="false">IFERROR(INDEX(Query_Source_View!$U:$U,MATCH(ROW()-14,Query_Source_View!$Z:$Z,0)),"")</f>
        <v>0</v>
      </c>
      <c r="M44" s="2" t="n">
        <f aca="false">IFERROR(INDEX(Query_Source_View!$V:$V,MATCH(ROW()-14,Query_Source_View!$Z:$Z,0)),"")</f>
        <v>0</v>
      </c>
      <c r="N44" s="2" t="str">
        <f aca="false">IFERROR(INDEX(Query_Source_View!$W:$W,MATCH(ROW()-14,Query_Source_View!$Z:$Z,0)),"")</f>
        <v>Needs Review</v>
      </c>
      <c r="O44" s="2" t="str">
        <f aca="false">IFERROR(INDEX(Query_Source_View!$X:$X,MATCH(ROW()-14,Query_Source_View!$Z:$Z,0)),"")</f>
        <v>https://sensuallogic.com/artistcolordata</v>
      </c>
    </row>
    <row r="45" customFormat="false" ht="23.85" hidden="false" customHeight="false" outlineLevel="0" collapsed="false">
      <c r="A45" s="2" t="str">
        <f aca="false">IFERROR(INDEX(Query_Source_View!$A:$A,MATCH(ROW()-14,Query_Source_View!$Z:$Z,0)),"")</f>
        <v>PNT000028</v>
      </c>
      <c r="B45" s="2" t="str">
        <f aca="false">IFERROR(INDEX(Query_Source_View!$D:$D,MATCH(ROW()-14,Query_Source_View!$Z:$Z,0)),"")</f>
        <v>Winsor And Newton</v>
      </c>
      <c r="C45" s="2" t="str">
        <f aca="false">IFERROR(INDEX(Query_Source_View!$F:$F,MATCH(ROW()-14,Query_Source_View!$Z:$Z,0)),"")</f>
        <v>Oil</v>
      </c>
      <c r="D45" s="2" t="str">
        <f aca="false">IFERROR(INDEX(Query_Source_View!$H:$H,MATCH(ROW()-14,Query_Source_View!$Z:$Z,0)),"")</f>
        <v>Artists Oil</v>
      </c>
      <c r="E45" s="2" t="str">
        <f aca="false">IFERROR(INDEX(Query_Source_View!$J:$J,MATCH(ROW()-14,Query_Source_View!$Z:$Z,0)),"")</f>
        <v>Naples Yellow Light</v>
      </c>
      <c r="F45" s="2" t="str">
        <f aca="false">IFERROR(INDEX(Query_Source_View!$L:$L,MATCH(ROW()-14,Query_Source_View!$Z:$Z,0)),"")</f>
        <v>Yellow</v>
      </c>
      <c r="G45" s="2" t="str">
        <f aca="false">IFERROR(INDEX(Query_Source_View!$N:$N,MATCH(ROW()-14,Query_Source_View!$Z:$Z,0)),"")</f>
        <v>PW6</v>
      </c>
      <c r="H45" s="2" t="n">
        <f aca="false">IFERROR(INDEX(Query_Source_View!$P:$P,MATCH(ROW()-14,Query_Source_View!$Z:$Z,0)),"")</f>
        <v>3</v>
      </c>
      <c r="I45" s="2" t="str">
        <f aca="false">IFERROR(INDEX(Query_Source_View!$Q:$Q,MATCH(ROW()-14,Query_Source_View!$Z:$Z,0)),"")</f>
        <v>No</v>
      </c>
      <c r="J45" s="2" t="n">
        <f aca="false">IFERROR(INDEX(Query_Source_View!$R:$R,MATCH(ROW()-14,Query_Source_View!$Z:$Z,0)),"")</f>
        <v>0</v>
      </c>
      <c r="K45" s="2" t="str">
        <f aca="false">IFERROR(INDEX(Query_Source_View!$T:$T,MATCH(ROW()-14,Query_Source_View!$Z:$Z,0)),"")</f>
        <v>A</v>
      </c>
      <c r="L45" s="2" t="n">
        <f aca="false">IFERROR(INDEX(Query_Source_View!$U:$U,MATCH(ROW()-14,Query_Source_View!$Z:$Z,0)),"")</f>
        <v>0</v>
      </c>
      <c r="M45" s="2" t="n">
        <f aca="false">IFERROR(INDEX(Query_Source_View!$V:$V,MATCH(ROW()-14,Query_Source_View!$Z:$Z,0)),"")</f>
        <v>0</v>
      </c>
      <c r="N45" s="2" t="str">
        <f aca="false">IFERROR(INDEX(Query_Source_View!$W:$W,MATCH(ROW()-14,Query_Source_View!$Z:$Z,0)),"")</f>
        <v>Needs Review</v>
      </c>
      <c r="O45" s="2" t="str">
        <f aca="false">IFERROR(INDEX(Query_Source_View!$X:$X,MATCH(ROW()-14,Query_Source_View!$Z:$Z,0)),"")</f>
        <v>https://sensuallogic.com/artistcolordata</v>
      </c>
    </row>
    <row r="46" customFormat="false" ht="23.85" hidden="false" customHeight="false" outlineLevel="0" collapsed="false">
      <c r="A46" s="2" t="str">
        <f aca="false">IFERROR(INDEX(Query_Source_View!$A:$A,MATCH(ROW()-14,Query_Source_View!$Z:$Z,0)),"")</f>
        <v>PNT000028</v>
      </c>
      <c r="B46" s="2" t="str">
        <f aca="false">IFERROR(INDEX(Query_Source_View!$D:$D,MATCH(ROW()-14,Query_Source_View!$Z:$Z,0)),"")</f>
        <v>Winsor And Newton</v>
      </c>
      <c r="C46" s="2" t="str">
        <f aca="false">IFERROR(INDEX(Query_Source_View!$F:$F,MATCH(ROW()-14,Query_Source_View!$Z:$Z,0)),"")</f>
        <v>Oil</v>
      </c>
      <c r="D46" s="2" t="str">
        <f aca="false">IFERROR(INDEX(Query_Source_View!$H:$H,MATCH(ROW()-14,Query_Source_View!$Z:$Z,0)),"")</f>
        <v>Artists Oil</v>
      </c>
      <c r="E46" s="2" t="str">
        <f aca="false">IFERROR(INDEX(Query_Source_View!$J:$J,MATCH(ROW()-14,Query_Source_View!$Z:$Z,0)),"")</f>
        <v>Naples Yellow Light</v>
      </c>
      <c r="F46" s="2" t="str">
        <f aca="false">IFERROR(INDEX(Query_Source_View!$L:$L,MATCH(ROW()-14,Query_Source_View!$Z:$Z,0)),"")</f>
        <v>Yellow</v>
      </c>
      <c r="G46" s="2" t="str">
        <f aca="false">IFERROR(INDEX(Query_Source_View!$N:$N,MATCH(ROW()-14,Query_Source_View!$Z:$Z,0)),"")</f>
        <v>PY138</v>
      </c>
      <c r="H46" s="2" t="n">
        <f aca="false">IFERROR(INDEX(Query_Source_View!$P:$P,MATCH(ROW()-14,Query_Source_View!$Z:$Z,0)),"")</f>
        <v>3</v>
      </c>
      <c r="I46" s="2" t="str">
        <f aca="false">IFERROR(INDEX(Query_Source_View!$Q:$Q,MATCH(ROW()-14,Query_Source_View!$Z:$Z,0)),"")</f>
        <v>No</v>
      </c>
      <c r="J46" s="2" t="n">
        <f aca="false">IFERROR(INDEX(Query_Source_View!$R:$R,MATCH(ROW()-14,Query_Source_View!$Z:$Z,0)),"")</f>
        <v>0</v>
      </c>
      <c r="K46" s="2" t="str">
        <f aca="false">IFERROR(INDEX(Query_Source_View!$T:$T,MATCH(ROW()-14,Query_Source_View!$Z:$Z,0)),"")</f>
        <v>A</v>
      </c>
      <c r="L46" s="2" t="n">
        <f aca="false">IFERROR(INDEX(Query_Source_View!$U:$U,MATCH(ROW()-14,Query_Source_View!$Z:$Z,0)),"")</f>
        <v>0</v>
      </c>
      <c r="M46" s="2" t="n">
        <f aca="false">IFERROR(INDEX(Query_Source_View!$V:$V,MATCH(ROW()-14,Query_Source_View!$Z:$Z,0)),"")</f>
        <v>0</v>
      </c>
      <c r="N46" s="2" t="str">
        <f aca="false">IFERROR(INDEX(Query_Source_View!$W:$W,MATCH(ROW()-14,Query_Source_View!$Z:$Z,0)),"")</f>
        <v>Needs Review</v>
      </c>
      <c r="O46" s="2" t="str">
        <f aca="false">IFERROR(INDEX(Query_Source_View!$X:$X,MATCH(ROW()-14,Query_Source_View!$Z:$Z,0)),"")</f>
        <v>https://sensuallogic.com/artistcolordata</v>
      </c>
    </row>
    <row r="47" customFormat="false" ht="23.85" hidden="false" customHeight="false" outlineLevel="0" collapsed="false">
      <c r="A47" s="2" t="str">
        <f aca="false">IFERROR(INDEX(Query_Source_View!$A:$A,MATCH(ROW()-14,Query_Source_View!$Z:$Z,0)),"")</f>
        <v>PNT000028</v>
      </c>
      <c r="B47" s="2" t="str">
        <f aca="false">IFERROR(INDEX(Query_Source_View!$D:$D,MATCH(ROW()-14,Query_Source_View!$Z:$Z,0)),"")</f>
        <v>Winsor And Newton</v>
      </c>
      <c r="C47" s="2" t="str">
        <f aca="false">IFERROR(INDEX(Query_Source_View!$F:$F,MATCH(ROW()-14,Query_Source_View!$Z:$Z,0)),"")</f>
        <v>Oil</v>
      </c>
      <c r="D47" s="2" t="str">
        <f aca="false">IFERROR(INDEX(Query_Source_View!$H:$H,MATCH(ROW()-14,Query_Source_View!$Z:$Z,0)),"")</f>
        <v>Artists Oil</v>
      </c>
      <c r="E47" s="2" t="str">
        <f aca="false">IFERROR(INDEX(Query_Source_View!$J:$J,MATCH(ROW()-14,Query_Source_View!$Z:$Z,0)),"")</f>
        <v>Naples Yellow Light</v>
      </c>
      <c r="F47" s="2" t="str">
        <f aca="false">IFERROR(INDEX(Query_Source_View!$L:$L,MATCH(ROW()-14,Query_Source_View!$Z:$Z,0)),"")</f>
        <v>Yellow</v>
      </c>
      <c r="G47" s="2" t="str">
        <f aca="false">IFERROR(INDEX(Query_Source_View!$N:$N,MATCH(ROW()-14,Query_Source_View!$Z:$Z,0)),"")</f>
        <v>PO62</v>
      </c>
      <c r="H47" s="2" t="n">
        <f aca="false">IFERROR(INDEX(Query_Source_View!$P:$P,MATCH(ROW()-14,Query_Source_View!$Z:$Z,0)),"")</f>
        <v>3</v>
      </c>
      <c r="I47" s="2" t="str">
        <f aca="false">IFERROR(INDEX(Query_Source_View!$Q:$Q,MATCH(ROW()-14,Query_Source_View!$Z:$Z,0)),"")</f>
        <v>No</v>
      </c>
      <c r="J47" s="2" t="n">
        <f aca="false">IFERROR(INDEX(Query_Source_View!$R:$R,MATCH(ROW()-14,Query_Source_View!$Z:$Z,0)),"")</f>
        <v>0</v>
      </c>
      <c r="K47" s="2" t="str">
        <f aca="false">IFERROR(INDEX(Query_Source_View!$T:$T,MATCH(ROW()-14,Query_Source_View!$Z:$Z,0)),"")</f>
        <v>A</v>
      </c>
      <c r="L47" s="2" t="n">
        <f aca="false">IFERROR(INDEX(Query_Source_View!$U:$U,MATCH(ROW()-14,Query_Source_View!$Z:$Z,0)),"")</f>
        <v>0</v>
      </c>
      <c r="M47" s="2" t="n">
        <f aca="false">IFERROR(INDEX(Query_Source_View!$V:$V,MATCH(ROW()-14,Query_Source_View!$Z:$Z,0)),"")</f>
        <v>0</v>
      </c>
      <c r="N47" s="2" t="str">
        <f aca="false">IFERROR(INDEX(Query_Source_View!$W:$W,MATCH(ROW()-14,Query_Source_View!$Z:$Z,0)),"")</f>
        <v>Needs Review</v>
      </c>
      <c r="O47" s="2" t="str">
        <f aca="false">IFERROR(INDEX(Query_Source_View!$X:$X,MATCH(ROW()-14,Query_Source_View!$Z:$Z,0)),"")</f>
        <v>https://sensuallogic.com/artistcolordata</v>
      </c>
    </row>
    <row r="48" customFormat="false" ht="23.85" hidden="false" customHeight="false" outlineLevel="0" collapsed="false">
      <c r="A48" s="2" t="str">
        <f aca="false">IFERROR(INDEX(Query_Source_View!$A:$A,MATCH(ROW()-14,Query_Source_View!$Z:$Z,0)),"")</f>
        <v>PNT000029</v>
      </c>
      <c r="B48" s="2" t="str">
        <f aca="false">IFERROR(INDEX(Query_Source_View!$D:$D,MATCH(ROW()-14,Query_Source_View!$Z:$Z,0)),"")</f>
        <v>Winsor And Newton</v>
      </c>
      <c r="C48" s="2" t="str">
        <f aca="false">IFERROR(INDEX(Query_Source_View!$F:$F,MATCH(ROW()-14,Query_Source_View!$Z:$Z,0)),"")</f>
        <v>Oil</v>
      </c>
      <c r="D48" s="2" t="str">
        <f aca="false">IFERROR(INDEX(Query_Source_View!$H:$H,MATCH(ROW()-14,Query_Source_View!$Z:$Z,0)),"")</f>
        <v>Artists Oil</v>
      </c>
      <c r="E48" s="2" t="str">
        <f aca="false">IFERROR(INDEX(Query_Source_View!$J:$J,MATCH(ROW()-14,Query_Source_View!$Z:$Z,0)),"")</f>
        <v>Olive Green</v>
      </c>
      <c r="F48" s="2" t="str">
        <f aca="false">IFERROR(INDEX(Query_Source_View!$L:$L,MATCH(ROW()-14,Query_Source_View!$Z:$Z,0)),"")</f>
        <v>Green</v>
      </c>
      <c r="G48" s="2" t="str">
        <f aca="false">IFERROR(INDEX(Query_Source_View!$N:$N,MATCH(ROW()-14,Query_Source_View!$Z:$Z,0)),"")</f>
        <v>PY110</v>
      </c>
      <c r="H48" s="2" t="n">
        <f aca="false">IFERROR(INDEX(Query_Source_View!$P:$P,MATCH(ROW()-14,Query_Source_View!$Z:$Z,0)),"")</f>
        <v>2</v>
      </c>
      <c r="I48" s="2" t="str">
        <f aca="false">IFERROR(INDEX(Query_Source_View!$Q:$Q,MATCH(ROW()-14,Query_Source_View!$Z:$Z,0)),"")</f>
        <v>No</v>
      </c>
      <c r="J48" s="2" t="n">
        <f aca="false">IFERROR(INDEX(Query_Source_View!$R:$R,MATCH(ROW()-14,Query_Source_View!$Z:$Z,0)),"")</f>
        <v>0</v>
      </c>
      <c r="K48" s="2" t="str">
        <f aca="false">IFERROR(INDEX(Query_Source_View!$T:$T,MATCH(ROW()-14,Query_Source_View!$Z:$Z,0)),"")</f>
        <v>A</v>
      </c>
      <c r="L48" s="2" t="n">
        <f aca="false">IFERROR(INDEX(Query_Source_View!$U:$U,MATCH(ROW()-14,Query_Source_View!$Z:$Z,0)),"")</f>
        <v>0</v>
      </c>
      <c r="M48" s="2" t="n">
        <f aca="false">IFERROR(INDEX(Query_Source_View!$V:$V,MATCH(ROW()-14,Query_Source_View!$Z:$Z,0)),"")</f>
        <v>0</v>
      </c>
      <c r="N48" s="2" t="str">
        <f aca="false">IFERROR(INDEX(Query_Source_View!$W:$W,MATCH(ROW()-14,Query_Source_View!$Z:$Z,0)),"")</f>
        <v>Needs Review</v>
      </c>
      <c r="O48" s="2" t="str">
        <f aca="false">IFERROR(INDEX(Query_Source_View!$X:$X,MATCH(ROW()-14,Query_Source_View!$Z:$Z,0)),"")</f>
        <v>https://sensuallogic.com/artistcolordata</v>
      </c>
    </row>
    <row r="49" customFormat="false" ht="23.85" hidden="false" customHeight="false" outlineLevel="0" collapsed="false">
      <c r="A49" s="2" t="str">
        <f aca="false">IFERROR(INDEX(Query_Source_View!$A:$A,MATCH(ROW()-14,Query_Source_View!$Z:$Z,0)),"")</f>
        <v>PNT000029</v>
      </c>
      <c r="B49" s="2" t="str">
        <f aca="false">IFERROR(INDEX(Query_Source_View!$D:$D,MATCH(ROW()-14,Query_Source_View!$Z:$Z,0)),"")</f>
        <v>Winsor And Newton</v>
      </c>
      <c r="C49" s="2" t="str">
        <f aca="false">IFERROR(INDEX(Query_Source_View!$F:$F,MATCH(ROW()-14,Query_Source_View!$Z:$Z,0)),"")</f>
        <v>Oil</v>
      </c>
      <c r="D49" s="2" t="str">
        <f aca="false">IFERROR(INDEX(Query_Source_View!$H:$H,MATCH(ROW()-14,Query_Source_View!$Z:$Z,0)),"")</f>
        <v>Artists Oil</v>
      </c>
      <c r="E49" s="2" t="str">
        <f aca="false">IFERROR(INDEX(Query_Source_View!$J:$J,MATCH(ROW()-14,Query_Source_View!$Z:$Z,0)),"")</f>
        <v>Olive Green</v>
      </c>
      <c r="F49" s="2" t="str">
        <f aca="false">IFERROR(INDEX(Query_Source_View!$L:$L,MATCH(ROW()-14,Query_Source_View!$Z:$Z,0)),"")</f>
        <v>Green</v>
      </c>
      <c r="G49" s="2" t="str">
        <f aca="false">IFERROR(INDEX(Query_Source_View!$N:$N,MATCH(ROW()-14,Query_Source_View!$Z:$Z,0)),"")</f>
        <v>PBk6</v>
      </c>
      <c r="H49" s="2" t="n">
        <f aca="false">IFERROR(INDEX(Query_Source_View!$P:$P,MATCH(ROW()-14,Query_Source_View!$Z:$Z,0)),"")</f>
        <v>2</v>
      </c>
      <c r="I49" s="2" t="str">
        <f aca="false">IFERROR(INDEX(Query_Source_View!$Q:$Q,MATCH(ROW()-14,Query_Source_View!$Z:$Z,0)),"")</f>
        <v>No</v>
      </c>
      <c r="J49" s="2" t="n">
        <f aca="false">IFERROR(INDEX(Query_Source_View!$R:$R,MATCH(ROW()-14,Query_Source_View!$Z:$Z,0)),"")</f>
        <v>0</v>
      </c>
      <c r="K49" s="2" t="str">
        <f aca="false">IFERROR(INDEX(Query_Source_View!$T:$T,MATCH(ROW()-14,Query_Source_View!$Z:$Z,0)),"")</f>
        <v>A</v>
      </c>
      <c r="L49" s="2" t="n">
        <f aca="false">IFERROR(INDEX(Query_Source_View!$U:$U,MATCH(ROW()-14,Query_Source_View!$Z:$Z,0)),"")</f>
        <v>0</v>
      </c>
      <c r="M49" s="2" t="n">
        <f aca="false">IFERROR(INDEX(Query_Source_View!$V:$V,MATCH(ROW()-14,Query_Source_View!$Z:$Z,0)),"")</f>
        <v>0</v>
      </c>
      <c r="N49" s="2" t="str">
        <f aca="false">IFERROR(INDEX(Query_Source_View!$W:$W,MATCH(ROW()-14,Query_Source_View!$Z:$Z,0)),"")</f>
        <v>Needs Review</v>
      </c>
      <c r="O49" s="2" t="str">
        <f aca="false">IFERROR(INDEX(Query_Source_View!$X:$X,MATCH(ROW()-14,Query_Source_View!$Z:$Z,0)),"")</f>
        <v>https://sensuallogic.com/artistcolordata</v>
      </c>
    </row>
    <row r="50" customFormat="false" ht="23.85" hidden="false" customHeight="false" outlineLevel="0" collapsed="false">
      <c r="A50" s="2" t="str">
        <f aca="false">IFERROR(INDEX(Query_Source_View!$A:$A,MATCH(ROW()-14,Query_Source_View!$Z:$Z,0)),"")</f>
        <v>PNT000030</v>
      </c>
      <c r="B50" s="2" t="str">
        <f aca="false">IFERROR(INDEX(Query_Source_View!$D:$D,MATCH(ROW()-14,Query_Source_View!$Z:$Z,0)),"")</f>
        <v>Winsor And Newton</v>
      </c>
      <c r="C50" s="2" t="str">
        <f aca="false">IFERROR(INDEX(Query_Source_View!$F:$F,MATCH(ROW()-14,Query_Source_View!$Z:$Z,0)),"")</f>
        <v>Oil</v>
      </c>
      <c r="D50" s="2" t="str">
        <f aca="false">IFERROR(INDEX(Query_Source_View!$H:$H,MATCH(ROW()-14,Query_Source_View!$Z:$Z,0)),"")</f>
        <v>Artists Oil</v>
      </c>
      <c r="E50" s="2" t="str">
        <f aca="false">IFERROR(INDEX(Query_Source_View!$J:$J,MATCH(ROW()-14,Query_Source_View!$Z:$Z,0)),"")</f>
        <v>Oxide of Chromium</v>
      </c>
      <c r="F50" s="2" t="str">
        <f aca="false">IFERROR(INDEX(Query_Source_View!$L:$L,MATCH(ROW()-14,Query_Source_View!$Z:$Z,0)),"")</f>
        <v>Green</v>
      </c>
      <c r="G50" s="2" t="str">
        <f aca="false">IFERROR(INDEX(Query_Source_View!$N:$N,MATCH(ROW()-14,Query_Source_View!$Z:$Z,0)),"")</f>
        <v>PG17</v>
      </c>
      <c r="H50" s="2" t="n">
        <f aca="false">IFERROR(INDEX(Query_Source_View!$P:$P,MATCH(ROW()-14,Query_Source_View!$Z:$Z,0)),"")</f>
        <v>1</v>
      </c>
      <c r="I50" s="2" t="str">
        <f aca="false">IFERROR(INDEX(Query_Source_View!$Q:$Q,MATCH(ROW()-14,Query_Source_View!$Z:$Z,0)),"")</f>
        <v>Yes</v>
      </c>
      <c r="J50" s="2" t="n">
        <f aca="false">IFERROR(INDEX(Query_Source_View!$R:$R,MATCH(ROW()-14,Query_Source_View!$Z:$Z,0)),"")</f>
        <v>0</v>
      </c>
      <c r="K50" s="2" t="str">
        <f aca="false">IFERROR(INDEX(Query_Source_View!$T:$T,MATCH(ROW()-14,Query_Source_View!$Z:$Z,0)),"")</f>
        <v>AA</v>
      </c>
      <c r="L50" s="2" t="n">
        <f aca="false">IFERROR(INDEX(Query_Source_View!$U:$U,MATCH(ROW()-14,Query_Source_View!$Z:$Z,0)),"")</f>
        <v>0</v>
      </c>
      <c r="M50" s="2" t="n">
        <f aca="false">IFERROR(INDEX(Query_Source_View!$V:$V,MATCH(ROW()-14,Query_Source_View!$Z:$Z,0)),"")</f>
        <v>0</v>
      </c>
      <c r="N50" s="2" t="str">
        <f aca="false">IFERROR(INDEX(Query_Source_View!$W:$W,MATCH(ROW()-14,Query_Source_View!$Z:$Z,0)),"")</f>
        <v>Needs Review</v>
      </c>
      <c r="O50" s="2" t="str">
        <f aca="false">IFERROR(INDEX(Query_Source_View!$X:$X,MATCH(ROW()-14,Query_Source_View!$Z:$Z,0)),"")</f>
        <v>https://sensuallogic.com/artistcolordata</v>
      </c>
    </row>
    <row r="51" customFormat="false" ht="23.85" hidden="false" customHeight="false" outlineLevel="0" collapsed="false">
      <c r="A51" s="2" t="str">
        <f aca="false">IFERROR(INDEX(Query_Source_View!$A:$A,MATCH(ROW()-14,Query_Source_View!$Z:$Z,0)),"")</f>
        <v>PNT000031</v>
      </c>
      <c r="B51" s="2" t="str">
        <f aca="false">IFERROR(INDEX(Query_Source_View!$D:$D,MATCH(ROW()-14,Query_Source_View!$Z:$Z,0)),"")</f>
        <v>Winsor And Newton</v>
      </c>
      <c r="C51" s="2" t="str">
        <f aca="false">IFERROR(INDEX(Query_Source_View!$F:$F,MATCH(ROW()-14,Query_Source_View!$Z:$Z,0)),"")</f>
        <v>Oil</v>
      </c>
      <c r="D51" s="2" t="str">
        <f aca="false">IFERROR(INDEX(Query_Source_View!$H:$H,MATCH(ROW()-14,Query_Source_View!$Z:$Z,0)),"")</f>
        <v>Artists Oil</v>
      </c>
      <c r="E51" s="2" t="str">
        <f aca="false">IFERROR(INDEX(Query_Source_View!$J:$J,MATCH(ROW()-14,Query_Source_View!$Z:$Z,0)),"")</f>
        <v>Permanent Alizarin Crimson</v>
      </c>
      <c r="F51" s="2" t="str">
        <f aca="false">IFERROR(INDEX(Query_Source_View!$L:$L,MATCH(ROW()-14,Query_Source_View!$Z:$Z,0)),"")</f>
        <v>Red</v>
      </c>
      <c r="G51" s="2" t="str">
        <f aca="false">IFERROR(INDEX(Query_Source_View!$N:$N,MATCH(ROW()-14,Query_Source_View!$Z:$Z,0)),"")</f>
        <v>PR177</v>
      </c>
      <c r="H51" s="2" t="n">
        <f aca="false">IFERROR(INDEX(Query_Source_View!$P:$P,MATCH(ROW()-14,Query_Source_View!$Z:$Z,0)),"")</f>
        <v>1</v>
      </c>
      <c r="I51" s="2" t="str">
        <f aca="false">IFERROR(INDEX(Query_Source_View!$Q:$Q,MATCH(ROW()-14,Query_Source_View!$Z:$Z,0)),"")</f>
        <v>Yes</v>
      </c>
      <c r="J51" s="2" t="n">
        <f aca="false">IFERROR(INDEX(Query_Source_View!$R:$R,MATCH(ROW()-14,Query_Source_View!$Z:$Z,0)),"")</f>
        <v>0</v>
      </c>
      <c r="K51" s="2" t="str">
        <f aca="false">IFERROR(INDEX(Query_Source_View!$T:$T,MATCH(ROW()-14,Query_Source_View!$Z:$Z,0)),"")</f>
        <v>A</v>
      </c>
      <c r="L51" s="2" t="n">
        <f aca="false">IFERROR(INDEX(Query_Source_View!$U:$U,MATCH(ROW()-14,Query_Source_View!$Z:$Z,0)),"")</f>
        <v>0</v>
      </c>
      <c r="M51" s="2" t="n">
        <f aca="false">IFERROR(INDEX(Query_Source_View!$V:$V,MATCH(ROW()-14,Query_Source_View!$Z:$Z,0)),"")</f>
        <v>0</v>
      </c>
      <c r="N51" s="2" t="str">
        <f aca="false">IFERROR(INDEX(Query_Source_View!$W:$W,MATCH(ROW()-14,Query_Source_View!$Z:$Z,0)),"")</f>
        <v>Needs Review</v>
      </c>
      <c r="O51" s="2" t="str">
        <f aca="false">IFERROR(INDEX(Query_Source_View!$X:$X,MATCH(ROW()-14,Query_Source_View!$Z:$Z,0)),"")</f>
        <v>https://sensuallogic.com/artistcolordata</v>
      </c>
    </row>
    <row r="52" customFormat="false" ht="23.85" hidden="false" customHeight="false" outlineLevel="0" collapsed="false">
      <c r="A52" s="2" t="str">
        <f aca="false">IFERROR(INDEX(Query_Source_View!$A:$A,MATCH(ROW()-14,Query_Source_View!$Z:$Z,0)),"")</f>
        <v>PNT000032</v>
      </c>
      <c r="B52" s="2" t="str">
        <f aca="false">IFERROR(INDEX(Query_Source_View!$D:$D,MATCH(ROW()-14,Query_Source_View!$Z:$Z,0)),"")</f>
        <v>Winsor And Newton</v>
      </c>
      <c r="C52" s="2" t="str">
        <f aca="false">IFERROR(INDEX(Query_Source_View!$F:$F,MATCH(ROW()-14,Query_Source_View!$Z:$Z,0)),"")</f>
        <v>Oil</v>
      </c>
      <c r="D52" s="2" t="str">
        <f aca="false">IFERROR(INDEX(Query_Source_View!$H:$H,MATCH(ROW()-14,Query_Source_View!$Z:$Z,0)),"")</f>
        <v>Artists Oil</v>
      </c>
      <c r="E52" s="2" t="str">
        <f aca="false">IFERROR(INDEX(Query_Source_View!$J:$J,MATCH(ROW()-14,Query_Source_View!$Z:$Z,0)),"")</f>
        <v>Permanent Magenta</v>
      </c>
      <c r="F52" s="2" t="str">
        <f aca="false">IFERROR(INDEX(Query_Source_View!$L:$L,MATCH(ROW()-14,Query_Source_View!$Z:$Z,0)),"")</f>
        <v>Red</v>
      </c>
      <c r="G52" s="2" t="str">
        <f aca="false">IFERROR(INDEX(Query_Source_View!$N:$N,MATCH(ROW()-14,Query_Source_View!$Z:$Z,0)),"")</f>
        <v>PV19</v>
      </c>
      <c r="H52" s="2" t="n">
        <f aca="false">IFERROR(INDEX(Query_Source_View!$P:$P,MATCH(ROW()-14,Query_Source_View!$Z:$Z,0)),"")</f>
        <v>1</v>
      </c>
      <c r="I52" s="2" t="str">
        <f aca="false">IFERROR(INDEX(Query_Source_View!$Q:$Q,MATCH(ROW()-14,Query_Source_View!$Z:$Z,0)),"")</f>
        <v>Yes</v>
      </c>
      <c r="J52" s="2" t="n">
        <f aca="false">IFERROR(INDEX(Query_Source_View!$R:$R,MATCH(ROW()-14,Query_Source_View!$Z:$Z,0)),"")</f>
        <v>0</v>
      </c>
      <c r="K52" s="2" t="str">
        <f aca="false">IFERROR(INDEX(Query_Source_View!$T:$T,MATCH(ROW()-14,Query_Source_View!$Z:$Z,0)),"")</f>
        <v>A</v>
      </c>
      <c r="L52" s="2" t="n">
        <f aca="false">IFERROR(INDEX(Query_Source_View!$U:$U,MATCH(ROW()-14,Query_Source_View!$Z:$Z,0)),"")</f>
        <v>0</v>
      </c>
      <c r="M52" s="2" t="n">
        <f aca="false">IFERROR(INDEX(Query_Source_View!$V:$V,MATCH(ROW()-14,Query_Source_View!$Z:$Z,0)),"")</f>
        <v>0</v>
      </c>
      <c r="N52" s="2" t="str">
        <f aca="false">IFERROR(INDEX(Query_Source_View!$W:$W,MATCH(ROW()-14,Query_Source_View!$Z:$Z,0)),"")</f>
        <v>Needs Review</v>
      </c>
      <c r="O52" s="2" t="str">
        <f aca="false">IFERROR(INDEX(Query_Source_View!$X:$X,MATCH(ROW()-14,Query_Source_View!$Z:$Z,0)),"")</f>
        <v>https://sensuallogic.com/artistcolordata</v>
      </c>
    </row>
    <row r="53" customFormat="false" ht="23.85" hidden="false" customHeight="false" outlineLevel="0" collapsed="false">
      <c r="A53" s="2" t="str">
        <f aca="false">IFERROR(INDEX(Query_Source_View!$A:$A,MATCH(ROW()-14,Query_Source_View!$Z:$Z,0)),"")</f>
        <v>PNT000033</v>
      </c>
      <c r="B53" s="2" t="str">
        <f aca="false">IFERROR(INDEX(Query_Source_View!$D:$D,MATCH(ROW()-14,Query_Source_View!$Z:$Z,0)),"")</f>
        <v>Winsor And Newton</v>
      </c>
      <c r="C53" s="2" t="str">
        <f aca="false">IFERROR(INDEX(Query_Source_View!$F:$F,MATCH(ROW()-14,Query_Source_View!$Z:$Z,0)),"")</f>
        <v>Oil</v>
      </c>
      <c r="D53" s="2" t="str">
        <f aca="false">IFERROR(INDEX(Query_Source_View!$H:$H,MATCH(ROW()-14,Query_Source_View!$Z:$Z,0)),"")</f>
        <v>Artists Oil</v>
      </c>
      <c r="E53" s="2" t="str">
        <f aca="false">IFERROR(INDEX(Query_Source_View!$J:$J,MATCH(ROW()-14,Query_Source_View!$Z:$Z,0)),"")</f>
        <v>Permanent Mauve</v>
      </c>
      <c r="F53" s="2" t="str">
        <f aca="false">IFERROR(INDEX(Query_Source_View!$L:$L,MATCH(ROW()-14,Query_Source_View!$Z:$Z,0)),"")</f>
        <v>Violet</v>
      </c>
      <c r="G53" s="2" t="str">
        <f aca="false">IFERROR(INDEX(Query_Source_View!$N:$N,MATCH(ROW()-14,Query_Source_View!$Z:$Z,0)),"")</f>
        <v>PV16</v>
      </c>
      <c r="H53" s="2" t="n">
        <f aca="false">IFERROR(INDEX(Query_Source_View!$P:$P,MATCH(ROW()-14,Query_Source_View!$Z:$Z,0)),"")</f>
        <v>1</v>
      </c>
      <c r="I53" s="2" t="str">
        <f aca="false">IFERROR(INDEX(Query_Source_View!$Q:$Q,MATCH(ROW()-14,Query_Source_View!$Z:$Z,0)),"")</f>
        <v>Yes</v>
      </c>
      <c r="J53" s="2" t="n">
        <f aca="false">IFERROR(INDEX(Query_Source_View!$R:$R,MATCH(ROW()-14,Query_Source_View!$Z:$Z,0)),"")</f>
        <v>0</v>
      </c>
      <c r="K53" s="2" t="str">
        <f aca="false">IFERROR(INDEX(Query_Source_View!$T:$T,MATCH(ROW()-14,Query_Source_View!$Z:$Z,0)),"")</f>
        <v>AA</v>
      </c>
      <c r="L53" s="2" t="n">
        <f aca="false">IFERROR(INDEX(Query_Source_View!$U:$U,MATCH(ROW()-14,Query_Source_View!$Z:$Z,0)),"")</f>
        <v>0</v>
      </c>
      <c r="M53" s="2" t="n">
        <f aca="false">IFERROR(INDEX(Query_Source_View!$V:$V,MATCH(ROW()-14,Query_Source_View!$Z:$Z,0)),"")</f>
        <v>0</v>
      </c>
      <c r="N53" s="2" t="str">
        <f aca="false">IFERROR(INDEX(Query_Source_View!$W:$W,MATCH(ROW()-14,Query_Source_View!$Z:$Z,0)),"")</f>
        <v>Needs Review</v>
      </c>
      <c r="O53" s="2" t="str">
        <f aca="false">IFERROR(INDEX(Query_Source_View!$X:$X,MATCH(ROW()-14,Query_Source_View!$Z:$Z,0)),"")</f>
        <v>https://sensuallogic.com/artistcolordata</v>
      </c>
    </row>
    <row r="54" customFormat="false" ht="23.85" hidden="false" customHeight="false" outlineLevel="0" collapsed="false">
      <c r="A54" s="2" t="str">
        <f aca="false">IFERROR(INDEX(Query_Source_View!$A:$A,MATCH(ROW()-14,Query_Source_View!$Z:$Z,0)),"")</f>
        <v>PNT000034</v>
      </c>
      <c r="B54" s="2" t="str">
        <f aca="false">IFERROR(INDEX(Query_Source_View!$D:$D,MATCH(ROW()-14,Query_Source_View!$Z:$Z,0)),"")</f>
        <v>Winsor And Newton</v>
      </c>
      <c r="C54" s="2" t="str">
        <f aca="false">IFERROR(INDEX(Query_Source_View!$F:$F,MATCH(ROW()-14,Query_Source_View!$Z:$Z,0)),"")</f>
        <v>Oil</v>
      </c>
      <c r="D54" s="2" t="str">
        <f aca="false">IFERROR(INDEX(Query_Source_View!$H:$H,MATCH(ROW()-14,Query_Source_View!$Z:$Z,0)),"")</f>
        <v>Artists Oil</v>
      </c>
      <c r="E54" s="2" t="str">
        <f aca="false">IFERROR(INDEX(Query_Source_View!$J:$J,MATCH(ROW()-14,Query_Source_View!$Z:$Z,0)),"")</f>
        <v>Perylene Black</v>
      </c>
      <c r="F54" s="2" t="str">
        <f aca="false">IFERROR(INDEX(Query_Source_View!$L:$L,MATCH(ROW()-14,Query_Source_View!$Z:$Z,0)),"")</f>
        <v>Black Or Gray</v>
      </c>
      <c r="G54" s="2" t="str">
        <f aca="false">IFERROR(INDEX(Query_Source_View!$N:$N,MATCH(ROW()-14,Query_Source_View!$Z:$Z,0)),"")</f>
        <v>PBk31</v>
      </c>
      <c r="H54" s="2" t="n">
        <f aca="false">IFERROR(INDEX(Query_Source_View!$P:$P,MATCH(ROW()-14,Query_Source_View!$Z:$Z,0)),"")</f>
        <v>1</v>
      </c>
      <c r="I54" s="2" t="str">
        <f aca="false">IFERROR(INDEX(Query_Source_View!$Q:$Q,MATCH(ROW()-14,Query_Source_View!$Z:$Z,0)),"")</f>
        <v>Yes</v>
      </c>
      <c r="J54" s="2" t="n">
        <f aca="false">IFERROR(INDEX(Query_Source_View!$R:$R,MATCH(ROW()-14,Query_Source_View!$Z:$Z,0)),"")</f>
        <v>0</v>
      </c>
      <c r="K54" s="2" t="str">
        <f aca="false">IFERROR(INDEX(Query_Source_View!$T:$T,MATCH(ROW()-14,Query_Source_View!$Z:$Z,0)),"")</f>
        <v>A</v>
      </c>
      <c r="L54" s="2" t="n">
        <f aca="false">IFERROR(INDEX(Query_Source_View!$U:$U,MATCH(ROW()-14,Query_Source_View!$Z:$Z,0)),"")</f>
        <v>0</v>
      </c>
      <c r="M54" s="2" t="n">
        <f aca="false">IFERROR(INDEX(Query_Source_View!$V:$V,MATCH(ROW()-14,Query_Source_View!$Z:$Z,0)),"")</f>
        <v>0</v>
      </c>
      <c r="N54" s="2" t="str">
        <f aca="false">IFERROR(INDEX(Query_Source_View!$W:$W,MATCH(ROW()-14,Query_Source_View!$Z:$Z,0)),"")</f>
        <v>Needs Review</v>
      </c>
      <c r="O54" s="2" t="str">
        <f aca="false">IFERROR(INDEX(Query_Source_View!$X:$X,MATCH(ROW()-14,Query_Source_View!$Z:$Z,0)),"")</f>
        <v>https://sensuallogic.com/artistcolordata</v>
      </c>
    </row>
    <row r="55" customFormat="false" ht="23.85" hidden="false" customHeight="false" outlineLevel="0" collapsed="false">
      <c r="A55" s="2" t="str">
        <f aca="false">IFERROR(INDEX(Query_Source_View!$A:$A,MATCH(ROW()-14,Query_Source_View!$Z:$Z,0)),"")</f>
        <v>PNT000035</v>
      </c>
      <c r="B55" s="2" t="str">
        <f aca="false">IFERROR(INDEX(Query_Source_View!$D:$D,MATCH(ROW()-14,Query_Source_View!$Z:$Z,0)),"")</f>
        <v>Winsor And Newton</v>
      </c>
      <c r="C55" s="2" t="str">
        <f aca="false">IFERROR(INDEX(Query_Source_View!$F:$F,MATCH(ROW()-14,Query_Source_View!$Z:$Z,0)),"")</f>
        <v>Oil</v>
      </c>
      <c r="D55" s="2" t="str">
        <f aca="false">IFERROR(INDEX(Query_Source_View!$H:$H,MATCH(ROW()-14,Query_Source_View!$Z:$Z,0)),"")</f>
        <v>Artists Oil</v>
      </c>
      <c r="E55" s="2" t="str">
        <f aca="false">IFERROR(INDEX(Query_Source_View!$J:$J,MATCH(ROW()-14,Query_Source_View!$Z:$Z,0)),"")</f>
        <v>Prussian Blue</v>
      </c>
      <c r="F55" s="2" t="str">
        <f aca="false">IFERROR(INDEX(Query_Source_View!$L:$L,MATCH(ROW()-14,Query_Source_View!$Z:$Z,0)),"")</f>
        <v>Blue</v>
      </c>
      <c r="G55" s="2" t="str">
        <f aca="false">IFERROR(INDEX(Query_Source_View!$N:$N,MATCH(ROW()-14,Query_Source_View!$Z:$Z,0)),"")</f>
        <v>PB27</v>
      </c>
      <c r="H55" s="2" t="n">
        <f aca="false">IFERROR(INDEX(Query_Source_View!$P:$P,MATCH(ROW()-14,Query_Source_View!$Z:$Z,0)),"")</f>
        <v>1</v>
      </c>
      <c r="I55" s="2" t="str">
        <f aca="false">IFERROR(INDEX(Query_Source_View!$Q:$Q,MATCH(ROW()-14,Query_Source_View!$Z:$Z,0)),"")</f>
        <v>Yes</v>
      </c>
      <c r="J55" s="2" t="n">
        <f aca="false">IFERROR(INDEX(Query_Source_View!$R:$R,MATCH(ROW()-14,Query_Source_View!$Z:$Z,0)),"")</f>
        <v>0</v>
      </c>
      <c r="K55" s="2" t="str">
        <f aca="false">IFERROR(INDEX(Query_Source_View!$T:$T,MATCH(ROW()-14,Query_Source_View!$Z:$Z,0)),"")</f>
        <v>A</v>
      </c>
      <c r="L55" s="2" t="n">
        <f aca="false">IFERROR(INDEX(Query_Source_View!$U:$U,MATCH(ROW()-14,Query_Source_View!$Z:$Z,0)),"")</f>
        <v>0</v>
      </c>
      <c r="M55" s="2" t="n">
        <f aca="false">IFERROR(INDEX(Query_Source_View!$V:$V,MATCH(ROW()-14,Query_Source_View!$Z:$Z,0)),"")</f>
        <v>0</v>
      </c>
      <c r="N55" s="2" t="str">
        <f aca="false">IFERROR(INDEX(Query_Source_View!$W:$W,MATCH(ROW()-14,Query_Source_View!$Z:$Z,0)),"")</f>
        <v>Needs Review</v>
      </c>
      <c r="O55" s="2" t="str">
        <f aca="false">IFERROR(INDEX(Query_Source_View!$X:$X,MATCH(ROW()-14,Query_Source_View!$Z:$Z,0)),"")</f>
        <v>https://sensuallogic.com/artistcolordata</v>
      </c>
    </row>
    <row r="56" customFormat="false" ht="23.85" hidden="false" customHeight="false" outlineLevel="0" collapsed="false">
      <c r="A56" s="2" t="str">
        <f aca="false">IFERROR(INDEX(Query_Source_View!$A:$A,MATCH(ROW()-14,Query_Source_View!$Z:$Z,0)),"")</f>
        <v>PNT000036</v>
      </c>
      <c r="B56" s="2" t="str">
        <f aca="false">IFERROR(INDEX(Query_Source_View!$D:$D,MATCH(ROW()-14,Query_Source_View!$Z:$Z,0)),"")</f>
        <v>Winsor And Newton</v>
      </c>
      <c r="C56" s="2" t="str">
        <f aca="false">IFERROR(INDEX(Query_Source_View!$F:$F,MATCH(ROW()-14,Query_Source_View!$Z:$Z,0)),"")</f>
        <v>Oil</v>
      </c>
      <c r="D56" s="2" t="str">
        <f aca="false">IFERROR(INDEX(Query_Source_View!$H:$H,MATCH(ROW()-14,Query_Source_View!$Z:$Z,0)),"")</f>
        <v>Artists Oil</v>
      </c>
      <c r="E56" s="2" t="str">
        <f aca="false">IFERROR(INDEX(Query_Source_View!$J:$J,MATCH(ROW()-14,Query_Source_View!$Z:$Z,0)),"")</f>
        <v>Quinacridone Magenta</v>
      </c>
      <c r="F56" s="2" t="str">
        <f aca="false">IFERROR(INDEX(Query_Source_View!$L:$L,MATCH(ROW()-14,Query_Source_View!$Z:$Z,0)),"")</f>
        <v>Red</v>
      </c>
      <c r="G56" s="2" t="str">
        <f aca="false">IFERROR(INDEX(Query_Source_View!$N:$N,MATCH(ROW()-14,Query_Source_View!$Z:$Z,0)),"")</f>
        <v>PR122</v>
      </c>
      <c r="H56" s="2" t="n">
        <f aca="false">IFERROR(INDEX(Query_Source_View!$P:$P,MATCH(ROW()-14,Query_Source_View!$Z:$Z,0)),"")</f>
        <v>1</v>
      </c>
      <c r="I56" s="2" t="str">
        <f aca="false">IFERROR(INDEX(Query_Source_View!$Q:$Q,MATCH(ROW()-14,Query_Source_View!$Z:$Z,0)),"")</f>
        <v>Yes</v>
      </c>
      <c r="J56" s="2" t="n">
        <f aca="false">IFERROR(INDEX(Query_Source_View!$R:$R,MATCH(ROW()-14,Query_Source_View!$Z:$Z,0)),"")</f>
        <v>0</v>
      </c>
      <c r="K56" s="2" t="str">
        <f aca="false">IFERROR(INDEX(Query_Source_View!$T:$T,MATCH(ROW()-14,Query_Source_View!$Z:$Z,0)),"")</f>
        <v>A</v>
      </c>
      <c r="L56" s="2" t="n">
        <f aca="false">IFERROR(INDEX(Query_Source_View!$U:$U,MATCH(ROW()-14,Query_Source_View!$Z:$Z,0)),"")</f>
        <v>0</v>
      </c>
      <c r="M56" s="2" t="n">
        <f aca="false">IFERROR(INDEX(Query_Source_View!$V:$V,MATCH(ROW()-14,Query_Source_View!$Z:$Z,0)),"")</f>
        <v>0</v>
      </c>
      <c r="N56" s="2" t="str">
        <f aca="false">IFERROR(INDEX(Query_Source_View!$W:$W,MATCH(ROW()-14,Query_Source_View!$Z:$Z,0)),"")</f>
        <v>Needs Review</v>
      </c>
      <c r="O56" s="2" t="str">
        <f aca="false">IFERROR(INDEX(Query_Source_View!$X:$X,MATCH(ROW()-14,Query_Source_View!$Z:$Z,0)),"")</f>
        <v>https://sensuallogic.com/artistcolordata</v>
      </c>
    </row>
    <row r="57" customFormat="false" ht="23.85" hidden="false" customHeight="false" outlineLevel="0" collapsed="false">
      <c r="A57" s="2" t="str">
        <f aca="false">IFERROR(INDEX(Query_Source_View!$A:$A,MATCH(ROW()-14,Query_Source_View!$Z:$Z,0)),"")</f>
        <v>PNT000037</v>
      </c>
      <c r="B57" s="2" t="str">
        <f aca="false">IFERROR(INDEX(Query_Source_View!$D:$D,MATCH(ROW()-14,Query_Source_View!$Z:$Z,0)),"")</f>
        <v>Winsor And Newton</v>
      </c>
      <c r="C57" s="2" t="str">
        <f aca="false">IFERROR(INDEX(Query_Source_View!$F:$F,MATCH(ROW()-14,Query_Source_View!$Z:$Z,0)),"")</f>
        <v>Oil</v>
      </c>
      <c r="D57" s="2" t="str">
        <f aca="false">IFERROR(INDEX(Query_Source_View!$H:$H,MATCH(ROW()-14,Query_Source_View!$Z:$Z,0)),"")</f>
        <v>Artists Oil</v>
      </c>
      <c r="E57" s="2" t="str">
        <f aca="false">IFERROR(INDEX(Query_Source_View!$J:$J,MATCH(ROW()-14,Query_Source_View!$Z:$Z,0)),"")</f>
        <v>Quinacridone Red</v>
      </c>
      <c r="F57" s="2" t="str">
        <f aca="false">IFERROR(INDEX(Query_Source_View!$L:$L,MATCH(ROW()-14,Query_Source_View!$Z:$Z,0)),"")</f>
        <v>Red</v>
      </c>
      <c r="G57" s="2" t="str">
        <f aca="false">IFERROR(INDEX(Query_Source_View!$N:$N,MATCH(ROW()-14,Query_Source_View!$Z:$Z,0)),"")</f>
        <v>PR209</v>
      </c>
      <c r="H57" s="2" t="n">
        <f aca="false">IFERROR(INDEX(Query_Source_View!$P:$P,MATCH(ROW()-14,Query_Source_View!$Z:$Z,0)),"")</f>
        <v>1</v>
      </c>
      <c r="I57" s="2" t="str">
        <f aca="false">IFERROR(INDEX(Query_Source_View!$Q:$Q,MATCH(ROW()-14,Query_Source_View!$Z:$Z,0)),"")</f>
        <v>Yes</v>
      </c>
      <c r="J57" s="2" t="n">
        <f aca="false">IFERROR(INDEX(Query_Source_View!$R:$R,MATCH(ROW()-14,Query_Source_View!$Z:$Z,0)),"")</f>
        <v>0</v>
      </c>
      <c r="K57" s="2" t="str">
        <f aca="false">IFERROR(INDEX(Query_Source_View!$T:$T,MATCH(ROW()-14,Query_Source_View!$Z:$Z,0)),"")</f>
        <v>A</v>
      </c>
      <c r="L57" s="2" t="n">
        <f aca="false">IFERROR(INDEX(Query_Source_View!$U:$U,MATCH(ROW()-14,Query_Source_View!$Z:$Z,0)),"")</f>
        <v>0</v>
      </c>
      <c r="M57" s="2" t="n">
        <f aca="false">IFERROR(INDEX(Query_Source_View!$V:$V,MATCH(ROW()-14,Query_Source_View!$Z:$Z,0)),"")</f>
        <v>0</v>
      </c>
      <c r="N57" s="2" t="str">
        <f aca="false">IFERROR(INDEX(Query_Source_View!$W:$W,MATCH(ROW()-14,Query_Source_View!$Z:$Z,0)),"")</f>
        <v>Needs Review</v>
      </c>
      <c r="O57" s="2" t="str">
        <f aca="false">IFERROR(INDEX(Query_Source_View!$X:$X,MATCH(ROW()-14,Query_Source_View!$Z:$Z,0)),"")</f>
        <v>https://sensuallogic.com/artistcolordata</v>
      </c>
    </row>
    <row r="58" customFormat="false" ht="23.85" hidden="false" customHeight="false" outlineLevel="0" collapsed="false">
      <c r="A58" s="2" t="str">
        <f aca="false">IFERROR(INDEX(Query_Source_View!$A:$A,MATCH(ROW()-14,Query_Source_View!$Z:$Z,0)),"")</f>
        <v>PNT000038</v>
      </c>
      <c r="B58" s="2" t="str">
        <f aca="false">IFERROR(INDEX(Query_Source_View!$D:$D,MATCH(ROW()-14,Query_Source_View!$Z:$Z,0)),"")</f>
        <v>Winsor And Newton</v>
      </c>
      <c r="C58" s="2" t="str">
        <f aca="false">IFERROR(INDEX(Query_Source_View!$F:$F,MATCH(ROW()-14,Query_Source_View!$Z:$Z,0)),"")</f>
        <v>Oil</v>
      </c>
      <c r="D58" s="2" t="str">
        <f aca="false">IFERROR(INDEX(Query_Source_View!$H:$H,MATCH(ROW()-14,Query_Source_View!$Z:$Z,0)),"")</f>
        <v>Artists Oil</v>
      </c>
      <c r="E58" s="2" t="str">
        <f aca="false">IFERROR(INDEX(Query_Source_View!$J:$J,MATCH(ROW()-14,Query_Source_View!$Z:$Z,0)),"")</f>
        <v>Raw Sienna</v>
      </c>
      <c r="F58" s="2" t="str">
        <f aca="false">IFERROR(INDEX(Query_Source_View!$L:$L,MATCH(ROW()-14,Query_Source_View!$Z:$Z,0)),"")</f>
        <v>Orange</v>
      </c>
      <c r="G58" s="2" t="str">
        <f aca="false">IFERROR(INDEX(Query_Source_View!$N:$N,MATCH(ROW()-14,Query_Source_View!$Z:$Z,0)),"")</f>
        <v>PY43</v>
      </c>
      <c r="H58" s="2" t="n">
        <f aca="false">IFERROR(INDEX(Query_Source_View!$P:$P,MATCH(ROW()-14,Query_Source_View!$Z:$Z,0)),"")</f>
        <v>2</v>
      </c>
      <c r="I58" s="2" t="str">
        <f aca="false">IFERROR(INDEX(Query_Source_View!$Q:$Q,MATCH(ROW()-14,Query_Source_View!$Z:$Z,0)),"")</f>
        <v>No</v>
      </c>
      <c r="J58" s="2" t="n">
        <f aca="false">IFERROR(INDEX(Query_Source_View!$R:$R,MATCH(ROW()-14,Query_Source_View!$Z:$Z,0)),"")</f>
        <v>0</v>
      </c>
      <c r="K58" s="2" t="str">
        <f aca="false">IFERROR(INDEX(Query_Source_View!$T:$T,MATCH(ROW()-14,Query_Source_View!$Z:$Z,0)),"")</f>
        <v>AA</v>
      </c>
      <c r="L58" s="2" t="n">
        <f aca="false">IFERROR(INDEX(Query_Source_View!$U:$U,MATCH(ROW()-14,Query_Source_View!$Z:$Z,0)),"")</f>
        <v>0</v>
      </c>
      <c r="M58" s="2" t="n">
        <f aca="false">IFERROR(INDEX(Query_Source_View!$V:$V,MATCH(ROW()-14,Query_Source_View!$Z:$Z,0)),"")</f>
        <v>0</v>
      </c>
      <c r="N58" s="2" t="str">
        <f aca="false">IFERROR(INDEX(Query_Source_View!$W:$W,MATCH(ROW()-14,Query_Source_View!$Z:$Z,0)),"")</f>
        <v>Needs Review</v>
      </c>
      <c r="O58" s="2" t="str">
        <f aca="false">IFERROR(INDEX(Query_Source_View!$X:$X,MATCH(ROW()-14,Query_Source_View!$Z:$Z,0)),"")</f>
        <v>https://sensuallogic.com/artistcolordata</v>
      </c>
    </row>
    <row r="59" customFormat="false" ht="23.85" hidden="false" customHeight="false" outlineLevel="0" collapsed="false">
      <c r="A59" s="2" t="str">
        <f aca="false">IFERROR(INDEX(Query_Source_View!$A:$A,MATCH(ROW()-14,Query_Source_View!$Z:$Z,0)),"")</f>
        <v>PNT000038</v>
      </c>
      <c r="B59" s="2" t="str">
        <f aca="false">IFERROR(INDEX(Query_Source_View!$D:$D,MATCH(ROW()-14,Query_Source_View!$Z:$Z,0)),"")</f>
        <v>Winsor And Newton</v>
      </c>
      <c r="C59" s="2" t="str">
        <f aca="false">IFERROR(INDEX(Query_Source_View!$F:$F,MATCH(ROW()-14,Query_Source_View!$Z:$Z,0)),"")</f>
        <v>Oil</v>
      </c>
      <c r="D59" s="2" t="str">
        <f aca="false">IFERROR(INDEX(Query_Source_View!$H:$H,MATCH(ROW()-14,Query_Source_View!$Z:$Z,0)),"")</f>
        <v>Artists Oil</v>
      </c>
      <c r="E59" s="2" t="str">
        <f aca="false">IFERROR(INDEX(Query_Source_View!$J:$J,MATCH(ROW()-14,Query_Source_View!$Z:$Z,0)),"")</f>
        <v>Raw Sienna</v>
      </c>
      <c r="F59" s="2" t="str">
        <f aca="false">IFERROR(INDEX(Query_Source_View!$L:$L,MATCH(ROW()-14,Query_Source_View!$Z:$Z,0)),"")</f>
        <v>Orange</v>
      </c>
      <c r="G59" s="2" t="str">
        <f aca="false">IFERROR(INDEX(Query_Source_View!$N:$N,MATCH(ROW()-14,Query_Source_View!$Z:$Z,0)),"")</f>
        <v>PY42</v>
      </c>
      <c r="H59" s="2" t="n">
        <f aca="false">IFERROR(INDEX(Query_Source_View!$P:$P,MATCH(ROW()-14,Query_Source_View!$Z:$Z,0)),"")</f>
        <v>2</v>
      </c>
      <c r="I59" s="2" t="str">
        <f aca="false">IFERROR(INDEX(Query_Source_View!$Q:$Q,MATCH(ROW()-14,Query_Source_View!$Z:$Z,0)),"")</f>
        <v>No</v>
      </c>
      <c r="J59" s="2" t="n">
        <f aca="false">IFERROR(INDEX(Query_Source_View!$R:$R,MATCH(ROW()-14,Query_Source_View!$Z:$Z,0)),"")</f>
        <v>0</v>
      </c>
      <c r="K59" s="2" t="str">
        <f aca="false">IFERROR(INDEX(Query_Source_View!$T:$T,MATCH(ROW()-14,Query_Source_View!$Z:$Z,0)),"")</f>
        <v>AA</v>
      </c>
      <c r="L59" s="2" t="n">
        <f aca="false">IFERROR(INDEX(Query_Source_View!$U:$U,MATCH(ROW()-14,Query_Source_View!$Z:$Z,0)),"")</f>
        <v>0</v>
      </c>
      <c r="M59" s="2" t="n">
        <f aca="false">IFERROR(INDEX(Query_Source_View!$V:$V,MATCH(ROW()-14,Query_Source_View!$Z:$Z,0)),"")</f>
        <v>0</v>
      </c>
      <c r="N59" s="2" t="str">
        <f aca="false">IFERROR(INDEX(Query_Source_View!$W:$W,MATCH(ROW()-14,Query_Source_View!$Z:$Z,0)),"")</f>
        <v>Needs Review</v>
      </c>
      <c r="O59" s="2" t="str">
        <f aca="false">IFERROR(INDEX(Query_Source_View!$X:$X,MATCH(ROW()-14,Query_Source_View!$Z:$Z,0)),"")</f>
        <v>https://sensuallogic.com/artistcolordata</v>
      </c>
    </row>
    <row r="60" customFormat="false" ht="23.85" hidden="false" customHeight="false" outlineLevel="0" collapsed="false">
      <c r="A60" s="2" t="str">
        <f aca="false">IFERROR(INDEX(Query_Source_View!$A:$A,MATCH(ROW()-14,Query_Source_View!$Z:$Z,0)),"")</f>
        <v>PNT000039</v>
      </c>
      <c r="B60" s="2" t="str">
        <f aca="false">IFERROR(INDEX(Query_Source_View!$D:$D,MATCH(ROW()-14,Query_Source_View!$Z:$Z,0)),"")</f>
        <v>Winsor And Newton</v>
      </c>
      <c r="C60" s="2" t="str">
        <f aca="false">IFERROR(INDEX(Query_Source_View!$F:$F,MATCH(ROW()-14,Query_Source_View!$Z:$Z,0)),"")</f>
        <v>Oil</v>
      </c>
      <c r="D60" s="2" t="str">
        <f aca="false">IFERROR(INDEX(Query_Source_View!$H:$H,MATCH(ROW()-14,Query_Source_View!$Z:$Z,0)),"")</f>
        <v>Artists Oil</v>
      </c>
      <c r="E60" s="2" t="str">
        <f aca="false">IFERROR(INDEX(Query_Source_View!$J:$J,MATCH(ROW()-14,Query_Source_View!$Z:$Z,0)),"")</f>
        <v>Raw Umber</v>
      </c>
      <c r="F60" s="2" t="str">
        <f aca="false">IFERROR(INDEX(Query_Source_View!$L:$L,MATCH(ROW()-14,Query_Source_View!$Z:$Z,0)),"")</f>
        <v>Earth</v>
      </c>
      <c r="G60" s="2" t="str">
        <f aca="false">IFERROR(INDEX(Query_Source_View!$N:$N,MATCH(ROW()-14,Query_Source_View!$Z:$Z,0)),"")</f>
        <v>PBr7</v>
      </c>
      <c r="H60" s="2" t="n">
        <f aca="false">IFERROR(INDEX(Query_Source_View!$P:$P,MATCH(ROW()-14,Query_Source_View!$Z:$Z,0)),"")</f>
        <v>1</v>
      </c>
      <c r="I60" s="2" t="str">
        <f aca="false">IFERROR(INDEX(Query_Source_View!$Q:$Q,MATCH(ROW()-14,Query_Source_View!$Z:$Z,0)),"")</f>
        <v>Yes</v>
      </c>
      <c r="J60" s="2" t="n">
        <f aca="false">IFERROR(INDEX(Query_Source_View!$R:$R,MATCH(ROW()-14,Query_Source_View!$Z:$Z,0)),"")</f>
        <v>0</v>
      </c>
      <c r="K60" s="2" t="str">
        <f aca="false">IFERROR(INDEX(Query_Source_View!$T:$T,MATCH(ROW()-14,Query_Source_View!$Z:$Z,0)),"")</f>
        <v>AA</v>
      </c>
      <c r="L60" s="2" t="n">
        <f aca="false">IFERROR(INDEX(Query_Source_View!$U:$U,MATCH(ROW()-14,Query_Source_View!$Z:$Z,0)),"")</f>
        <v>0</v>
      </c>
      <c r="M60" s="2" t="n">
        <f aca="false">IFERROR(INDEX(Query_Source_View!$V:$V,MATCH(ROW()-14,Query_Source_View!$Z:$Z,0)),"")</f>
        <v>0</v>
      </c>
      <c r="N60" s="2" t="str">
        <f aca="false">IFERROR(INDEX(Query_Source_View!$W:$W,MATCH(ROW()-14,Query_Source_View!$Z:$Z,0)),"")</f>
        <v>Needs Review</v>
      </c>
      <c r="O60" s="2" t="str">
        <f aca="false">IFERROR(INDEX(Query_Source_View!$X:$X,MATCH(ROW()-14,Query_Source_View!$Z:$Z,0)),"")</f>
        <v>https://sensuallogic.com/artistcolordata</v>
      </c>
    </row>
    <row r="61" customFormat="false" ht="23.85" hidden="false" customHeight="false" outlineLevel="0" collapsed="false">
      <c r="A61" s="2" t="str">
        <f aca="false">IFERROR(INDEX(Query_Source_View!$A:$A,MATCH(ROW()-14,Query_Source_View!$Z:$Z,0)),"")</f>
        <v>PNT000040</v>
      </c>
      <c r="B61" s="2" t="str">
        <f aca="false">IFERROR(INDEX(Query_Source_View!$D:$D,MATCH(ROW()-14,Query_Source_View!$Z:$Z,0)),"")</f>
        <v>Winsor And Newton</v>
      </c>
      <c r="C61" s="2" t="str">
        <f aca="false">IFERROR(INDEX(Query_Source_View!$F:$F,MATCH(ROW()-14,Query_Source_View!$Z:$Z,0)),"")</f>
        <v>Oil</v>
      </c>
      <c r="D61" s="2" t="str">
        <f aca="false">IFERROR(INDEX(Query_Source_View!$H:$H,MATCH(ROW()-14,Query_Source_View!$Z:$Z,0)),"")</f>
        <v>Artists Oil</v>
      </c>
      <c r="E61" s="2" t="str">
        <f aca="false">IFERROR(INDEX(Query_Source_View!$J:$J,MATCH(ROW()-14,Query_Source_View!$Z:$Z,0)),"")</f>
        <v>Rose Madder Genuine</v>
      </c>
      <c r="F61" s="2" t="str">
        <f aca="false">IFERROR(INDEX(Query_Source_View!$L:$L,MATCH(ROW()-14,Query_Source_View!$Z:$Z,0)),"")</f>
        <v>Red</v>
      </c>
      <c r="G61" s="2" t="str">
        <f aca="false">IFERROR(INDEX(Query_Source_View!$N:$N,MATCH(ROW()-14,Query_Source_View!$Z:$Z,0)),"")</f>
        <v>NR9</v>
      </c>
      <c r="H61" s="2" t="n">
        <f aca="false">IFERROR(INDEX(Query_Source_View!$P:$P,MATCH(ROW()-14,Query_Source_View!$Z:$Z,0)),"")</f>
        <v>1</v>
      </c>
      <c r="I61" s="2" t="str">
        <f aca="false">IFERROR(INDEX(Query_Source_View!$Q:$Q,MATCH(ROW()-14,Query_Source_View!$Z:$Z,0)),"")</f>
        <v>Yes</v>
      </c>
      <c r="J61" s="2" t="n">
        <f aca="false">IFERROR(INDEX(Query_Source_View!$R:$R,MATCH(ROW()-14,Query_Source_View!$Z:$Z,0)),"")</f>
        <v>0</v>
      </c>
      <c r="K61" s="2" t="str">
        <f aca="false">IFERROR(INDEX(Query_Source_View!$T:$T,MATCH(ROW()-14,Query_Source_View!$Z:$Z,0)),"")</f>
        <v>A</v>
      </c>
      <c r="L61" s="2" t="n">
        <f aca="false">IFERROR(INDEX(Query_Source_View!$U:$U,MATCH(ROW()-14,Query_Source_View!$Z:$Z,0)),"")</f>
        <v>0</v>
      </c>
      <c r="M61" s="2" t="n">
        <f aca="false">IFERROR(INDEX(Query_Source_View!$V:$V,MATCH(ROW()-14,Query_Source_View!$Z:$Z,0)),"")</f>
        <v>0</v>
      </c>
      <c r="N61" s="2" t="str">
        <f aca="false">IFERROR(INDEX(Query_Source_View!$W:$W,MATCH(ROW()-14,Query_Source_View!$Z:$Z,0)),"")</f>
        <v>Needs Review</v>
      </c>
      <c r="O61" s="2" t="str">
        <f aca="false">IFERROR(INDEX(Query_Source_View!$X:$X,MATCH(ROW()-14,Query_Source_View!$Z:$Z,0)),"")</f>
        <v>https://sensuallogic.com/artistcolordata</v>
      </c>
    </row>
    <row r="62" customFormat="false" ht="23.85" hidden="false" customHeight="false" outlineLevel="0" collapsed="false">
      <c r="A62" s="2" t="str">
        <f aca="false">IFERROR(INDEX(Query_Source_View!$A:$A,MATCH(ROW()-14,Query_Source_View!$Z:$Z,0)),"")</f>
        <v>PNT000041</v>
      </c>
      <c r="B62" s="2" t="str">
        <f aca="false">IFERROR(INDEX(Query_Source_View!$D:$D,MATCH(ROW()-14,Query_Source_View!$Z:$Z,0)),"")</f>
        <v>Winsor And Newton</v>
      </c>
      <c r="C62" s="2" t="str">
        <f aca="false">IFERROR(INDEX(Query_Source_View!$F:$F,MATCH(ROW()-14,Query_Source_View!$Z:$Z,0)),"")</f>
        <v>Oil</v>
      </c>
      <c r="D62" s="2" t="str">
        <f aca="false">IFERROR(INDEX(Query_Source_View!$H:$H,MATCH(ROW()-14,Query_Source_View!$Z:$Z,0)),"")</f>
        <v>Artists Oil</v>
      </c>
      <c r="E62" s="2" t="str">
        <f aca="false">IFERROR(INDEX(Query_Source_View!$J:$J,MATCH(ROW()-14,Query_Source_View!$Z:$Z,0)),"")</f>
        <v>Scarlet Lake</v>
      </c>
      <c r="F62" s="2" t="str">
        <f aca="false">IFERROR(INDEX(Query_Source_View!$L:$L,MATCH(ROW()-14,Query_Source_View!$Z:$Z,0)),"")</f>
        <v>Red</v>
      </c>
      <c r="G62" s="2" t="str">
        <f aca="false">IFERROR(INDEX(Query_Source_View!$N:$N,MATCH(ROW()-14,Query_Source_View!$Z:$Z,0)),"")</f>
        <v>PR255</v>
      </c>
      <c r="H62" s="2" t="n">
        <f aca="false">IFERROR(INDEX(Query_Source_View!$P:$P,MATCH(ROW()-14,Query_Source_View!$Z:$Z,0)),"")</f>
        <v>1</v>
      </c>
      <c r="I62" s="2" t="str">
        <f aca="false">IFERROR(INDEX(Query_Source_View!$Q:$Q,MATCH(ROW()-14,Query_Source_View!$Z:$Z,0)),"")</f>
        <v>Yes</v>
      </c>
      <c r="J62" s="2" t="n">
        <f aca="false">IFERROR(INDEX(Query_Source_View!$R:$R,MATCH(ROW()-14,Query_Source_View!$Z:$Z,0)),"")</f>
        <v>0</v>
      </c>
      <c r="K62" s="2" t="str">
        <f aca="false">IFERROR(INDEX(Query_Source_View!$T:$T,MATCH(ROW()-14,Query_Source_View!$Z:$Z,0)),"")</f>
        <v>A</v>
      </c>
      <c r="L62" s="2" t="n">
        <f aca="false">IFERROR(INDEX(Query_Source_View!$U:$U,MATCH(ROW()-14,Query_Source_View!$Z:$Z,0)),"")</f>
        <v>0</v>
      </c>
      <c r="M62" s="2" t="n">
        <f aca="false">IFERROR(INDEX(Query_Source_View!$V:$V,MATCH(ROW()-14,Query_Source_View!$Z:$Z,0)),"")</f>
        <v>0</v>
      </c>
      <c r="N62" s="2" t="str">
        <f aca="false">IFERROR(INDEX(Query_Source_View!$W:$W,MATCH(ROW()-14,Query_Source_View!$Z:$Z,0)),"")</f>
        <v>Needs Review</v>
      </c>
      <c r="O62" s="2" t="str">
        <f aca="false">IFERROR(INDEX(Query_Source_View!$X:$X,MATCH(ROW()-14,Query_Source_View!$Z:$Z,0)),"")</f>
        <v>https://sensuallogic.com/artistcolordata</v>
      </c>
    </row>
    <row r="63" customFormat="false" ht="23.85" hidden="false" customHeight="false" outlineLevel="0" collapsed="false">
      <c r="A63" s="2" t="str">
        <f aca="false">IFERROR(INDEX(Query_Source_View!$A:$A,MATCH(ROW()-14,Query_Source_View!$Z:$Z,0)),"")</f>
        <v>PNT000042</v>
      </c>
      <c r="B63" s="2" t="str">
        <f aca="false">IFERROR(INDEX(Query_Source_View!$D:$D,MATCH(ROW()-14,Query_Source_View!$Z:$Z,0)),"")</f>
        <v>Winsor And Newton</v>
      </c>
      <c r="C63" s="2" t="str">
        <f aca="false">IFERROR(INDEX(Query_Source_View!$F:$F,MATCH(ROW()-14,Query_Source_View!$Z:$Z,0)),"")</f>
        <v>Oil</v>
      </c>
      <c r="D63" s="2" t="str">
        <f aca="false">IFERROR(INDEX(Query_Source_View!$H:$H,MATCH(ROW()-14,Query_Source_View!$Z:$Z,0)),"")</f>
        <v>Artists Oil</v>
      </c>
      <c r="E63" s="2" t="str">
        <f aca="false">IFERROR(INDEX(Query_Source_View!$J:$J,MATCH(ROW()-14,Query_Source_View!$Z:$Z,0)),"")</f>
        <v>Terra Rosa</v>
      </c>
      <c r="F63" s="2" t="str">
        <f aca="false">IFERROR(INDEX(Query_Source_View!$L:$L,MATCH(ROW()-14,Query_Source_View!$Z:$Z,0)),"")</f>
        <v>Red</v>
      </c>
      <c r="G63" s="2" t="str">
        <f aca="false">IFERROR(INDEX(Query_Source_View!$N:$N,MATCH(ROW()-14,Query_Source_View!$Z:$Z,0)),"")</f>
        <v>PR101</v>
      </c>
      <c r="H63" s="2" t="n">
        <f aca="false">IFERROR(INDEX(Query_Source_View!$P:$P,MATCH(ROW()-14,Query_Source_View!$Z:$Z,0)),"")</f>
        <v>1</v>
      </c>
      <c r="I63" s="2" t="str">
        <f aca="false">IFERROR(INDEX(Query_Source_View!$Q:$Q,MATCH(ROW()-14,Query_Source_View!$Z:$Z,0)),"")</f>
        <v>Yes</v>
      </c>
      <c r="J63" s="2" t="n">
        <f aca="false">IFERROR(INDEX(Query_Source_View!$R:$R,MATCH(ROW()-14,Query_Source_View!$Z:$Z,0)),"")</f>
        <v>0</v>
      </c>
      <c r="K63" s="2" t="str">
        <f aca="false">IFERROR(INDEX(Query_Source_View!$T:$T,MATCH(ROW()-14,Query_Source_View!$Z:$Z,0)),"")</f>
        <v>AA</v>
      </c>
      <c r="L63" s="2" t="n">
        <f aca="false">IFERROR(INDEX(Query_Source_View!$U:$U,MATCH(ROW()-14,Query_Source_View!$Z:$Z,0)),"")</f>
        <v>0</v>
      </c>
      <c r="M63" s="2" t="n">
        <f aca="false">IFERROR(INDEX(Query_Source_View!$V:$V,MATCH(ROW()-14,Query_Source_View!$Z:$Z,0)),"")</f>
        <v>0</v>
      </c>
      <c r="N63" s="2" t="str">
        <f aca="false">IFERROR(INDEX(Query_Source_View!$W:$W,MATCH(ROW()-14,Query_Source_View!$Z:$Z,0)),"")</f>
        <v>Needs Review</v>
      </c>
      <c r="O63" s="2" t="str">
        <f aca="false">IFERROR(INDEX(Query_Source_View!$X:$X,MATCH(ROW()-14,Query_Source_View!$Z:$Z,0)),"")</f>
        <v>https://sensuallogic.com/artistcolordata</v>
      </c>
    </row>
    <row r="64" customFormat="false" ht="23.85" hidden="false" customHeight="false" outlineLevel="0" collapsed="false">
      <c r="A64" s="2" t="str">
        <f aca="false">IFERROR(INDEX(Query_Source_View!$A:$A,MATCH(ROW()-14,Query_Source_View!$Z:$Z,0)),"")</f>
        <v>PNT000043</v>
      </c>
      <c r="B64" s="2" t="str">
        <f aca="false">IFERROR(INDEX(Query_Source_View!$D:$D,MATCH(ROW()-14,Query_Source_View!$Z:$Z,0)),"")</f>
        <v>Winsor And Newton</v>
      </c>
      <c r="C64" s="2" t="str">
        <f aca="false">IFERROR(INDEX(Query_Source_View!$F:$F,MATCH(ROW()-14,Query_Source_View!$Z:$Z,0)),"")</f>
        <v>Oil</v>
      </c>
      <c r="D64" s="2" t="str">
        <f aca="false">IFERROR(INDEX(Query_Source_View!$H:$H,MATCH(ROW()-14,Query_Source_View!$Z:$Z,0)),"")</f>
        <v>Artists Oil</v>
      </c>
      <c r="E64" s="2" t="str">
        <f aca="false">IFERROR(INDEX(Query_Source_View!$J:$J,MATCH(ROW()-14,Query_Source_View!$Z:$Z,0)),"")</f>
        <v>Terre Verte</v>
      </c>
      <c r="F64" s="2" t="str">
        <f aca="false">IFERROR(INDEX(Query_Source_View!$L:$L,MATCH(ROW()-14,Query_Source_View!$Z:$Z,0)),"")</f>
        <v>Green</v>
      </c>
      <c r="G64" s="2" t="str">
        <f aca="false">IFERROR(INDEX(Query_Source_View!$N:$N,MATCH(ROW()-14,Query_Source_View!$Z:$Z,0)),"")</f>
        <v>PG23</v>
      </c>
      <c r="H64" s="2" t="n">
        <f aca="false">IFERROR(INDEX(Query_Source_View!$P:$P,MATCH(ROW()-14,Query_Source_View!$Z:$Z,0)),"")</f>
        <v>2</v>
      </c>
      <c r="I64" s="2" t="str">
        <f aca="false">IFERROR(INDEX(Query_Source_View!$Q:$Q,MATCH(ROW()-14,Query_Source_View!$Z:$Z,0)),"")</f>
        <v>No</v>
      </c>
      <c r="J64" s="2" t="n">
        <f aca="false">IFERROR(INDEX(Query_Source_View!$R:$R,MATCH(ROW()-14,Query_Source_View!$Z:$Z,0)),"")</f>
        <v>0</v>
      </c>
      <c r="K64" s="2" t="str">
        <f aca="false">IFERROR(INDEX(Query_Source_View!$T:$T,MATCH(ROW()-14,Query_Source_View!$Z:$Z,0)),"")</f>
        <v>AA</v>
      </c>
      <c r="L64" s="2" t="n">
        <f aca="false">IFERROR(INDEX(Query_Source_View!$U:$U,MATCH(ROW()-14,Query_Source_View!$Z:$Z,0)),"")</f>
        <v>0</v>
      </c>
      <c r="M64" s="2" t="n">
        <f aca="false">IFERROR(INDEX(Query_Source_View!$V:$V,MATCH(ROW()-14,Query_Source_View!$Z:$Z,0)),"")</f>
        <v>0</v>
      </c>
      <c r="N64" s="2" t="str">
        <f aca="false">IFERROR(INDEX(Query_Source_View!$W:$W,MATCH(ROW()-14,Query_Source_View!$Z:$Z,0)),"")</f>
        <v>Needs Review</v>
      </c>
      <c r="O64" s="2" t="str">
        <f aca="false">IFERROR(INDEX(Query_Source_View!$X:$X,MATCH(ROW()-14,Query_Source_View!$Z:$Z,0)),"")</f>
        <v>https://sensuallogic.com/artistcolordata</v>
      </c>
    </row>
    <row r="65" customFormat="false" ht="23.85" hidden="false" customHeight="false" outlineLevel="0" collapsed="false">
      <c r="A65" s="2" t="str">
        <f aca="false">IFERROR(INDEX(Query_Source_View!$A:$A,MATCH(ROW()-14,Query_Source_View!$Z:$Z,0)),"")</f>
        <v>PNT000043</v>
      </c>
      <c r="B65" s="2" t="str">
        <f aca="false">IFERROR(INDEX(Query_Source_View!$D:$D,MATCH(ROW()-14,Query_Source_View!$Z:$Z,0)),"")</f>
        <v>Winsor And Newton</v>
      </c>
      <c r="C65" s="2" t="str">
        <f aca="false">IFERROR(INDEX(Query_Source_View!$F:$F,MATCH(ROW()-14,Query_Source_View!$Z:$Z,0)),"")</f>
        <v>Oil</v>
      </c>
      <c r="D65" s="2" t="str">
        <f aca="false">IFERROR(INDEX(Query_Source_View!$H:$H,MATCH(ROW()-14,Query_Source_View!$Z:$Z,0)),"")</f>
        <v>Artists Oil</v>
      </c>
      <c r="E65" s="2" t="str">
        <f aca="false">IFERROR(INDEX(Query_Source_View!$J:$J,MATCH(ROW()-14,Query_Source_View!$Z:$Z,0)),"")</f>
        <v>Terre Verte</v>
      </c>
      <c r="F65" s="2" t="str">
        <f aca="false">IFERROR(INDEX(Query_Source_View!$L:$L,MATCH(ROW()-14,Query_Source_View!$Z:$Z,0)),"")</f>
        <v>Green</v>
      </c>
      <c r="G65" s="2" t="str">
        <f aca="false">IFERROR(INDEX(Query_Source_View!$N:$N,MATCH(ROW()-14,Query_Source_View!$Z:$Z,0)),"")</f>
        <v>PG18</v>
      </c>
      <c r="H65" s="2" t="n">
        <f aca="false">IFERROR(INDEX(Query_Source_View!$P:$P,MATCH(ROW()-14,Query_Source_View!$Z:$Z,0)),"")</f>
        <v>2</v>
      </c>
      <c r="I65" s="2" t="str">
        <f aca="false">IFERROR(INDEX(Query_Source_View!$Q:$Q,MATCH(ROW()-14,Query_Source_View!$Z:$Z,0)),"")</f>
        <v>No</v>
      </c>
      <c r="J65" s="2" t="n">
        <f aca="false">IFERROR(INDEX(Query_Source_View!$R:$R,MATCH(ROW()-14,Query_Source_View!$Z:$Z,0)),"")</f>
        <v>0</v>
      </c>
      <c r="K65" s="2" t="str">
        <f aca="false">IFERROR(INDEX(Query_Source_View!$T:$T,MATCH(ROW()-14,Query_Source_View!$Z:$Z,0)),"")</f>
        <v>AA</v>
      </c>
      <c r="L65" s="2" t="n">
        <f aca="false">IFERROR(INDEX(Query_Source_View!$U:$U,MATCH(ROW()-14,Query_Source_View!$Z:$Z,0)),"")</f>
        <v>0</v>
      </c>
      <c r="M65" s="2" t="n">
        <f aca="false">IFERROR(INDEX(Query_Source_View!$V:$V,MATCH(ROW()-14,Query_Source_View!$Z:$Z,0)),"")</f>
        <v>0</v>
      </c>
      <c r="N65" s="2" t="str">
        <f aca="false">IFERROR(INDEX(Query_Source_View!$W:$W,MATCH(ROW()-14,Query_Source_View!$Z:$Z,0)),"")</f>
        <v>Needs Review</v>
      </c>
      <c r="O65" s="2" t="str">
        <f aca="false">IFERROR(INDEX(Query_Source_View!$X:$X,MATCH(ROW()-14,Query_Source_View!$Z:$Z,0)),"")</f>
        <v>https://sensuallogic.com/artistcolordata</v>
      </c>
    </row>
    <row r="66" customFormat="false" ht="23.85" hidden="false" customHeight="false" outlineLevel="0" collapsed="false">
      <c r="A66" s="2" t="str">
        <f aca="false">IFERROR(INDEX(Query_Source_View!$A:$A,MATCH(ROW()-14,Query_Source_View!$Z:$Z,0)),"")</f>
        <v>PNT000044</v>
      </c>
      <c r="B66" s="2" t="str">
        <f aca="false">IFERROR(INDEX(Query_Source_View!$D:$D,MATCH(ROW()-14,Query_Source_View!$Z:$Z,0)),"")</f>
        <v>Winsor And Newton</v>
      </c>
      <c r="C66" s="2" t="str">
        <f aca="false">IFERROR(INDEX(Query_Source_View!$F:$F,MATCH(ROW()-14,Query_Source_View!$Z:$Z,0)),"")</f>
        <v>Oil</v>
      </c>
      <c r="D66" s="2" t="str">
        <f aca="false">IFERROR(INDEX(Query_Source_View!$H:$H,MATCH(ROW()-14,Query_Source_View!$Z:$Z,0)),"")</f>
        <v>Artists Oil</v>
      </c>
      <c r="E66" s="2" t="str">
        <f aca="false">IFERROR(INDEX(Query_Source_View!$J:$J,MATCH(ROW()-14,Query_Source_View!$Z:$Z,0)),"")</f>
        <v>Titanium White</v>
      </c>
      <c r="F66" s="2" t="str">
        <f aca="false">IFERROR(INDEX(Query_Source_View!$L:$L,MATCH(ROW()-14,Query_Source_View!$Z:$Z,0)),"")</f>
        <v>White</v>
      </c>
      <c r="G66" s="2" t="str">
        <f aca="false">IFERROR(INDEX(Query_Source_View!$N:$N,MATCH(ROW()-14,Query_Source_View!$Z:$Z,0)),"")</f>
        <v>PW6</v>
      </c>
      <c r="H66" s="2" t="n">
        <f aca="false">IFERROR(INDEX(Query_Source_View!$P:$P,MATCH(ROW()-14,Query_Source_View!$Z:$Z,0)),"")</f>
        <v>2</v>
      </c>
      <c r="I66" s="2" t="str">
        <f aca="false">IFERROR(INDEX(Query_Source_View!$Q:$Q,MATCH(ROW()-14,Query_Source_View!$Z:$Z,0)),"")</f>
        <v>No</v>
      </c>
      <c r="J66" s="2" t="n">
        <f aca="false">IFERROR(INDEX(Query_Source_View!$R:$R,MATCH(ROW()-14,Query_Source_View!$Z:$Z,0)),"")</f>
        <v>0</v>
      </c>
      <c r="K66" s="2" t="str">
        <f aca="false">IFERROR(INDEX(Query_Source_View!$T:$T,MATCH(ROW()-14,Query_Source_View!$Z:$Z,0)),"")</f>
        <v>AA</v>
      </c>
      <c r="L66" s="2" t="n">
        <f aca="false">IFERROR(INDEX(Query_Source_View!$U:$U,MATCH(ROW()-14,Query_Source_View!$Z:$Z,0)),"")</f>
        <v>0</v>
      </c>
      <c r="M66" s="2" t="n">
        <f aca="false">IFERROR(INDEX(Query_Source_View!$V:$V,MATCH(ROW()-14,Query_Source_View!$Z:$Z,0)),"")</f>
        <v>0</v>
      </c>
      <c r="N66" s="2" t="str">
        <f aca="false">IFERROR(INDEX(Query_Source_View!$W:$W,MATCH(ROW()-14,Query_Source_View!$Z:$Z,0)),"")</f>
        <v>Needs Review</v>
      </c>
      <c r="O66" s="2" t="str">
        <f aca="false">IFERROR(INDEX(Query_Source_View!$X:$X,MATCH(ROW()-14,Query_Source_View!$Z:$Z,0)),"")</f>
        <v>https://sensuallogic.com/artistcolordata</v>
      </c>
    </row>
    <row r="67" customFormat="false" ht="23.85" hidden="false" customHeight="false" outlineLevel="0" collapsed="false">
      <c r="A67" s="2" t="str">
        <f aca="false">IFERROR(INDEX(Query_Source_View!$A:$A,MATCH(ROW()-14,Query_Source_View!$Z:$Z,0)),"")</f>
        <v>PNT000044</v>
      </c>
      <c r="B67" s="2" t="str">
        <f aca="false">IFERROR(INDEX(Query_Source_View!$D:$D,MATCH(ROW()-14,Query_Source_View!$Z:$Z,0)),"")</f>
        <v>Winsor And Newton</v>
      </c>
      <c r="C67" s="2" t="str">
        <f aca="false">IFERROR(INDEX(Query_Source_View!$F:$F,MATCH(ROW()-14,Query_Source_View!$Z:$Z,0)),"")</f>
        <v>Oil</v>
      </c>
      <c r="D67" s="2" t="str">
        <f aca="false">IFERROR(INDEX(Query_Source_View!$H:$H,MATCH(ROW()-14,Query_Source_View!$Z:$Z,0)),"")</f>
        <v>Artists Oil</v>
      </c>
      <c r="E67" s="2" t="str">
        <f aca="false">IFERROR(INDEX(Query_Source_View!$J:$J,MATCH(ROW()-14,Query_Source_View!$Z:$Z,0)),"")</f>
        <v>Titanium White</v>
      </c>
      <c r="F67" s="2" t="str">
        <f aca="false">IFERROR(INDEX(Query_Source_View!$L:$L,MATCH(ROW()-14,Query_Source_View!$Z:$Z,0)),"")</f>
        <v>White</v>
      </c>
      <c r="G67" s="2" t="str">
        <f aca="false">IFERROR(INDEX(Query_Source_View!$N:$N,MATCH(ROW()-14,Query_Source_View!$Z:$Z,0)),"")</f>
        <v>PW4</v>
      </c>
      <c r="H67" s="2" t="n">
        <f aca="false">IFERROR(INDEX(Query_Source_View!$P:$P,MATCH(ROW()-14,Query_Source_View!$Z:$Z,0)),"")</f>
        <v>2</v>
      </c>
      <c r="I67" s="2" t="str">
        <f aca="false">IFERROR(INDEX(Query_Source_View!$Q:$Q,MATCH(ROW()-14,Query_Source_View!$Z:$Z,0)),"")</f>
        <v>No</v>
      </c>
      <c r="J67" s="2" t="n">
        <f aca="false">IFERROR(INDEX(Query_Source_View!$R:$R,MATCH(ROW()-14,Query_Source_View!$Z:$Z,0)),"")</f>
        <v>0</v>
      </c>
      <c r="K67" s="2" t="str">
        <f aca="false">IFERROR(INDEX(Query_Source_View!$T:$T,MATCH(ROW()-14,Query_Source_View!$Z:$Z,0)),"")</f>
        <v>AA</v>
      </c>
      <c r="L67" s="2" t="n">
        <f aca="false">IFERROR(INDEX(Query_Source_View!$U:$U,MATCH(ROW()-14,Query_Source_View!$Z:$Z,0)),"")</f>
        <v>0</v>
      </c>
      <c r="M67" s="2" t="n">
        <f aca="false">IFERROR(INDEX(Query_Source_View!$V:$V,MATCH(ROW()-14,Query_Source_View!$Z:$Z,0)),"")</f>
        <v>0</v>
      </c>
      <c r="N67" s="2" t="str">
        <f aca="false">IFERROR(INDEX(Query_Source_View!$W:$W,MATCH(ROW()-14,Query_Source_View!$Z:$Z,0)),"")</f>
        <v>Needs Review</v>
      </c>
      <c r="O67" s="2" t="str">
        <f aca="false">IFERROR(INDEX(Query_Source_View!$X:$X,MATCH(ROW()-14,Query_Source_View!$Z:$Z,0)),"")</f>
        <v>https://sensuallogic.com/artistcolordata</v>
      </c>
    </row>
    <row r="68" customFormat="false" ht="23.85" hidden="false" customHeight="false" outlineLevel="0" collapsed="false">
      <c r="A68" s="2" t="str">
        <f aca="false">IFERROR(INDEX(Query_Source_View!$A:$A,MATCH(ROW()-14,Query_Source_View!$Z:$Z,0)),"")</f>
        <v>PNT000045</v>
      </c>
      <c r="B68" s="2" t="str">
        <f aca="false">IFERROR(INDEX(Query_Source_View!$D:$D,MATCH(ROW()-14,Query_Source_View!$Z:$Z,0)),"")</f>
        <v>Winsor And Newton</v>
      </c>
      <c r="C68" s="2" t="str">
        <f aca="false">IFERROR(INDEX(Query_Source_View!$F:$F,MATCH(ROW()-14,Query_Source_View!$Z:$Z,0)),"")</f>
        <v>Oil</v>
      </c>
      <c r="D68" s="2" t="str">
        <f aca="false">IFERROR(INDEX(Query_Source_View!$H:$H,MATCH(ROW()-14,Query_Source_View!$Z:$Z,0)),"")</f>
        <v>Artists Oil</v>
      </c>
      <c r="E68" s="2" t="str">
        <f aca="false">IFERROR(INDEX(Query_Source_View!$J:$J,MATCH(ROW()-14,Query_Source_View!$Z:$Z,0)),"")</f>
        <v>Transparent Red Ochre</v>
      </c>
      <c r="F68" s="2" t="str">
        <f aca="false">IFERROR(INDEX(Query_Source_View!$L:$L,MATCH(ROW()-14,Query_Source_View!$Z:$Z,0)),"")</f>
        <v>Yellow</v>
      </c>
      <c r="G68" s="2" t="str">
        <f aca="false">IFERROR(INDEX(Query_Source_View!$N:$N,MATCH(ROW()-14,Query_Source_View!$Z:$Z,0)),"")</f>
        <v>PR102</v>
      </c>
      <c r="H68" s="2" t="n">
        <f aca="false">IFERROR(INDEX(Query_Source_View!$P:$P,MATCH(ROW()-14,Query_Source_View!$Z:$Z,0)),"")</f>
        <v>1</v>
      </c>
      <c r="I68" s="2" t="str">
        <f aca="false">IFERROR(INDEX(Query_Source_View!$Q:$Q,MATCH(ROW()-14,Query_Source_View!$Z:$Z,0)),"")</f>
        <v>Yes</v>
      </c>
      <c r="J68" s="2" t="n">
        <f aca="false">IFERROR(INDEX(Query_Source_View!$R:$R,MATCH(ROW()-14,Query_Source_View!$Z:$Z,0)),"")</f>
        <v>0</v>
      </c>
      <c r="K68" s="2" t="str">
        <f aca="false">IFERROR(INDEX(Query_Source_View!$T:$T,MATCH(ROW()-14,Query_Source_View!$Z:$Z,0)),"")</f>
        <v>AA</v>
      </c>
      <c r="L68" s="2" t="n">
        <f aca="false">IFERROR(INDEX(Query_Source_View!$U:$U,MATCH(ROW()-14,Query_Source_View!$Z:$Z,0)),"")</f>
        <v>0</v>
      </c>
      <c r="M68" s="2" t="n">
        <f aca="false">IFERROR(INDEX(Query_Source_View!$V:$V,MATCH(ROW()-14,Query_Source_View!$Z:$Z,0)),"")</f>
        <v>0</v>
      </c>
      <c r="N68" s="2" t="str">
        <f aca="false">IFERROR(INDEX(Query_Source_View!$W:$W,MATCH(ROW()-14,Query_Source_View!$Z:$Z,0)),"")</f>
        <v>Needs Review</v>
      </c>
      <c r="O68" s="2" t="str">
        <f aca="false">IFERROR(INDEX(Query_Source_View!$X:$X,MATCH(ROW()-14,Query_Source_View!$Z:$Z,0)),"")</f>
        <v>https://sensuallogic.com/artistcolordata</v>
      </c>
    </row>
    <row r="69" customFormat="false" ht="23.85" hidden="false" customHeight="false" outlineLevel="0" collapsed="false">
      <c r="A69" s="2" t="str">
        <f aca="false">IFERROR(INDEX(Query_Source_View!$A:$A,MATCH(ROW()-14,Query_Source_View!$Z:$Z,0)),"")</f>
        <v>PNT000046</v>
      </c>
      <c r="B69" s="2" t="str">
        <f aca="false">IFERROR(INDEX(Query_Source_View!$D:$D,MATCH(ROW()-14,Query_Source_View!$Z:$Z,0)),"")</f>
        <v>Winsor And Newton</v>
      </c>
      <c r="C69" s="2" t="str">
        <f aca="false">IFERROR(INDEX(Query_Source_View!$F:$F,MATCH(ROW()-14,Query_Source_View!$Z:$Z,0)),"")</f>
        <v>Oil</v>
      </c>
      <c r="D69" s="2" t="str">
        <f aca="false">IFERROR(INDEX(Query_Source_View!$H:$H,MATCH(ROW()-14,Query_Source_View!$Z:$Z,0)),"")</f>
        <v>Artists Oil</v>
      </c>
      <c r="E69" s="2" t="str">
        <f aca="false">IFERROR(INDEX(Query_Source_View!$J:$J,MATCH(ROW()-14,Query_Source_View!$Z:$Z,0)),"")</f>
        <v>Transparent Yellow</v>
      </c>
      <c r="F69" s="2" t="str">
        <f aca="false">IFERROR(INDEX(Query_Source_View!$L:$L,MATCH(ROW()-14,Query_Source_View!$Z:$Z,0)),"")</f>
        <v>Yellow</v>
      </c>
      <c r="G69" s="2" t="str">
        <f aca="false">IFERROR(INDEX(Query_Source_View!$N:$N,MATCH(ROW()-14,Query_Source_View!$Z:$Z,0)),"")</f>
        <v>PY128</v>
      </c>
      <c r="H69" s="2" t="n">
        <f aca="false">IFERROR(INDEX(Query_Source_View!$P:$P,MATCH(ROW()-14,Query_Source_View!$Z:$Z,0)),"")</f>
        <v>1</v>
      </c>
      <c r="I69" s="2" t="str">
        <f aca="false">IFERROR(INDEX(Query_Source_View!$Q:$Q,MATCH(ROW()-14,Query_Source_View!$Z:$Z,0)),"")</f>
        <v>Yes</v>
      </c>
      <c r="J69" s="2" t="n">
        <f aca="false">IFERROR(INDEX(Query_Source_View!$R:$R,MATCH(ROW()-14,Query_Source_View!$Z:$Z,0)),"")</f>
        <v>0</v>
      </c>
      <c r="K69" s="2" t="str">
        <f aca="false">IFERROR(INDEX(Query_Source_View!$T:$T,MATCH(ROW()-14,Query_Source_View!$Z:$Z,0)),"")</f>
        <v>A</v>
      </c>
      <c r="L69" s="2" t="n">
        <f aca="false">IFERROR(INDEX(Query_Source_View!$U:$U,MATCH(ROW()-14,Query_Source_View!$Z:$Z,0)),"")</f>
        <v>0</v>
      </c>
      <c r="M69" s="2" t="n">
        <f aca="false">IFERROR(INDEX(Query_Source_View!$V:$V,MATCH(ROW()-14,Query_Source_View!$Z:$Z,0)),"")</f>
        <v>0</v>
      </c>
      <c r="N69" s="2" t="str">
        <f aca="false">IFERROR(INDEX(Query_Source_View!$W:$W,MATCH(ROW()-14,Query_Source_View!$Z:$Z,0)),"")</f>
        <v>Needs Review</v>
      </c>
      <c r="O69" s="2" t="str">
        <f aca="false">IFERROR(INDEX(Query_Source_View!$X:$X,MATCH(ROW()-14,Query_Source_View!$Z:$Z,0)),"")</f>
        <v>https://sensuallogic.com/artistcolordata</v>
      </c>
    </row>
    <row r="70" customFormat="false" ht="23.85" hidden="false" customHeight="false" outlineLevel="0" collapsed="false">
      <c r="A70" s="2" t="str">
        <f aca="false">IFERROR(INDEX(Query_Source_View!$A:$A,MATCH(ROW()-14,Query_Source_View!$Z:$Z,0)),"")</f>
        <v>PNT000047</v>
      </c>
      <c r="B70" s="2" t="str">
        <f aca="false">IFERROR(INDEX(Query_Source_View!$D:$D,MATCH(ROW()-14,Query_Source_View!$Z:$Z,0)),"")</f>
        <v>Winsor And Newton</v>
      </c>
      <c r="C70" s="2" t="str">
        <f aca="false">IFERROR(INDEX(Query_Source_View!$F:$F,MATCH(ROW()-14,Query_Source_View!$Z:$Z,0)),"")</f>
        <v>Oil</v>
      </c>
      <c r="D70" s="2" t="str">
        <f aca="false">IFERROR(INDEX(Query_Source_View!$H:$H,MATCH(ROW()-14,Query_Source_View!$Z:$Z,0)),"")</f>
        <v>Artists Oil</v>
      </c>
      <c r="E70" s="2" t="str">
        <f aca="false">IFERROR(INDEX(Query_Source_View!$J:$J,MATCH(ROW()-14,Query_Source_View!$Z:$Z,0)),"")</f>
        <v>Transparent Maroon</v>
      </c>
      <c r="F70" s="2" t="str">
        <f aca="false">IFERROR(INDEX(Query_Source_View!$L:$L,MATCH(ROW()-14,Query_Source_View!$Z:$Z,0)),"")</f>
        <v>Red</v>
      </c>
      <c r="G70" s="2" t="str">
        <f aca="false">IFERROR(INDEX(Query_Source_View!$N:$N,MATCH(ROW()-14,Query_Source_View!$Z:$Z,0)),"")</f>
        <v>PBr25</v>
      </c>
      <c r="H70" s="2" t="n">
        <f aca="false">IFERROR(INDEX(Query_Source_View!$P:$P,MATCH(ROW()-14,Query_Source_View!$Z:$Z,0)),"")</f>
        <v>1</v>
      </c>
      <c r="I70" s="2" t="str">
        <f aca="false">IFERROR(INDEX(Query_Source_View!$Q:$Q,MATCH(ROW()-14,Query_Source_View!$Z:$Z,0)),"")</f>
        <v>Yes</v>
      </c>
      <c r="J70" s="2" t="n">
        <f aca="false">IFERROR(INDEX(Query_Source_View!$R:$R,MATCH(ROW()-14,Query_Source_View!$Z:$Z,0)),"")</f>
        <v>0</v>
      </c>
      <c r="K70" s="2" t="str">
        <f aca="false">IFERROR(INDEX(Query_Source_View!$T:$T,MATCH(ROW()-14,Query_Source_View!$Z:$Z,0)),"")</f>
        <v>A</v>
      </c>
      <c r="L70" s="2" t="n">
        <f aca="false">IFERROR(INDEX(Query_Source_View!$U:$U,MATCH(ROW()-14,Query_Source_View!$Z:$Z,0)),"")</f>
        <v>0</v>
      </c>
      <c r="M70" s="2" t="n">
        <f aca="false">IFERROR(INDEX(Query_Source_View!$V:$V,MATCH(ROW()-14,Query_Source_View!$Z:$Z,0)),"")</f>
        <v>0</v>
      </c>
      <c r="N70" s="2" t="str">
        <f aca="false">IFERROR(INDEX(Query_Source_View!$W:$W,MATCH(ROW()-14,Query_Source_View!$Z:$Z,0)),"")</f>
        <v>Needs Review</v>
      </c>
      <c r="O70" s="2" t="str">
        <f aca="false">IFERROR(INDEX(Query_Source_View!$X:$X,MATCH(ROW()-14,Query_Source_View!$Z:$Z,0)),"")</f>
        <v>https://sensuallogic.com/artistcolordata</v>
      </c>
    </row>
    <row r="71" customFormat="false" ht="23.85" hidden="false" customHeight="false" outlineLevel="0" collapsed="false">
      <c r="A71" s="2" t="str">
        <f aca="false">IFERROR(INDEX(Query_Source_View!$A:$A,MATCH(ROW()-14,Query_Source_View!$Z:$Z,0)),"")</f>
        <v>PNT000048</v>
      </c>
      <c r="B71" s="2" t="str">
        <f aca="false">IFERROR(INDEX(Query_Source_View!$D:$D,MATCH(ROW()-14,Query_Source_View!$Z:$Z,0)),"")</f>
        <v>Winsor And Newton</v>
      </c>
      <c r="C71" s="2" t="str">
        <f aca="false">IFERROR(INDEX(Query_Source_View!$F:$F,MATCH(ROW()-14,Query_Source_View!$Z:$Z,0)),"")</f>
        <v>Oil</v>
      </c>
      <c r="D71" s="2" t="str">
        <f aca="false">IFERROR(INDEX(Query_Source_View!$H:$H,MATCH(ROW()-14,Query_Source_View!$Z:$Z,0)),"")</f>
        <v>Artists Oil</v>
      </c>
      <c r="E71" s="2" t="str">
        <f aca="false">IFERROR(INDEX(Query_Source_View!$J:$J,MATCH(ROW()-14,Query_Source_View!$Z:$Z,0)),"")</f>
        <v>Ultramarine Violet</v>
      </c>
      <c r="F71" s="2" t="str">
        <f aca="false">IFERROR(INDEX(Query_Source_View!$L:$L,MATCH(ROW()-14,Query_Source_View!$Z:$Z,0)),"")</f>
        <v>Violet</v>
      </c>
      <c r="G71" s="2" t="str">
        <f aca="false">IFERROR(INDEX(Query_Source_View!$N:$N,MATCH(ROW()-14,Query_Source_View!$Z:$Z,0)),"")</f>
        <v>PV15</v>
      </c>
      <c r="H71" s="2" t="n">
        <f aca="false">IFERROR(INDEX(Query_Source_View!$P:$P,MATCH(ROW()-14,Query_Source_View!$Z:$Z,0)),"")</f>
        <v>1</v>
      </c>
      <c r="I71" s="2" t="str">
        <f aca="false">IFERROR(INDEX(Query_Source_View!$Q:$Q,MATCH(ROW()-14,Query_Source_View!$Z:$Z,0)),"")</f>
        <v>Yes</v>
      </c>
      <c r="J71" s="2" t="n">
        <f aca="false">IFERROR(INDEX(Query_Source_View!$R:$R,MATCH(ROW()-14,Query_Source_View!$Z:$Z,0)),"")</f>
        <v>0</v>
      </c>
      <c r="K71" s="2" t="str">
        <f aca="false">IFERROR(INDEX(Query_Source_View!$T:$T,MATCH(ROW()-14,Query_Source_View!$Z:$Z,0)),"")</f>
        <v>A</v>
      </c>
      <c r="L71" s="2" t="n">
        <f aca="false">IFERROR(INDEX(Query_Source_View!$U:$U,MATCH(ROW()-14,Query_Source_View!$Z:$Z,0)),"")</f>
        <v>0</v>
      </c>
      <c r="M71" s="2" t="n">
        <f aca="false">IFERROR(INDEX(Query_Source_View!$V:$V,MATCH(ROW()-14,Query_Source_View!$Z:$Z,0)),"")</f>
        <v>0</v>
      </c>
      <c r="N71" s="2" t="str">
        <f aca="false">IFERROR(INDEX(Query_Source_View!$W:$W,MATCH(ROW()-14,Query_Source_View!$Z:$Z,0)),"")</f>
        <v>Needs Review</v>
      </c>
      <c r="O71" s="2" t="str">
        <f aca="false">IFERROR(INDEX(Query_Source_View!$X:$X,MATCH(ROW()-14,Query_Source_View!$Z:$Z,0)),"")</f>
        <v>https://sensuallogic.com/artistcolordata</v>
      </c>
    </row>
    <row r="72" customFormat="false" ht="23.85" hidden="false" customHeight="false" outlineLevel="0" collapsed="false">
      <c r="A72" s="2" t="str">
        <f aca="false">IFERROR(INDEX(Query_Source_View!$A:$A,MATCH(ROW()-14,Query_Source_View!$Z:$Z,0)),"")</f>
        <v>PNT000049</v>
      </c>
      <c r="B72" s="2" t="str">
        <f aca="false">IFERROR(INDEX(Query_Source_View!$D:$D,MATCH(ROW()-14,Query_Source_View!$Z:$Z,0)),"")</f>
        <v>Winsor And Newton</v>
      </c>
      <c r="C72" s="2" t="str">
        <f aca="false">IFERROR(INDEX(Query_Source_View!$F:$F,MATCH(ROW()-14,Query_Source_View!$Z:$Z,0)),"")</f>
        <v>Oil</v>
      </c>
      <c r="D72" s="2" t="str">
        <f aca="false">IFERROR(INDEX(Query_Source_View!$H:$H,MATCH(ROW()-14,Query_Source_View!$Z:$Z,0)),"")</f>
        <v>Artists Oil</v>
      </c>
      <c r="E72" s="2" t="str">
        <f aca="false">IFERROR(INDEX(Query_Source_View!$J:$J,MATCH(ROW()-14,Query_Source_View!$Z:$Z,0)),"")</f>
        <v>Vandyke Brown</v>
      </c>
      <c r="F72" s="2" t="str">
        <f aca="false">IFERROR(INDEX(Query_Source_View!$L:$L,MATCH(ROW()-14,Query_Source_View!$Z:$Z,0)),"")</f>
        <v>Earth</v>
      </c>
      <c r="G72" s="2" t="str">
        <f aca="false">IFERROR(INDEX(Query_Source_View!$N:$N,MATCH(ROW()-14,Query_Source_View!$Z:$Z,0)),"")</f>
        <v>NBr8</v>
      </c>
      <c r="H72" s="2" t="n">
        <f aca="false">IFERROR(INDEX(Query_Source_View!$P:$P,MATCH(ROW()-14,Query_Source_View!$Z:$Z,0)),"")</f>
        <v>2</v>
      </c>
      <c r="I72" s="2" t="str">
        <f aca="false">IFERROR(INDEX(Query_Source_View!$Q:$Q,MATCH(ROW()-14,Query_Source_View!$Z:$Z,0)),"")</f>
        <v>No</v>
      </c>
      <c r="J72" s="2" t="n">
        <f aca="false">IFERROR(INDEX(Query_Source_View!$R:$R,MATCH(ROW()-14,Query_Source_View!$Z:$Z,0)),"")</f>
        <v>0</v>
      </c>
      <c r="K72" s="2" t="str">
        <f aca="false">IFERROR(INDEX(Query_Source_View!$T:$T,MATCH(ROW()-14,Query_Source_View!$Z:$Z,0)),"")</f>
        <v>A</v>
      </c>
      <c r="L72" s="2" t="n">
        <f aca="false">IFERROR(INDEX(Query_Source_View!$U:$U,MATCH(ROW()-14,Query_Source_View!$Z:$Z,0)),"")</f>
        <v>0</v>
      </c>
      <c r="M72" s="2" t="n">
        <f aca="false">IFERROR(INDEX(Query_Source_View!$V:$V,MATCH(ROW()-14,Query_Source_View!$Z:$Z,0)),"")</f>
        <v>0</v>
      </c>
      <c r="N72" s="2" t="str">
        <f aca="false">IFERROR(INDEX(Query_Source_View!$W:$W,MATCH(ROW()-14,Query_Source_View!$Z:$Z,0)),"")</f>
        <v>Needs Review</v>
      </c>
      <c r="O72" s="2" t="str">
        <f aca="false">IFERROR(INDEX(Query_Source_View!$X:$X,MATCH(ROW()-14,Query_Source_View!$Z:$Z,0)),"")</f>
        <v>https://sensuallogic.com/artistcolordata</v>
      </c>
    </row>
    <row r="73" customFormat="false" ht="23.85" hidden="false" customHeight="false" outlineLevel="0" collapsed="false">
      <c r="A73" s="2" t="str">
        <f aca="false">IFERROR(INDEX(Query_Source_View!$A:$A,MATCH(ROW()-14,Query_Source_View!$Z:$Z,0)),"")</f>
        <v>PNT000049</v>
      </c>
      <c r="B73" s="2" t="str">
        <f aca="false">IFERROR(INDEX(Query_Source_View!$D:$D,MATCH(ROW()-14,Query_Source_View!$Z:$Z,0)),"")</f>
        <v>Winsor And Newton</v>
      </c>
      <c r="C73" s="2" t="str">
        <f aca="false">IFERROR(INDEX(Query_Source_View!$F:$F,MATCH(ROW()-14,Query_Source_View!$Z:$Z,0)),"")</f>
        <v>Oil</v>
      </c>
      <c r="D73" s="2" t="str">
        <f aca="false">IFERROR(INDEX(Query_Source_View!$H:$H,MATCH(ROW()-14,Query_Source_View!$Z:$Z,0)),"")</f>
        <v>Artists Oil</v>
      </c>
      <c r="E73" s="2" t="str">
        <f aca="false">IFERROR(INDEX(Query_Source_View!$J:$J,MATCH(ROW()-14,Query_Source_View!$Z:$Z,0)),"")</f>
        <v>Vandyke Brown</v>
      </c>
      <c r="F73" s="2" t="str">
        <f aca="false">IFERROR(INDEX(Query_Source_View!$L:$L,MATCH(ROW()-14,Query_Source_View!$Z:$Z,0)),"")</f>
        <v>Earth</v>
      </c>
      <c r="G73" s="2" t="str">
        <f aca="false">IFERROR(INDEX(Query_Source_View!$N:$N,MATCH(ROW()-14,Query_Source_View!$Z:$Z,0)),"")</f>
        <v>PBr7</v>
      </c>
      <c r="H73" s="2" t="n">
        <f aca="false">IFERROR(INDEX(Query_Source_View!$P:$P,MATCH(ROW()-14,Query_Source_View!$Z:$Z,0)),"")</f>
        <v>2</v>
      </c>
      <c r="I73" s="2" t="str">
        <f aca="false">IFERROR(INDEX(Query_Source_View!$Q:$Q,MATCH(ROW()-14,Query_Source_View!$Z:$Z,0)),"")</f>
        <v>No</v>
      </c>
      <c r="J73" s="2" t="n">
        <f aca="false">IFERROR(INDEX(Query_Source_View!$R:$R,MATCH(ROW()-14,Query_Source_View!$Z:$Z,0)),"")</f>
        <v>0</v>
      </c>
      <c r="K73" s="2" t="str">
        <f aca="false">IFERROR(INDEX(Query_Source_View!$T:$T,MATCH(ROW()-14,Query_Source_View!$Z:$Z,0)),"")</f>
        <v>A</v>
      </c>
      <c r="L73" s="2" t="n">
        <f aca="false">IFERROR(INDEX(Query_Source_View!$U:$U,MATCH(ROW()-14,Query_Source_View!$Z:$Z,0)),"")</f>
        <v>0</v>
      </c>
      <c r="M73" s="2" t="n">
        <f aca="false">IFERROR(INDEX(Query_Source_View!$V:$V,MATCH(ROW()-14,Query_Source_View!$Z:$Z,0)),"")</f>
        <v>0</v>
      </c>
      <c r="N73" s="2" t="str">
        <f aca="false">IFERROR(INDEX(Query_Source_View!$W:$W,MATCH(ROW()-14,Query_Source_View!$Z:$Z,0)),"")</f>
        <v>Needs Review</v>
      </c>
      <c r="O73" s="2" t="str">
        <f aca="false">IFERROR(INDEX(Query_Source_View!$X:$X,MATCH(ROW()-14,Query_Source_View!$Z:$Z,0)),"")</f>
        <v>https://sensuallogic.com/artistcolordata</v>
      </c>
    </row>
    <row r="74" customFormat="false" ht="23.85" hidden="false" customHeight="false" outlineLevel="0" collapsed="false">
      <c r="A74" s="2" t="str">
        <f aca="false">IFERROR(INDEX(Query_Source_View!$A:$A,MATCH(ROW()-14,Query_Source_View!$Z:$Z,0)),"")</f>
        <v>PNT000050</v>
      </c>
      <c r="B74" s="2" t="str">
        <f aca="false">IFERROR(INDEX(Query_Source_View!$D:$D,MATCH(ROW()-14,Query_Source_View!$Z:$Z,0)),"")</f>
        <v>Winsor And Newton</v>
      </c>
      <c r="C74" s="2" t="str">
        <f aca="false">IFERROR(INDEX(Query_Source_View!$F:$F,MATCH(ROW()-14,Query_Source_View!$Z:$Z,0)),"")</f>
        <v>Oil</v>
      </c>
      <c r="D74" s="2" t="str">
        <f aca="false">IFERROR(INDEX(Query_Source_View!$H:$H,MATCH(ROW()-14,Query_Source_View!$Z:$Z,0)),"")</f>
        <v>Artists Oil</v>
      </c>
      <c r="E74" s="2" t="str">
        <f aca="false">IFERROR(INDEX(Query_Source_View!$J:$J,MATCH(ROW()-14,Query_Source_View!$Z:$Z,0)),"")</f>
        <v>Venetian Red</v>
      </c>
      <c r="F74" s="2" t="str">
        <f aca="false">IFERROR(INDEX(Query_Source_View!$L:$L,MATCH(ROW()-14,Query_Source_View!$Z:$Z,0)),"")</f>
        <v>Red</v>
      </c>
      <c r="G74" s="2" t="str">
        <f aca="false">IFERROR(INDEX(Query_Source_View!$N:$N,MATCH(ROW()-14,Query_Source_View!$Z:$Z,0)),"")</f>
        <v>PR101</v>
      </c>
      <c r="H74" s="2" t="n">
        <f aca="false">IFERROR(INDEX(Query_Source_View!$P:$P,MATCH(ROW()-14,Query_Source_View!$Z:$Z,0)),"")</f>
        <v>1</v>
      </c>
      <c r="I74" s="2" t="str">
        <f aca="false">IFERROR(INDEX(Query_Source_View!$Q:$Q,MATCH(ROW()-14,Query_Source_View!$Z:$Z,0)),"")</f>
        <v>Yes</v>
      </c>
      <c r="J74" s="2" t="n">
        <f aca="false">IFERROR(INDEX(Query_Source_View!$R:$R,MATCH(ROW()-14,Query_Source_View!$Z:$Z,0)),"")</f>
        <v>0</v>
      </c>
      <c r="K74" s="2" t="str">
        <f aca="false">IFERROR(INDEX(Query_Source_View!$T:$T,MATCH(ROW()-14,Query_Source_View!$Z:$Z,0)),"")</f>
        <v>AA</v>
      </c>
      <c r="L74" s="2" t="n">
        <f aca="false">IFERROR(INDEX(Query_Source_View!$U:$U,MATCH(ROW()-14,Query_Source_View!$Z:$Z,0)),"")</f>
        <v>0</v>
      </c>
      <c r="M74" s="2" t="n">
        <f aca="false">IFERROR(INDEX(Query_Source_View!$V:$V,MATCH(ROW()-14,Query_Source_View!$Z:$Z,0)),"")</f>
        <v>0</v>
      </c>
      <c r="N74" s="2" t="str">
        <f aca="false">IFERROR(INDEX(Query_Source_View!$W:$W,MATCH(ROW()-14,Query_Source_View!$Z:$Z,0)),"")</f>
        <v>Needs Review</v>
      </c>
      <c r="O74" s="2" t="str">
        <f aca="false">IFERROR(INDEX(Query_Source_View!$X:$X,MATCH(ROW()-14,Query_Source_View!$Z:$Z,0)),"")</f>
        <v>https://sensuallogic.com/artistcolordata</v>
      </c>
    </row>
    <row r="75" customFormat="false" ht="23.85" hidden="false" customHeight="false" outlineLevel="0" collapsed="false">
      <c r="A75" s="2" t="str">
        <f aca="false">IFERROR(INDEX(Query_Source_View!$A:$A,MATCH(ROW()-14,Query_Source_View!$Z:$Z,0)),"")</f>
        <v>PNT000051</v>
      </c>
      <c r="B75" s="2" t="str">
        <f aca="false">IFERROR(INDEX(Query_Source_View!$D:$D,MATCH(ROW()-14,Query_Source_View!$Z:$Z,0)),"")</f>
        <v>Winsor And Newton</v>
      </c>
      <c r="C75" s="2" t="str">
        <f aca="false">IFERROR(INDEX(Query_Source_View!$F:$F,MATCH(ROW()-14,Query_Source_View!$Z:$Z,0)),"")</f>
        <v>Oil</v>
      </c>
      <c r="D75" s="2" t="str">
        <f aca="false">IFERROR(INDEX(Query_Source_View!$H:$H,MATCH(ROW()-14,Query_Source_View!$Z:$Z,0)),"")</f>
        <v>Artists Oil</v>
      </c>
      <c r="E75" s="2" t="str">
        <f aca="false">IFERROR(INDEX(Query_Source_View!$J:$J,MATCH(ROW()-14,Query_Source_View!$Z:$Z,0)),"")</f>
        <v>Viridian</v>
      </c>
      <c r="F75" s="2" t="str">
        <f aca="false">IFERROR(INDEX(Query_Source_View!$L:$L,MATCH(ROW()-14,Query_Source_View!$Z:$Z,0)),"")</f>
        <v>Green</v>
      </c>
      <c r="G75" s="2" t="str">
        <f aca="false">IFERROR(INDEX(Query_Source_View!$N:$N,MATCH(ROW()-14,Query_Source_View!$Z:$Z,0)),"")</f>
        <v>PG18</v>
      </c>
      <c r="H75" s="2" t="n">
        <f aca="false">IFERROR(INDEX(Query_Source_View!$P:$P,MATCH(ROW()-14,Query_Source_View!$Z:$Z,0)),"")</f>
        <v>1</v>
      </c>
      <c r="I75" s="2" t="str">
        <f aca="false">IFERROR(INDEX(Query_Source_View!$Q:$Q,MATCH(ROW()-14,Query_Source_View!$Z:$Z,0)),"")</f>
        <v>Yes</v>
      </c>
      <c r="J75" s="2" t="n">
        <f aca="false">IFERROR(INDEX(Query_Source_View!$R:$R,MATCH(ROW()-14,Query_Source_View!$Z:$Z,0)),"")</f>
        <v>0</v>
      </c>
      <c r="K75" s="2" t="str">
        <f aca="false">IFERROR(INDEX(Query_Source_View!$T:$T,MATCH(ROW()-14,Query_Source_View!$Z:$Z,0)),"")</f>
        <v>AA</v>
      </c>
      <c r="L75" s="2" t="n">
        <f aca="false">IFERROR(INDEX(Query_Source_View!$U:$U,MATCH(ROW()-14,Query_Source_View!$Z:$Z,0)),"")</f>
        <v>0</v>
      </c>
      <c r="M75" s="2" t="n">
        <f aca="false">IFERROR(INDEX(Query_Source_View!$V:$V,MATCH(ROW()-14,Query_Source_View!$Z:$Z,0)),"")</f>
        <v>0</v>
      </c>
      <c r="N75" s="2" t="str">
        <f aca="false">IFERROR(INDEX(Query_Source_View!$W:$W,MATCH(ROW()-14,Query_Source_View!$Z:$Z,0)),"")</f>
        <v>Needs Review</v>
      </c>
      <c r="O75" s="2" t="str">
        <f aca="false">IFERROR(INDEX(Query_Source_View!$X:$X,MATCH(ROW()-14,Query_Source_View!$Z:$Z,0)),"")</f>
        <v>https://sensuallogic.com/artistcolordata</v>
      </c>
    </row>
    <row r="76" customFormat="false" ht="23.85" hidden="false" customHeight="false" outlineLevel="0" collapsed="false">
      <c r="A76" s="2" t="str">
        <f aca="false">IFERROR(INDEX(Query_Source_View!$A:$A,MATCH(ROW()-14,Query_Source_View!$Z:$Z,0)),"")</f>
        <v>PNT000052</v>
      </c>
      <c r="B76" s="2" t="str">
        <f aca="false">IFERROR(INDEX(Query_Source_View!$D:$D,MATCH(ROW()-14,Query_Source_View!$Z:$Z,0)),"")</f>
        <v>Winsor And Newton</v>
      </c>
      <c r="C76" s="2" t="str">
        <f aca="false">IFERROR(INDEX(Query_Source_View!$F:$F,MATCH(ROW()-14,Query_Source_View!$Z:$Z,0)),"")</f>
        <v>Oil</v>
      </c>
      <c r="D76" s="2" t="str">
        <f aca="false">IFERROR(INDEX(Query_Source_View!$H:$H,MATCH(ROW()-14,Query_Source_View!$Z:$Z,0)),"")</f>
        <v>Artists Oil</v>
      </c>
      <c r="E76" s="2" t="str">
        <f aca="false">IFERROR(INDEX(Query_Source_View!$J:$J,MATCH(ROW()-14,Query_Source_View!$Z:$Z,0)),"")</f>
        <v>Winsor Emerald</v>
      </c>
      <c r="F76" s="2" t="str">
        <f aca="false">IFERROR(INDEX(Query_Source_View!$L:$L,MATCH(ROW()-14,Query_Source_View!$Z:$Z,0)),"")</f>
        <v>Green</v>
      </c>
      <c r="G76" s="2" t="str">
        <f aca="false">IFERROR(INDEX(Query_Source_View!$N:$N,MATCH(ROW()-14,Query_Source_View!$Z:$Z,0)),"")</f>
        <v>PG36</v>
      </c>
      <c r="H76" s="2" t="n">
        <f aca="false">IFERROR(INDEX(Query_Source_View!$P:$P,MATCH(ROW()-14,Query_Source_View!$Z:$Z,0)),"")</f>
        <v>2</v>
      </c>
      <c r="I76" s="2" t="str">
        <f aca="false">IFERROR(INDEX(Query_Source_View!$Q:$Q,MATCH(ROW()-14,Query_Source_View!$Z:$Z,0)),"")</f>
        <v>No</v>
      </c>
      <c r="J76" s="2" t="n">
        <f aca="false">IFERROR(INDEX(Query_Source_View!$R:$R,MATCH(ROW()-14,Query_Source_View!$Z:$Z,0)),"")</f>
        <v>0</v>
      </c>
      <c r="K76" s="2" t="str">
        <f aca="false">IFERROR(INDEX(Query_Source_View!$T:$T,MATCH(ROW()-14,Query_Source_View!$Z:$Z,0)),"")</f>
        <v>A</v>
      </c>
      <c r="L76" s="2" t="n">
        <f aca="false">IFERROR(INDEX(Query_Source_View!$U:$U,MATCH(ROW()-14,Query_Source_View!$Z:$Z,0)),"")</f>
        <v>0</v>
      </c>
      <c r="M76" s="2" t="n">
        <f aca="false">IFERROR(INDEX(Query_Source_View!$V:$V,MATCH(ROW()-14,Query_Source_View!$Z:$Z,0)),"")</f>
        <v>0</v>
      </c>
      <c r="N76" s="2" t="str">
        <f aca="false">IFERROR(INDEX(Query_Source_View!$W:$W,MATCH(ROW()-14,Query_Source_View!$Z:$Z,0)),"")</f>
        <v>Needs Review</v>
      </c>
      <c r="O76" s="2" t="str">
        <f aca="false">IFERROR(INDEX(Query_Source_View!$X:$X,MATCH(ROW()-14,Query_Source_View!$Z:$Z,0)),"")</f>
        <v>https://sensuallogic.com/artistcolordata</v>
      </c>
    </row>
    <row r="77" customFormat="false" ht="23.85" hidden="false" customHeight="false" outlineLevel="0" collapsed="false">
      <c r="A77" s="2" t="str">
        <f aca="false">IFERROR(INDEX(Query_Source_View!$A:$A,MATCH(ROW()-14,Query_Source_View!$Z:$Z,0)),"")</f>
        <v>PNT000052</v>
      </c>
      <c r="B77" s="2" t="str">
        <f aca="false">IFERROR(INDEX(Query_Source_View!$D:$D,MATCH(ROW()-14,Query_Source_View!$Z:$Z,0)),"")</f>
        <v>Winsor And Newton</v>
      </c>
      <c r="C77" s="2" t="str">
        <f aca="false">IFERROR(INDEX(Query_Source_View!$F:$F,MATCH(ROW()-14,Query_Source_View!$Z:$Z,0)),"")</f>
        <v>Oil</v>
      </c>
      <c r="D77" s="2" t="str">
        <f aca="false">IFERROR(INDEX(Query_Source_View!$H:$H,MATCH(ROW()-14,Query_Source_View!$Z:$Z,0)),"")</f>
        <v>Artists Oil</v>
      </c>
      <c r="E77" s="2" t="str">
        <f aca="false">IFERROR(INDEX(Query_Source_View!$J:$J,MATCH(ROW()-14,Query_Source_View!$Z:$Z,0)),"")</f>
        <v>Winsor Emerald</v>
      </c>
      <c r="F77" s="2" t="str">
        <f aca="false">IFERROR(INDEX(Query_Source_View!$L:$L,MATCH(ROW()-14,Query_Source_View!$Z:$Z,0)),"")</f>
        <v>Green</v>
      </c>
      <c r="G77" s="2" t="str">
        <f aca="false">IFERROR(INDEX(Query_Source_View!$N:$N,MATCH(ROW()-14,Query_Source_View!$Z:$Z,0)),"")</f>
        <v>PW5</v>
      </c>
      <c r="H77" s="2" t="n">
        <f aca="false">IFERROR(INDEX(Query_Source_View!$P:$P,MATCH(ROW()-14,Query_Source_View!$Z:$Z,0)),"")</f>
        <v>2</v>
      </c>
      <c r="I77" s="2" t="str">
        <f aca="false">IFERROR(INDEX(Query_Source_View!$Q:$Q,MATCH(ROW()-14,Query_Source_View!$Z:$Z,0)),"")</f>
        <v>No</v>
      </c>
      <c r="J77" s="2" t="n">
        <f aca="false">IFERROR(INDEX(Query_Source_View!$R:$R,MATCH(ROW()-14,Query_Source_View!$Z:$Z,0)),"")</f>
        <v>0</v>
      </c>
      <c r="K77" s="2" t="str">
        <f aca="false">IFERROR(INDEX(Query_Source_View!$T:$T,MATCH(ROW()-14,Query_Source_View!$Z:$Z,0)),"")</f>
        <v>A</v>
      </c>
      <c r="L77" s="2" t="n">
        <f aca="false">IFERROR(INDEX(Query_Source_View!$U:$U,MATCH(ROW()-14,Query_Source_View!$Z:$Z,0)),"")</f>
        <v>0</v>
      </c>
      <c r="M77" s="2" t="n">
        <f aca="false">IFERROR(INDEX(Query_Source_View!$V:$V,MATCH(ROW()-14,Query_Source_View!$Z:$Z,0)),"")</f>
        <v>0</v>
      </c>
      <c r="N77" s="2" t="str">
        <f aca="false">IFERROR(INDEX(Query_Source_View!$W:$W,MATCH(ROW()-14,Query_Source_View!$Z:$Z,0)),"")</f>
        <v>Needs Review</v>
      </c>
      <c r="O77" s="2" t="str">
        <f aca="false">IFERROR(INDEX(Query_Source_View!$X:$X,MATCH(ROW()-14,Query_Source_View!$Z:$Z,0)),"")</f>
        <v>https://sensuallogic.com/artistcolordata</v>
      </c>
    </row>
    <row r="78" customFormat="false" ht="23.85" hidden="false" customHeight="false" outlineLevel="0" collapsed="false">
      <c r="A78" s="2" t="str">
        <f aca="false">IFERROR(INDEX(Query_Source_View!$A:$A,MATCH(ROW()-14,Query_Source_View!$Z:$Z,0)),"")</f>
        <v>PNT000053</v>
      </c>
      <c r="B78" s="2" t="str">
        <f aca="false">IFERROR(INDEX(Query_Source_View!$D:$D,MATCH(ROW()-14,Query_Source_View!$Z:$Z,0)),"")</f>
        <v>Winsor And Newton</v>
      </c>
      <c r="C78" s="2" t="str">
        <f aca="false">IFERROR(INDEX(Query_Source_View!$F:$F,MATCH(ROW()-14,Query_Source_View!$Z:$Z,0)),"")</f>
        <v>Oil</v>
      </c>
      <c r="D78" s="2" t="str">
        <f aca="false">IFERROR(INDEX(Query_Source_View!$H:$H,MATCH(ROW()-14,Query_Source_View!$Z:$Z,0)),"")</f>
        <v>Artists Oil</v>
      </c>
      <c r="E78" s="2" t="str">
        <f aca="false">IFERROR(INDEX(Query_Source_View!$J:$J,MATCH(ROW()-14,Query_Source_View!$Z:$Z,0)),"")</f>
        <v>Winsor Green (Phthalo)</v>
      </c>
      <c r="F78" s="2" t="str">
        <f aca="false">IFERROR(INDEX(Query_Source_View!$L:$L,MATCH(ROW()-14,Query_Source_View!$Z:$Z,0)),"")</f>
        <v>Green</v>
      </c>
      <c r="G78" s="2" t="str">
        <f aca="false">IFERROR(INDEX(Query_Source_View!$N:$N,MATCH(ROW()-14,Query_Source_View!$Z:$Z,0)),"")</f>
        <v>PG7</v>
      </c>
      <c r="H78" s="2" t="n">
        <f aca="false">IFERROR(INDEX(Query_Source_View!$P:$P,MATCH(ROW()-14,Query_Source_View!$Z:$Z,0)),"")</f>
        <v>1</v>
      </c>
      <c r="I78" s="2" t="str">
        <f aca="false">IFERROR(INDEX(Query_Source_View!$Q:$Q,MATCH(ROW()-14,Query_Source_View!$Z:$Z,0)),"")</f>
        <v>Yes</v>
      </c>
      <c r="J78" s="2" t="n">
        <f aca="false">IFERROR(INDEX(Query_Source_View!$R:$R,MATCH(ROW()-14,Query_Source_View!$Z:$Z,0)),"")</f>
        <v>0</v>
      </c>
      <c r="K78" s="2" t="str">
        <f aca="false">IFERROR(INDEX(Query_Source_View!$T:$T,MATCH(ROW()-14,Query_Source_View!$Z:$Z,0)),"")</f>
        <v>A</v>
      </c>
      <c r="L78" s="2" t="n">
        <f aca="false">IFERROR(INDEX(Query_Source_View!$U:$U,MATCH(ROW()-14,Query_Source_View!$Z:$Z,0)),"")</f>
        <v>0</v>
      </c>
      <c r="M78" s="2" t="n">
        <f aca="false">IFERROR(INDEX(Query_Source_View!$V:$V,MATCH(ROW()-14,Query_Source_View!$Z:$Z,0)),"")</f>
        <v>0</v>
      </c>
      <c r="N78" s="2" t="str">
        <f aca="false">IFERROR(INDEX(Query_Source_View!$W:$W,MATCH(ROW()-14,Query_Source_View!$Z:$Z,0)),"")</f>
        <v>Needs Review</v>
      </c>
      <c r="O78" s="2" t="str">
        <f aca="false">IFERROR(INDEX(Query_Source_View!$X:$X,MATCH(ROW()-14,Query_Source_View!$Z:$Z,0)),"")</f>
        <v>https://sensuallogic.com/artistcolordata</v>
      </c>
    </row>
    <row r="79" customFormat="false" ht="23.85" hidden="false" customHeight="false" outlineLevel="0" collapsed="false">
      <c r="A79" s="2" t="str">
        <f aca="false">IFERROR(INDEX(Query_Source_View!$A:$A,MATCH(ROW()-14,Query_Source_View!$Z:$Z,0)),"")</f>
        <v>PNT000054</v>
      </c>
      <c r="B79" s="2" t="str">
        <f aca="false">IFERROR(INDEX(Query_Source_View!$D:$D,MATCH(ROW()-14,Query_Source_View!$Z:$Z,0)),"")</f>
        <v>Winsor And Newton</v>
      </c>
      <c r="C79" s="2" t="str">
        <f aca="false">IFERROR(INDEX(Query_Source_View!$F:$F,MATCH(ROW()-14,Query_Source_View!$Z:$Z,0)),"")</f>
        <v>Oil</v>
      </c>
      <c r="D79" s="2" t="str">
        <f aca="false">IFERROR(INDEX(Query_Source_View!$H:$H,MATCH(ROW()-14,Query_Source_View!$Z:$Z,0)),"")</f>
        <v>Artists Oil</v>
      </c>
      <c r="E79" s="2" t="str">
        <f aca="false">IFERROR(INDEX(Query_Source_View!$J:$J,MATCH(ROW()-14,Query_Source_View!$Z:$Z,0)),"")</f>
        <v>Winsor Green (Yellow shade)</v>
      </c>
      <c r="F79" s="2" t="str">
        <f aca="false">IFERROR(INDEX(Query_Source_View!$L:$L,MATCH(ROW()-14,Query_Source_View!$Z:$Z,0)),"")</f>
        <v>Yellow</v>
      </c>
      <c r="G79" s="2" t="str">
        <f aca="false">IFERROR(INDEX(Query_Source_View!$N:$N,MATCH(ROW()-14,Query_Source_View!$Z:$Z,0)),"")</f>
        <v>PG36</v>
      </c>
      <c r="H79" s="2" t="n">
        <f aca="false">IFERROR(INDEX(Query_Source_View!$P:$P,MATCH(ROW()-14,Query_Source_View!$Z:$Z,0)),"")</f>
        <v>1</v>
      </c>
      <c r="I79" s="2" t="str">
        <f aca="false">IFERROR(INDEX(Query_Source_View!$Q:$Q,MATCH(ROW()-14,Query_Source_View!$Z:$Z,0)),"")</f>
        <v>Yes</v>
      </c>
      <c r="J79" s="2" t="n">
        <f aca="false">IFERROR(INDEX(Query_Source_View!$R:$R,MATCH(ROW()-14,Query_Source_View!$Z:$Z,0)),"")</f>
        <v>0</v>
      </c>
      <c r="K79" s="2" t="str">
        <f aca="false">IFERROR(INDEX(Query_Source_View!$T:$T,MATCH(ROW()-14,Query_Source_View!$Z:$Z,0)),"")</f>
        <v>A</v>
      </c>
      <c r="L79" s="2" t="n">
        <f aca="false">IFERROR(INDEX(Query_Source_View!$U:$U,MATCH(ROW()-14,Query_Source_View!$Z:$Z,0)),"")</f>
        <v>0</v>
      </c>
      <c r="M79" s="2" t="n">
        <f aca="false">IFERROR(INDEX(Query_Source_View!$V:$V,MATCH(ROW()-14,Query_Source_View!$Z:$Z,0)),"")</f>
        <v>0</v>
      </c>
      <c r="N79" s="2" t="str">
        <f aca="false">IFERROR(INDEX(Query_Source_View!$W:$W,MATCH(ROW()-14,Query_Source_View!$Z:$Z,0)),"")</f>
        <v>Needs Review</v>
      </c>
      <c r="O79" s="2" t="str">
        <f aca="false">IFERROR(INDEX(Query_Source_View!$X:$X,MATCH(ROW()-14,Query_Source_View!$Z:$Z,0)),"")</f>
        <v>https://sensuallogic.com/artistcolordata</v>
      </c>
    </row>
    <row r="80" customFormat="false" ht="23.85" hidden="false" customHeight="false" outlineLevel="0" collapsed="false">
      <c r="A80" s="2" t="str">
        <f aca="false">IFERROR(INDEX(Query_Source_View!$A:$A,MATCH(ROW()-14,Query_Source_View!$Z:$Z,0)),"")</f>
        <v>PNT000055</v>
      </c>
      <c r="B80" s="2" t="str">
        <f aca="false">IFERROR(INDEX(Query_Source_View!$D:$D,MATCH(ROW()-14,Query_Source_View!$Z:$Z,0)),"")</f>
        <v>Winsor And Newton</v>
      </c>
      <c r="C80" s="2" t="str">
        <f aca="false">IFERROR(INDEX(Query_Source_View!$F:$F,MATCH(ROW()-14,Query_Source_View!$Z:$Z,0)),"")</f>
        <v>Oil</v>
      </c>
      <c r="D80" s="2" t="str">
        <f aca="false">IFERROR(INDEX(Query_Source_View!$H:$H,MATCH(ROW()-14,Query_Source_View!$Z:$Z,0)),"")</f>
        <v>Artists Oil</v>
      </c>
      <c r="E80" s="2" t="str">
        <f aca="false">IFERROR(INDEX(Query_Source_View!$J:$J,MATCH(ROW()-14,Query_Source_View!$Z:$Z,0)),"")</f>
        <v>Winsor Lemon</v>
      </c>
      <c r="F80" s="2" t="str">
        <f aca="false">IFERROR(INDEX(Query_Source_View!$L:$L,MATCH(ROW()-14,Query_Source_View!$Z:$Z,0)),"")</f>
        <v>Yellow</v>
      </c>
      <c r="G80" s="2" t="str">
        <f aca="false">IFERROR(INDEX(Query_Source_View!$N:$N,MATCH(ROW()-14,Query_Source_View!$Z:$Z,0)),"")</f>
        <v>PY3</v>
      </c>
      <c r="H80" s="2" t="n">
        <f aca="false">IFERROR(INDEX(Query_Source_View!$P:$P,MATCH(ROW()-14,Query_Source_View!$Z:$Z,0)),"")</f>
        <v>1</v>
      </c>
      <c r="I80" s="2" t="str">
        <f aca="false">IFERROR(INDEX(Query_Source_View!$Q:$Q,MATCH(ROW()-14,Query_Source_View!$Z:$Z,0)),"")</f>
        <v>Yes</v>
      </c>
      <c r="J80" s="2" t="n">
        <f aca="false">IFERROR(INDEX(Query_Source_View!$R:$R,MATCH(ROW()-14,Query_Source_View!$Z:$Z,0)),"")</f>
        <v>0</v>
      </c>
      <c r="K80" s="2" t="str">
        <f aca="false">IFERROR(INDEX(Query_Source_View!$T:$T,MATCH(ROW()-14,Query_Source_View!$Z:$Z,0)),"")</f>
        <v>A</v>
      </c>
      <c r="L80" s="2" t="n">
        <f aca="false">IFERROR(INDEX(Query_Source_View!$U:$U,MATCH(ROW()-14,Query_Source_View!$Z:$Z,0)),"")</f>
        <v>0</v>
      </c>
      <c r="M80" s="2" t="n">
        <f aca="false">IFERROR(INDEX(Query_Source_View!$V:$V,MATCH(ROW()-14,Query_Source_View!$Z:$Z,0)),"")</f>
        <v>0</v>
      </c>
      <c r="N80" s="2" t="str">
        <f aca="false">IFERROR(INDEX(Query_Source_View!$W:$W,MATCH(ROW()-14,Query_Source_View!$Z:$Z,0)),"")</f>
        <v>Needs Review</v>
      </c>
      <c r="O80" s="2" t="str">
        <f aca="false">IFERROR(INDEX(Query_Source_View!$X:$X,MATCH(ROW()-14,Query_Source_View!$Z:$Z,0)),"")</f>
        <v>https://sensuallogic.com/artistcolordata</v>
      </c>
    </row>
    <row r="81" customFormat="false" ht="23.85" hidden="false" customHeight="false" outlineLevel="0" collapsed="false">
      <c r="A81" s="2" t="str">
        <f aca="false">IFERROR(INDEX(Query_Source_View!$A:$A,MATCH(ROW()-14,Query_Source_View!$Z:$Z,0)),"")</f>
        <v>PNT000056</v>
      </c>
      <c r="B81" s="2" t="str">
        <f aca="false">IFERROR(INDEX(Query_Source_View!$D:$D,MATCH(ROW()-14,Query_Source_View!$Z:$Z,0)),"")</f>
        <v>Winsor And Newton</v>
      </c>
      <c r="C81" s="2" t="str">
        <f aca="false">IFERROR(INDEX(Query_Source_View!$F:$F,MATCH(ROW()-14,Query_Source_View!$Z:$Z,0)),"")</f>
        <v>Oil</v>
      </c>
      <c r="D81" s="2" t="str">
        <f aca="false">IFERROR(INDEX(Query_Source_View!$H:$H,MATCH(ROW()-14,Query_Source_View!$Z:$Z,0)),"")</f>
        <v>Artists Oil</v>
      </c>
      <c r="E81" s="2" t="str">
        <f aca="false">IFERROR(INDEX(Query_Source_View!$J:$J,MATCH(ROW()-14,Query_Source_View!$Z:$Z,0)),"")</f>
        <v>Winsor Orange</v>
      </c>
      <c r="F81" s="2" t="str">
        <f aca="false">IFERROR(INDEX(Query_Source_View!$L:$L,MATCH(ROW()-14,Query_Source_View!$Z:$Z,0)),"")</f>
        <v>Orange</v>
      </c>
      <c r="G81" s="2" t="str">
        <f aca="false">IFERROR(INDEX(Query_Source_View!$N:$N,MATCH(ROW()-14,Query_Source_View!$Z:$Z,0)),"")</f>
        <v>PO73</v>
      </c>
      <c r="H81" s="2" t="n">
        <f aca="false">IFERROR(INDEX(Query_Source_View!$P:$P,MATCH(ROW()-14,Query_Source_View!$Z:$Z,0)),"")</f>
        <v>1</v>
      </c>
      <c r="I81" s="2" t="str">
        <f aca="false">IFERROR(INDEX(Query_Source_View!$Q:$Q,MATCH(ROW()-14,Query_Source_View!$Z:$Z,0)),"")</f>
        <v>Yes</v>
      </c>
      <c r="J81" s="2" t="n">
        <f aca="false">IFERROR(INDEX(Query_Source_View!$R:$R,MATCH(ROW()-14,Query_Source_View!$Z:$Z,0)),"")</f>
        <v>0</v>
      </c>
      <c r="K81" s="2" t="str">
        <f aca="false">IFERROR(INDEX(Query_Source_View!$T:$T,MATCH(ROW()-14,Query_Source_View!$Z:$Z,0)),"")</f>
        <v>A</v>
      </c>
      <c r="L81" s="2" t="n">
        <f aca="false">IFERROR(INDEX(Query_Source_View!$U:$U,MATCH(ROW()-14,Query_Source_View!$Z:$Z,0)),"")</f>
        <v>0</v>
      </c>
      <c r="M81" s="2" t="n">
        <f aca="false">IFERROR(INDEX(Query_Source_View!$V:$V,MATCH(ROW()-14,Query_Source_View!$Z:$Z,0)),"")</f>
        <v>0</v>
      </c>
      <c r="N81" s="2" t="str">
        <f aca="false">IFERROR(INDEX(Query_Source_View!$W:$W,MATCH(ROW()-14,Query_Source_View!$Z:$Z,0)),"")</f>
        <v>Needs Review</v>
      </c>
      <c r="O81" s="2" t="str">
        <f aca="false">IFERROR(INDEX(Query_Source_View!$X:$X,MATCH(ROW()-14,Query_Source_View!$Z:$Z,0)),"")</f>
        <v>https://sensuallogic.com/artistcolordata</v>
      </c>
    </row>
    <row r="82" customFormat="false" ht="23.85" hidden="false" customHeight="false" outlineLevel="0" collapsed="false">
      <c r="A82" s="2" t="str">
        <f aca="false">IFERROR(INDEX(Query_Source_View!$A:$A,MATCH(ROW()-14,Query_Source_View!$Z:$Z,0)),"")</f>
        <v>PNT000057</v>
      </c>
      <c r="B82" s="2" t="str">
        <f aca="false">IFERROR(INDEX(Query_Source_View!$D:$D,MATCH(ROW()-14,Query_Source_View!$Z:$Z,0)),"")</f>
        <v>Winsor And Newton</v>
      </c>
      <c r="C82" s="2" t="str">
        <f aca="false">IFERROR(INDEX(Query_Source_View!$F:$F,MATCH(ROW()-14,Query_Source_View!$Z:$Z,0)),"")</f>
        <v>Oil</v>
      </c>
      <c r="D82" s="2" t="str">
        <f aca="false">IFERROR(INDEX(Query_Source_View!$H:$H,MATCH(ROW()-14,Query_Source_View!$Z:$Z,0)),"")</f>
        <v>Artists Oil</v>
      </c>
      <c r="E82" s="2" t="str">
        <f aca="false">IFERROR(INDEX(Query_Source_View!$J:$J,MATCH(ROW()-14,Query_Source_View!$Z:$Z,0)),"")</f>
        <v>Winsor Red Deep</v>
      </c>
      <c r="F82" s="2" t="str">
        <f aca="false">IFERROR(INDEX(Query_Source_View!$L:$L,MATCH(ROW()-14,Query_Source_View!$Z:$Z,0)),"")</f>
        <v>Red</v>
      </c>
      <c r="G82" s="2" t="str">
        <f aca="false">IFERROR(INDEX(Query_Source_View!$N:$N,MATCH(ROW()-14,Query_Source_View!$Z:$Z,0)),"")</f>
        <v>PR149</v>
      </c>
      <c r="H82" s="2" t="n">
        <f aca="false">IFERROR(INDEX(Query_Source_View!$P:$P,MATCH(ROW()-14,Query_Source_View!$Z:$Z,0)),"")</f>
        <v>1</v>
      </c>
      <c r="I82" s="2" t="str">
        <f aca="false">IFERROR(INDEX(Query_Source_View!$Q:$Q,MATCH(ROW()-14,Query_Source_View!$Z:$Z,0)),"")</f>
        <v>Yes</v>
      </c>
      <c r="J82" s="2" t="n">
        <f aca="false">IFERROR(INDEX(Query_Source_View!$R:$R,MATCH(ROW()-14,Query_Source_View!$Z:$Z,0)),"")</f>
        <v>0</v>
      </c>
      <c r="K82" s="2" t="str">
        <f aca="false">IFERROR(INDEX(Query_Source_View!$T:$T,MATCH(ROW()-14,Query_Source_View!$Z:$Z,0)),"")</f>
        <v>A</v>
      </c>
      <c r="L82" s="2" t="n">
        <f aca="false">IFERROR(INDEX(Query_Source_View!$U:$U,MATCH(ROW()-14,Query_Source_View!$Z:$Z,0)),"")</f>
        <v>0</v>
      </c>
      <c r="M82" s="2" t="n">
        <f aca="false">IFERROR(INDEX(Query_Source_View!$V:$V,MATCH(ROW()-14,Query_Source_View!$Z:$Z,0)),"")</f>
        <v>0</v>
      </c>
      <c r="N82" s="2" t="str">
        <f aca="false">IFERROR(INDEX(Query_Source_View!$W:$W,MATCH(ROW()-14,Query_Source_View!$Z:$Z,0)),"")</f>
        <v>Needs Review</v>
      </c>
      <c r="O82" s="2" t="str">
        <f aca="false">IFERROR(INDEX(Query_Source_View!$X:$X,MATCH(ROW()-14,Query_Source_View!$Z:$Z,0)),"")</f>
        <v>https://sensuallogic.com/artistcolordata</v>
      </c>
    </row>
    <row r="83" customFormat="false" ht="23.85" hidden="false" customHeight="false" outlineLevel="0" collapsed="false">
      <c r="A83" s="2" t="str">
        <f aca="false">IFERROR(INDEX(Query_Source_View!$A:$A,MATCH(ROW()-14,Query_Source_View!$Z:$Z,0)),"")</f>
        <v>PNT000058</v>
      </c>
      <c r="B83" s="2" t="str">
        <f aca="false">IFERROR(INDEX(Query_Source_View!$D:$D,MATCH(ROW()-14,Query_Source_View!$Z:$Z,0)),"")</f>
        <v>Winsor And Newton</v>
      </c>
      <c r="C83" s="2" t="str">
        <f aca="false">IFERROR(INDEX(Query_Source_View!$F:$F,MATCH(ROW()-14,Query_Source_View!$Z:$Z,0)),"")</f>
        <v>Oil</v>
      </c>
      <c r="D83" s="2" t="str">
        <f aca="false">IFERROR(INDEX(Query_Source_View!$H:$H,MATCH(ROW()-14,Query_Source_View!$Z:$Z,0)),"")</f>
        <v>Artists Oil</v>
      </c>
      <c r="E83" s="2" t="str">
        <f aca="false">IFERROR(INDEX(Query_Source_View!$J:$J,MATCH(ROW()-14,Query_Source_View!$Z:$Z,0)),"")</f>
        <v>Winsor Yellow</v>
      </c>
      <c r="F83" s="2" t="str">
        <f aca="false">IFERROR(INDEX(Query_Source_View!$L:$L,MATCH(ROW()-14,Query_Source_View!$Z:$Z,0)),"")</f>
        <v>Yellow</v>
      </c>
      <c r="G83" s="2" t="str">
        <f aca="false">IFERROR(INDEX(Query_Source_View!$N:$N,MATCH(ROW()-14,Query_Source_View!$Z:$Z,0)),"")</f>
        <v>PY74</v>
      </c>
      <c r="H83" s="2" t="n">
        <f aca="false">IFERROR(INDEX(Query_Source_View!$P:$P,MATCH(ROW()-14,Query_Source_View!$Z:$Z,0)),"")</f>
        <v>1</v>
      </c>
      <c r="I83" s="2" t="str">
        <f aca="false">IFERROR(INDEX(Query_Source_View!$Q:$Q,MATCH(ROW()-14,Query_Source_View!$Z:$Z,0)),"")</f>
        <v>Yes</v>
      </c>
      <c r="J83" s="2" t="n">
        <f aca="false">IFERROR(INDEX(Query_Source_View!$R:$R,MATCH(ROW()-14,Query_Source_View!$Z:$Z,0)),"")</f>
        <v>0</v>
      </c>
      <c r="K83" s="2" t="str">
        <f aca="false">IFERROR(INDEX(Query_Source_View!$T:$T,MATCH(ROW()-14,Query_Source_View!$Z:$Z,0)),"")</f>
        <v>A</v>
      </c>
      <c r="L83" s="2" t="n">
        <f aca="false">IFERROR(INDEX(Query_Source_View!$U:$U,MATCH(ROW()-14,Query_Source_View!$Z:$Z,0)),"")</f>
        <v>0</v>
      </c>
      <c r="M83" s="2" t="n">
        <f aca="false">IFERROR(INDEX(Query_Source_View!$V:$V,MATCH(ROW()-14,Query_Source_View!$Z:$Z,0)),"")</f>
        <v>0</v>
      </c>
      <c r="N83" s="2" t="str">
        <f aca="false">IFERROR(INDEX(Query_Source_View!$W:$W,MATCH(ROW()-14,Query_Source_View!$Z:$Z,0)),"")</f>
        <v>Needs Review</v>
      </c>
      <c r="O83" s="2" t="str">
        <f aca="false">IFERROR(INDEX(Query_Source_View!$X:$X,MATCH(ROW()-14,Query_Source_View!$Z:$Z,0)),"")</f>
        <v>https://sensuallogic.com/artistcolordata</v>
      </c>
    </row>
    <row r="84" customFormat="false" ht="23.85" hidden="false" customHeight="false" outlineLevel="0" collapsed="false">
      <c r="A84" s="2" t="str">
        <f aca="false">IFERROR(INDEX(Query_Source_View!$A:$A,MATCH(ROW()-14,Query_Source_View!$Z:$Z,0)),"")</f>
        <v>PNT000059</v>
      </c>
      <c r="B84" s="2" t="str">
        <f aca="false">IFERROR(INDEX(Query_Source_View!$D:$D,MATCH(ROW()-14,Query_Source_View!$Z:$Z,0)),"")</f>
        <v>Winsor And Newton</v>
      </c>
      <c r="C84" s="2" t="str">
        <f aca="false">IFERROR(INDEX(Query_Source_View!$F:$F,MATCH(ROW()-14,Query_Source_View!$Z:$Z,0)),"")</f>
        <v>Oil</v>
      </c>
      <c r="D84" s="2" t="str">
        <f aca="false">IFERROR(INDEX(Query_Source_View!$H:$H,MATCH(ROW()-14,Query_Source_View!$Z:$Z,0)),"")</f>
        <v>Artists Oil</v>
      </c>
      <c r="E84" s="2" t="str">
        <f aca="false">IFERROR(INDEX(Query_Source_View!$J:$J,MATCH(ROW()-14,Query_Source_View!$Z:$Z,0)),"")</f>
        <v>Winsor Yellow Deep</v>
      </c>
      <c r="F84" s="2" t="str">
        <f aca="false">IFERROR(INDEX(Query_Source_View!$L:$L,MATCH(ROW()-14,Query_Source_View!$Z:$Z,0)),"")</f>
        <v>Yellow</v>
      </c>
      <c r="G84" s="2" t="str">
        <f aca="false">IFERROR(INDEX(Query_Source_View!$N:$N,MATCH(ROW()-14,Query_Source_View!$Z:$Z,0)),"")</f>
        <v>PY65</v>
      </c>
      <c r="H84" s="2" t="n">
        <f aca="false">IFERROR(INDEX(Query_Source_View!$P:$P,MATCH(ROW()-14,Query_Source_View!$Z:$Z,0)),"")</f>
        <v>1</v>
      </c>
      <c r="I84" s="2" t="str">
        <f aca="false">IFERROR(INDEX(Query_Source_View!$Q:$Q,MATCH(ROW()-14,Query_Source_View!$Z:$Z,0)),"")</f>
        <v>Yes</v>
      </c>
      <c r="J84" s="2" t="n">
        <f aca="false">IFERROR(INDEX(Query_Source_View!$R:$R,MATCH(ROW()-14,Query_Source_View!$Z:$Z,0)),"")</f>
        <v>0</v>
      </c>
      <c r="K84" s="2" t="str">
        <f aca="false">IFERROR(INDEX(Query_Source_View!$T:$T,MATCH(ROW()-14,Query_Source_View!$Z:$Z,0)),"")</f>
        <v>A</v>
      </c>
      <c r="L84" s="2" t="n">
        <f aca="false">IFERROR(INDEX(Query_Source_View!$U:$U,MATCH(ROW()-14,Query_Source_View!$Z:$Z,0)),"")</f>
        <v>0</v>
      </c>
      <c r="M84" s="2" t="n">
        <f aca="false">IFERROR(INDEX(Query_Source_View!$V:$V,MATCH(ROW()-14,Query_Source_View!$Z:$Z,0)),"")</f>
        <v>0</v>
      </c>
      <c r="N84" s="2" t="str">
        <f aca="false">IFERROR(INDEX(Query_Source_View!$W:$W,MATCH(ROW()-14,Query_Source_View!$Z:$Z,0)),"")</f>
        <v>Needs Review</v>
      </c>
      <c r="O84" s="2" t="str">
        <f aca="false">IFERROR(INDEX(Query_Source_View!$X:$X,MATCH(ROW()-14,Query_Source_View!$Z:$Z,0)),"")</f>
        <v>https://sensuallogic.com/artistcolordata</v>
      </c>
    </row>
    <row r="85" customFormat="false" ht="23.85" hidden="false" customHeight="false" outlineLevel="0" collapsed="false">
      <c r="A85" s="2" t="str">
        <f aca="false">IFERROR(INDEX(Query_Source_View!$A:$A,MATCH(ROW()-14,Query_Source_View!$Z:$Z,0)),"")</f>
        <v>PNT000060</v>
      </c>
      <c r="B85" s="2" t="str">
        <f aca="false">IFERROR(INDEX(Query_Source_View!$D:$D,MATCH(ROW()-14,Query_Source_View!$Z:$Z,0)),"")</f>
        <v>Winsor And Newton</v>
      </c>
      <c r="C85" s="2" t="str">
        <f aca="false">IFERROR(INDEX(Query_Source_View!$F:$F,MATCH(ROW()-14,Query_Source_View!$Z:$Z,0)),"")</f>
        <v>Oil</v>
      </c>
      <c r="D85" s="2" t="str">
        <f aca="false">IFERROR(INDEX(Query_Source_View!$H:$H,MATCH(ROW()-14,Query_Source_View!$Z:$Z,0)),"")</f>
        <v>Artists Oil</v>
      </c>
      <c r="E85" s="2" t="str">
        <f aca="false">IFERROR(INDEX(Query_Source_View!$J:$J,MATCH(ROW()-14,Query_Source_View!$Z:$Z,0)),"")</f>
        <v>Winsor Violet (Dioxazine)</v>
      </c>
      <c r="F85" s="2" t="str">
        <f aca="false">IFERROR(INDEX(Query_Source_View!$L:$L,MATCH(ROW()-14,Query_Source_View!$Z:$Z,0)),"")</f>
        <v>Violet</v>
      </c>
      <c r="G85" s="2" t="str">
        <f aca="false">IFERROR(INDEX(Query_Source_View!$N:$N,MATCH(ROW()-14,Query_Source_View!$Z:$Z,0)),"")</f>
        <v>PV23</v>
      </c>
      <c r="H85" s="2" t="n">
        <f aca="false">IFERROR(INDEX(Query_Source_View!$P:$P,MATCH(ROW()-14,Query_Source_View!$Z:$Z,0)),"")</f>
        <v>1</v>
      </c>
      <c r="I85" s="2" t="str">
        <f aca="false">IFERROR(INDEX(Query_Source_View!$Q:$Q,MATCH(ROW()-14,Query_Source_View!$Z:$Z,0)),"")</f>
        <v>Yes</v>
      </c>
      <c r="J85" s="2" t="n">
        <f aca="false">IFERROR(INDEX(Query_Source_View!$R:$R,MATCH(ROW()-14,Query_Source_View!$Z:$Z,0)),"")</f>
        <v>0</v>
      </c>
      <c r="K85" s="2" t="str">
        <f aca="false">IFERROR(INDEX(Query_Source_View!$T:$T,MATCH(ROW()-14,Query_Source_View!$Z:$Z,0)),"")</f>
        <v>A</v>
      </c>
      <c r="L85" s="2" t="n">
        <f aca="false">IFERROR(INDEX(Query_Source_View!$U:$U,MATCH(ROW()-14,Query_Source_View!$Z:$Z,0)),"")</f>
        <v>0</v>
      </c>
      <c r="M85" s="2" t="n">
        <f aca="false">IFERROR(INDEX(Query_Source_View!$V:$V,MATCH(ROW()-14,Query_Source_View!$Z:$Z,0)),"")</f>
        <v>0</v>
      </c>
      <c r="N85" s="2" t="str">
        <f aca="false">IFERROR(INDEX(Query_Source_View!$W:$W,MATCH(ROW()-14,Query_Source_View!$Z:$Z,0)),"")</f>
        <v>Needs Review</v>
      </c>
      <c r="O85" s="2" t="str">
        <f aca="false">IFERROR(INDEX(Query_Source_View!$X:$X,MATCH(ROW()-14,Query_Source_View!$Z:$Z,0)),"")</f>
        <v>https://sensuallogic.com/artistcolordata</v>
      </c>
    </row>
    <row r="86" customFormat="false" ht="23.85" hidden="false" customHeight="false" outlineLevel="0" collapsed="false">
      <c r="A86" s="2" t="str">
        <f aca="false">IFERROR(INDEX(Query_Source_View!$A:$A,MATCH(ROW()-14,Query_Source_View!$Z:$Z,0)),"")</f>
        <v>PNT000061</v>
      </c>
      <c r="B86" s="2" t="str">
        <f aca="false">IFERROR(INDEX(Query_Source_View!$D:$D,MATCH(ROW()-14,Query_Source_View!$Z:$Z,0)),"")</f>
        <v>Winsor And Newton</v>
      </c>
      <c r="C86" s="2" t="str">
        <f aca="false">IFERROR(INDEX(Query_Source_View!$F:$F,MATCH(ROW()-14,Query_Source_View!$Z:$Z,0)),"")</f>
        <v>Oil</v>
      </c>
      <c r="D86" s="2" t="str">
        <f aca="false">IFERROR(INDEX(Query_Source_View!$H:$H,MATCH(ROW()-14,Query_Source_View!$Z:$Z,0)),"")</f>
        <v>Artists Oil</v>
      </c>
      <c r="E86" s="2" t="str">
        <f aca="false">IFERROR(INDEX(Query_Source_View!$J:$J,MATCH(ROW()-14,Query_Source_View!$Z:$Z,0)),"")</f>
        <v>Zinc White</v>
      </c>
      <c r="F86" s="2" t="str">
        <f aca="false">IFERROR(INDEX(Query_Source_View!$L:$L,MATCH(ROW()-14,Query_Source_View!$Z:$Z,0)),"")</f>
        <v>White</v>
      </c>
      <c r="G86" s="2" t="str">
        <f aca="false">IFERROR(INDEX(Query_Source_View!$N:$N,MATCH(ROW()-14,Query_Source_View!$Z:$Z,0)),"")</f>
        <v>PW4</v>
      </c>
      <c r="H86" s="2" t="n">
        <f aca="false">IFERROR(INDEX(Query_Source_View!$P:$P,MATCH(ROW()-14,Query_Source_View!$Z:$Z,0)),"")</f>
        <v>1</v>
      </c>
      <c r="I86" s="2" t="str">
        <f aca="false">IFERROR(INDEX(Query_Source_View!$Q:$Q,MATCH(ROW()-14,Query_Source_View!$Z:$Z,0)),"")</f>
        <v>Yes</v>
      </c>
      <c r="J86" s="2" t="n">
        <f aca="false">IFERROR(INDEX(Query_Source_View!$R:$R,MATCH(ROW()-14,Query_Source_View!$Z:$Z,0)),"")</f>
        <v>0</v>
      </c>
      <c r="K86" s="2" t="str">
        <f aca="false">IFERROR(INDEX(Query_Source_View!$T:$T,MATCH(ROW()-14,Query_Source_View!$Z:$Z,0)),"")</f>
        <v>AA</v>
      </c>
      <c r="L86" s="2" t="n">
        <f aca="false">IFERROR(INDEX(Query_Source_View!$U:$U,MATCH(ROW()-14,Query_Source_View!$Z:$Z,0)),"")</f>
        <v>0</v>
      </c>
      <c r="M86" s="2" t="n">
        <f aca="false">IFERROR(INDEX(Query_Source_View!$V:$V,MATCH(ROW()-14,Query_Source_View!$Z:$Z,0)),"")</f>
        <v>0</v>
      </c>
      <c r="N86" s="2" t="str">
        <f aca="false">IFERROR(INDEX(Query_Source_View!$W:$W,MATCH(ROW()-14,Query_Source_View!$Z:$Z,0)),"")</f>
        <v>Needs Review</v>
      </c>
      <c r="O86" s="2" t="str">
        <f aca="false">IFERROR(INDEX(Query_Source_View!$X:$X,MATCH(ROW()-14,Query_Source_View!$Z:$Z,0)),"")</f>
        <v>https://sensuallogic.com/artistcolordata</v>
      </c>
    </row>
    <row r="87" customFormat="false" ht="23.85" hidden="false" customHeight="false" outlineLevel="0" collapsed="false">
      <c r="A87" s="2" t="str">
        <f aca="false">IFERROR(INDEX(Query_Source_View!$A:$A,MATCH(ROW()-14,Query_Source_View!$Z:$Z,0)),"")</f>
        <v>PNT000062</v>
      </c>
      <c r="B87" s="2" t="str">
        <f aca="false">IFERROR(INDEX(Query_Source_View!$D:$D,MATCH(ROW()-14,Query_Source_View!$Z:$Z,0)),"")</f>
        <v>Winsor And Newton</v>
      </c>
      <c r="C87" s="2" t="str">
        <f aca="false">IFERROR(INDEX(Query_Source_View!$F:$F,MATCH(ROW()-14,Query_Source_View!$Z:$Z,0)),"")</f>
        <v>Gouache</v>
      </c>
      <c r="D87" s="2" t="str">
        <f aca="false">IFERROR(INDEX(Query_Source_View!$H:$H,MATCH(ROW()-14,Query_Source_View!$Z:$Z,0)),"")</f>
        <v>Designers Gouache</v>
      </c>
      <c r="E87" s="2" t="str">
        <f aca="false">IFERROR(INDEX(Query_Source_View!$J:$J,MATCH(ROW()-14,Query_Source_View!$Z:$Z,0)),"")</f>
        <v>Alizarin Crimson</v>
      </c>
      <c r="F87" s="2" t="str">
        <f aca="false">IFERROR(INDEX(Query_Source_View!$L:$L,MATCH(ROW()-14,Query_Source_View!$Z:$Z,0)),"")</f>
        <v>Red</v>
      </c>
      <c r="G87" s="2" t="str">
        <f aca="false">IFERROR(INDEX(Query_Source_View!$N:$N,MATCH(ROW()-14,Query_Source_View!$Z:$Z,0)),"")</f>
        <v>PR83</v>
      </c>
      <c r="H87" s="2" t="n">
        <f aca="false">IFERROR(INDEX(Query_Source_View!$P:$P,MATCH(ROW()-14,Query_Source_View!$Z:$Z,0)),"")</f>
        <v>1</v>
      </c>
      <c r="I87" s="2" t="str">
        <f aca="false">IFERROR(INDEX(Query_Source_View!$Q:$Q,MATCH(ROW()-14,Query_Source_View!$Z:$Z,0)),"")</f>
        <v>Yes</v>
      </c>
      <c r="J87" s="2" t="n">
        <f aca="false">IFERROR(INDEX(Query_Source_View!$R:$R,MATCH(ROW()-14,Query_Source_View!$Z:$Z,0)),"")</f>
        <v>0</v>
      </c>
      <c r="K87" s="2" t="str">
        <f aca="false">IFERROR(INDEX(Query_Source_View!$T:$T,MATCH(ROW()-14,Query_Source_View!$Z:$Z,0)),"")</f>
        <v>B</v>
      </c>
      <c r="L87" s="2" t="n">
        <f aca="false">IFERROR(INDEX(Query_Source_View!$U:$U,MATCH(ROW()-14,Query_Source_View!$Z:$Z,0)),"")</f>
        <v>0</v>
      </c>
      <c r="M87" s="2" t="n">
        <f aca="false">IFERROR(INDEX(Query_Source_View!$V:$V,MATCH(ROW()-14,Query_Source_View!$Z:$Z,0)),"")</f>
        <v>0</v>
      </c>
      <c r="N87" s="2" t="str">
        <f aca="false">IFERROR(INDEX(Query_Source_View!$W:$W,MATCH(ROW()-14,Query_Source_View!$Z:$Z,0)),"")</f>
        <v>Needs Review</v>
      </c>
      <c r="O87" s="2" t="str">
        <f aca="false">IFERROR(INDEX(Query_Source_View!$X:$X,MATCH(ROW()-14,Query_Source_View!$Z:$Z,0)),"")</f>
        <v>https://sensuallogic.com/artistcolordata</v>
      </c>
    </row>
    <row r="88" customFormat="false" ht="23.85" hidden="false" customHeight="false" outlineLevel="0" collapsed="false">
      <c r="A88" s="2" t="str">
        <f aca="false">IFERROR(INDEX(Query_Source_View!$A:$A,MATCH(ROW()-14,Query_Source_View!$Z:$Z,0)),"")</f>
        <v>PNT000063</v>
      </c>
      <c r="B88" s="2" t="str">
        <f aca="false">IFERROR(INDEX(Query_Source_View!$D:$D,MATCH(ROW()-14,Query_Source_View!$Z:$Z,0)),"")</f>
        <v>Winsor And Newton</v>
      </c>
      <c r="C88" s="2" t="str">
        <f aca="false">IFERROR(INDEX(Query_Source_View!$F:$F,MATCH(ROW()-14,Query_Source_View!$Z:$Z,0)),"")</f>
        <v>Gouache</v>
      </c>
      <c r="D88" s="2" t="str">
        <f aca="false">IFERROR(INDEX(Query_Source_View!$H:$H,MATCH(ROW()-14,Query_Source_View!$Z:$Z,0)),"")</f>
        <v>Designers Gouache</v>
      </c>
      <c r="E88" s="2" t="str">
        <f aca="false">IFERROR(INDEX(Query_Source_View!$J:$J,MATCH(ROW()-14,Query_Source_View!$Z:$Z,0)),"")</f>
        <v>Burnt Sienna</v>
      </c>
      <c r="F88" s="2" t="str">
        <f aca="false">IFERROR(INDEX(Query_Source_View!$L:$L,MATCH(ROW()-14,Query_Source_View!$Z:$Z,0)),"")</f>
        <v>Orange</v>
      </c>
      <c r="G88" s="2" t="str">
        <f aca="false">IFERROR(INDEX(Query_Source_View!$N:$N,MATCH(ROW()-14,Query_Source_View!$Z:$Z,0)),"")</f>
        <v>PY42</v>
      </c>
      <c r="H88" s="2" t="n">
        <f aca="false">IFERROR(INDEX(Query_Source_View!$P:$P,MATCH(ROW()-14,Query_Source_View!$Z:$Z,0)),"")</f>
        <v>2</v>
      </c>
      <c r="I88" s="2" t="str">
        <f aca="false">IFERROR(INDEX(Query_Source_View!$Q:$Q,MATCH(ROW()-14,Query_Source_View!$Z:$Z,0)),"")</f>
        <v>No</v>
      </c>
      <c r="J88" s="2" t="n">
        <f aca="false">IFERROR(INDEX(Query_Source_View!$R:$R,MATCH(ROW()-14,Query_Source_View!$Z:$Z,0)),"")</f>
        <v>0</v>
      </c>
      <c r="K88" s="2" t="str">
        <f aca="false">IFERROR(INDEX(Query_Source_View!$T:$T,MATCH(ROW()-14,Query_Source_View!$Z:$Z,0)),"")</f>
        <v>AA</v>
      </c>
      <c r="L88" s="2" t="n">
        <f aca="false">IFERROR(INDEX(Query_Source_View!$U:$U,MATCH(ROW()-14,Query_Source_View!$Z:$Z,0)),"")</f>
        <v>0</v>
      </c>
      <c r="M88" s="2" t="n">
        <f aca="false">IFERROR(INDEX(Query_Source_View!$V:$V,MATCH(ROW()-14,Query_Source_View!$Z:$Z,0)),"")</f>
        <v>0</v>
      </c>
      <c r="N88" s="2" t="str">
        <f aca="false">IFERROR(INDEX(Query_Source_View!$W:$W,MATCH(ROW()-14,Query_Source_View!$Z:$Z,0)),"")</f>
        <v>Needs Review</v>
      </c>
      <c r="O88" s="2" t="str">
        <f aca="false">IFERROR(INDEX(Query_Source_View!$X:$X,MATCH(ROW()-14,Query_Source_View!$Z:$Z,0)),"")</f>
        <v>https://sensuallogic.com/artistcolordata</v>
      </c>
    </row>
    <row r="89" customFormat="false" ht="23.85" hidden="false" customHeight="false" outlineLevel="0" collapsed="false">
      <c r="A89" s="2" t="str">
        <f aca="false">IFERROR(INDEX(Query_Source_View!$A:$A,MATCH(ROW()-14,Query_Source_View!$Z:$Z,0)),"")</f>
        <v>PNT000063</v>
      </c>
      <c r="B89" s="2" t="str">
        <f aca="false">IFERROR(INDEX(Query_Source_View!$D:$D,MATCH(ROW()-14,Query_Source_View!$Z:$Z,0)),"")</f>
        <v>Winsor And Newton</v>
      </c>
      <c r="C89" s="2" t="str">
        <f aca="false">IFERROR(INDEX(Query_Source_View!$F:$F,MATCH(ROW()-14,Query_Source_View!$Z:$Z,0)),"")</f>
        <v>Gouache</v>
      </c>
      <c r="D89" s="2" t="str">
        <f aca="false">IFERROR(INDEX(Query_Source_View!$H:$H,MATCH(ROW()-14,Query_Source_View!$Z:$Z,0)),"")</f>
        <v>Designers Gouache</v>
      </c>
      <c r="E89" s="2" t="str">
        <f aca="false">IFERROR(INDEX(Query_Source_View!$J:$J,MATCH(ROW()-14,Query_Source_View!$Z:$Z,0)),"")</f>
        <v>Burnt Sienna</v>
      </c>
      <c r="F89" s="2" t="str">
        <f aca="false">IFERROR(INDEX(Query_Source_View!$L:$L,MATCH(ROW()-14,Query_Source_View!$Z:$Z,0)),"")</f>
        <v>Orange</v>
      </c>
      <c r="G89" s="2" t="str">
        <f aca="false">IFERROR(INDEX(Query_Source_View!$N:$N,MATCH(ROW()-14,Query_Source_View!$Z:$Z,0)),"")</f>
        <v>PR101</v>
      </c>
      <c r="H89" s="2" t="n">
        <f aca="false">IFERROR(INDEX(Query_Source_View!$P:$P,MATCH(ROW()-14,Query_Source_View!$Z:$Z,0)),"")</f>
        <v>2</v>
      </c>
      <c r="I89" s="2" t="str">
        <f aca="false">IFERROR(INDEX(Query_Source_View!$Q:$Q,MATCH(ROW()-14,Query_Source_View!$Z:$Z,0)),"")</f>
        <v>No</v>
      </c>
      <c r="J89" s="2" t="n">
        <f aca="false">IFERROR(INDEX(Query_Source_View!$R:$R,MATCH(ROW()-14,Query_Source_View!$Z:$Z,0)),"")</f>
        <v>0</v>
      </c>
      <c r="K89" s="2" t="str">
        <f aca="false">IFERROR(INDEX(Query_Source_View!$T:$T,MATCH(ROW()-14,Query_Source_View!$Z:$Z,0)),"")</f>
        <v>AA</v>
      </c>
      <c r="L89" s="2" t="n">
        <f aca="false">IFERROR(INDEX(Query_Source_View!$U:$U,MATCH(ROW()-14,Query_Source_View!$Z:$Z,0)),"")</f>
        <v>0</v>
      </c>
      <c r="M89" s="2" t="n">
        <f aca="false">IFERROR(INDEX(Query_Source_View!$V:$V,MATCH(ROW()-14,Query_Source_View!$Z:$Z,0)),"")</f>
        <v>0</v>
      </c>
      <c r="N89" s="2" t="str">
        <f aca="false">IFERROR(INDEX(Query_Source_View!$W:$W,MATCH(ROW()-14,Query_Source_View!$Z:$Z,0)),"")</f>
        <v>Needs Review</v>
      </c>
      <c r="O89" s="2" t="str">
        <f aca="false">IFERROR(INDEX(Query_Source_View!$X:$X,MATCH(ROW()-14,Query_Source_View!$Z:$Z,0)),"")</f>
        <v>https://sensuallogic.com/artistcolordata</v>
      </c>
    </row>
    <row r="90" customFormat="false" ht="23.85" hidden="false" customHeight="false" outlineLevel="0" collapsed="false">
      <c r="A90" s="2" t="str">
        <f aca="false">IFERROR(INDEX(Query_Source_View!$A:$A,MATCH(ROW()-14,Query_Source_View!$Z:$Z,0)),"")</f>
        <v>PNT000064</v>
      </c>
      <c r="B90" s="2" t="str">
        <f aca="false">IFERROR(INDEX(Query_Source_View!$D:$D,MATCH(ROW()-14,Query_Source_View!$Z:$Z,0)),"")</f>
        <v>Winsor And Newton</v>
      </c>
      <c r="C90" s="2" t="str">
        <f aca="false">IFERROR(INDEX(Query_Source_View!$F:$F,MATCH(ROW()-14,Query_Source_View!$Z:$Z,0)),"")</f>
        <v>Gouache</v>
      </c>
      <c r="D90" s="2" t="str">
        <f aca="false">IFERROR(INDEX(Query_Source_View!$H:$H,MATCH(ROW()-14,Query_Source_View!$Z:$Z,0)),"")</f>
        <v>Designers Gouache</v>
      </c>
      <c r="E90" s="2" t="str">
        <f aca="false">IFERROR(INDEX(Query_Source_View!$J:$J,MATCH(ROW()-14,Query_Source_View!$Z:$Z,0)),"")</f>
        <v>Burnt Umber</v>
      </c>
      <c r="F90" s="2" t="str">
        <f aca="false">IFERROR(INDEX(Query_Source_View!$L:$L,MATCH(ROW()-14,Query_Source_View!$Z:$Z,0)),"")</f>
        <v>Earth</v>
      </c>
      <c r="G90" s="2" t="str">
        <f aca="false">IFERROR(INDEX(Query_Source_View!$N:$N,MATCH(ROW()-14,Query_Source_View!$Z:$Z,0)),"")</f>
        <v>PBr7</v>
      </c>
      <c r="H90" s="2" t="n">
        <f aca="false">IFERROR(INDEX(Query_Source_View!$P:$P,MATCH(ROW()-14,Query_Source_View!$Z:$Z,0)),"")</f>
        <v>2</v>
      </c>
      <c r="I90" s="2" t="str">
        <f aca="false">IFERROR(INDEX(Query_Source_View!$Q:$Q,MATCH(ROW()-14,Query_Source_View!$Z:$Z,0)),"")</f>
        <v>No</v>
      </c>
      <c r="J90" s="2" t="n">
        <f aca="false">IFERROR(INDEX(Query_Source_View!$R:$R,MATCH(ROW()-14,Query_Source_View!$Z:$Z,0)),"")</f>
        <v>0</v>
      </c>
      <c r="K90" s="2" t="str">
        <f aca="false">IFERROR(INDEX(Query_Source_View!$T:$T,MATCH(ROW()-14,Query_Source_View!$Z:$Z,0)),"")</f>
        <v>AA</v>
      </c>
      <c r="L90" s="2" t="n">
        <f aca="false">IFERROR(INDEX(Query_Source_View!$U:$U,MATCH(ROW()-14,Query_Source_View!$Z:$Z,0)),"")</f>
        <v>0</v>
      </c>
      <c r="M90" s="2" t="n">
        <f aca="false">IFERROR(INDEX(Query_Source_View!$V:$V,MATCH(ROW()-14,Query_Source_View!$Z:$Z,0)),"")</f>
        <v>0</v>
      </c>
      <c r="N90" s="2" t="str">
        <f aca="false">IFERROR(INDEX(Query_Source_View!$W:$W,MATCH(ROW()-14,Query_Source_View!$Z:$Z,0)),"")</f>
        <v>Needs Review</v>
      </c>
      <c r="O90" s="2" t="str">
        <f aca="false">IFERROR(INDEX(Query_Source_View!$X:$X,MATCH(ROW()-14,Query_Source_View!$Z:$Z,0)),"")</f>
        <v>https://sensuallogic.com/artistcolordata</v>
      </c>
    </row>
    <row r="91" customFormat="false" ht="23.85" hidden="false" customHeight="false" outlineLevel="0" collapsed="false">
      <c r="A91" s="2" t="str">
        <f aca="false">IFERROR(INDEX(Query_Source_View!$A:$A,MATCH(ROW()-14,Query_Source_View!$Z:$Z,0)),"")</f>
        <v>PNT000064</v>
      </c>
      <c r="B91" s="2" t="str">
        <f aca="false">IFERROR(INDEX(Query_Source_View!$D:$D,MATCH(ROW()-14,Query_Source_View!$Z:$Z,0)),"")</f>
        <v>Winsor And Newton</v>
      </c>
      <c r="C91" s="2" t="str">
        <f aca="false">IFERROR(INDEX(Query_Source_View!$F:$F,MATCH(ROW()-14,Query_Source_View!$Z:$Z,0)),"")</f>
        <v>Gouache</v>
      </c>
      <c r="D91" s="2" t="str">
        <f aca="false">IFERROR(INDEX(Query_Source_View!$H:$H,MATCH(ROW()-14,Query_Source_View!$Z:$Z,0)),"")</f>
        <v>Designers Gouache</v>
      </c>
      <c r="E91" s="2" t="str">
        <f aca="false">IFERROR(INDEX(Query_Source_View!$J:$J,MATCH(ROW()-14,Query_Source_View!$Z:$Z,0)),"")</f>
        <v>Burnt Umber</v>
      </c>
      <c r="F91" s="2" t="str">
        <f aca="false">IFERROR(INDEX(Query_Source_View!$L:$L,MATCH(ROW()-14,Query_Source_View!$Z:$Z,0)),"")</f>
        <v>Earth</v>
      </c>
      <c r="G91" s="2" t="str">
        <f aca="false">IFERROR(INDEX(Query_Source_View!$N:$N,MATCH(ROW()-14,Query_Source_View!$Z:$Z,0)),"")</f>
        <v>PY42</v>
      </c>
      <c r="H91" s="2" t="n">
        <f aca="false">IFERROR(INDEX(Query_Source_View!$P:$P,MATCH(ROW()-14,Query_Source_View!$Z:$Z,0)),"")</f>
        <v>2</v>
      </c>
      <c r="I91" s="2" t="str">
        <f aca="false">IFERROR(INDEX(Query_Source_View!$Q:$Q,MATCH(ROW()-14,Query_Source_View!$Z:$Z,0)),"")</f>
        <v>No</v>
      </c>
      <c r="J91" s="2" t="n">
        <f aca="false">IFERROR(INDEX(Query_Source_View!$R:$R,MATCH(ROW()-14,Query_Source_View!$Z:$Z,0)),"")</f>
        <v>0</v>
      </c>
      <c r="K91" s="2" t="str">
        <f aca="false">IFERROR(INDEX(Query_Source_View!$T:$T,MATCH(ROW()-14,Query_Source_View!$Z:$Z,0)),"")</f>
        <v>AA</v>
      </c>
      <c r="L91" s="2" t="n">
        <f aca="false">IFERROR(INDEX(Query_Source_View!$U:$U,MATCH(ROW()-14,Query_Source_View!$Z:$Z,0)),"")</f>
        <v>0</v>
      </c>
      <c r="M91" s="2" t="n">
        <f aca="false">IFERROR(INDEX(Query_Source_View!$V:$V,MATCH(ROW()-14,Query_Source_View!$Z:$Z,0)),"")</f>
        <v>0</v>
      </c>
      <c r="N91" s="2" t="str">
        <f aca="false">IFERROR(INDEX(Query_Source_View!$W:$W,MATCH(ROW()-14,Query_Source_View!$Z:$Z,0)),"")</f>
        <v>Needs Review</v>
      </c>
      <c r="O91" s="2" t="str">
        <f aca="false">IFERROR(INDEX(Query_Source_View!$X:$X,MATCH(ROW()-14,Query_Source_View!$Z:$Z,0)),"")</f>
        <v>https://sensuallogic.com/artistcolordata</v>
      </c>
    </row>
    <row r="92" customFormat="false" ht="23.85" hidden="false" customHeight="false" outlineLevel="0" collapsed="false">
      <c r="A92" s="2" t="str">
        <f aca="false">IFERROR(INDEX(Query_Source_View!$A:$A,MATCH(ROW()-14,Query_Source_View!$Z:$Z,0)),"")</f>
        <v>PNT000065</v>
      </c>
      <c r="B92" s="2" t="str">
        <f aca="false">IFERROR(INDEX(Query_Source_View!$D:$D,MATCH(ROW()-14,Query_Source_View!$Z:$Z,0)),"")</f>
        <v>Winsor And Newton</v>
      </c>
      <c r="C92" s="2" t="str">
        <f aca="false">IFERROR(INDEX(Query_Source_View!$F:$F,MATCH(ROW()-14,Query_Source_View!$Z:$Z,0)),"")</f>
        <v>Gouache</v>
      </c>
      <c r="D92" s="2" t="str">
        <f aca="false">IFERROR(INDEX(Query_Source_View!$H:$H,MATCH(ROW()-14,Query_Source_View!$Z:$Z,0)),"")</f>
        <v>Designers Gouache</v>
      </c>
      <c r="E92" s="2" t="str">
        <f aca="false">IFERROR(INDEX(Query_Source_View!$J:$J,MATCH(ROW()-14,Query_Source_View!$Z:$Z,0)),"")</f>
        <v>Cadmium Lemon</v>
      </c>
      <c r="F92" s="2" t="str">
        <f aca="false">IFERROR(INDEX(Query_Source_View!$L:$L,MATCH(ROW()-14,Query_Source_View!$Z:$Z,0)),"")</f>
        <v>Yellow</v>
      </c>
      <c r="G92" s="2" t="str">
        <f aca="false">IFERROR(INDEX(Query_Source_View!$N:$N,MATCH(ROW()-14,Query_Source_View!$Z:$Z,0)),"")</f>
        <v>PY35</v>
      </c>
      <c r="H92" s="2" t="n">
        <f aca="false">IFERROR(INDEX(Query_Source_View!$P:$P,MATCH(ROW()-14,Query_Source_View!$Z:$Z,0)),"")</f>
        <v>1</v>
      </c>
      <c r="I92" s="2" t="str">
        <f aca="false">IFERROR(INDEX(Query_Source_View!$Q:$Q,MATCH(ROW()-14,Query_Source_View!$Z:$Z,0)),"")</f>
        <v>Yes</v>
      </c>
      <c r="J92" s="2" t="n">
        <f aca="false">IFERROR(INDEX(Query_Source_View!$R:$R,MATCH(ROW()-14,Query_Source_View!$Z:$Z,0)),"")</f>
        <v>0</v>
      </c>
      <c r="K92" s="2" t="str">
        <f aca="false">IFERROR(INDEX(Query_Source_View!$T:$T,MATCH(ROW()-14,Query_Source_View!$Z:$Z,0)),"")</f>
        <v>A</v>
      </c>
      <c r="L92" s="2" t="n">
        <f aca="false">IFERROR(INDEX(Query_Source_View!$U:$U,MATCH(ROW()-14,Query_Source_View!$Z:$Z,0)),"")</f>
        <v>0</v>
      </c>
      <c r="M92" s="2" t="n">
        <f aca="false">IFERROR(INDEX(Query_Source_View!$V:$V,MATCH(ROW()-14,Query_Source_View!$Z:$Z,0)),"")</f>
        <v>0</v>
      </c>
      <c r="N92" s="2" t="str">
        <f aca="false">IFERROR(INDEX(Query_Source_View!$W:$W,MATCH(ROW()-14,Query_Source_View!$Z:$Z,0)),"")</f>
        <v>Needs Review</v>
      </c>
      <c r="O92" s="2" t="str">
        <f aca="false">IFERROR(INDEX(Query_Source_View!$X:$X,MATCH(ROW()-14,Query_Source_View!$Z:$Z,0)),"")</f>
        <v>https://sensuallogic.com/artistcolordata</v>
      </c>
    </row>
    <row r="93" customFormat="false" ht="23.85" hidden="false" customHeight="false" outlineLevel="0" collapsed="false">
      <c r="A93" s="2" t="str">
        <f aca="false">IFERROR(INDEX(Query_Source_View!$A:$A,MATCH(ROW()-14,Query_Source_View!$Z:$Z,0)),"")</f>
        <v>PNT000066</v>
      </c>
      <c r="B93" s="2" t="str">
        <f aca="false">IFERROR(INDEX(Query_Source_View!$D:$D,MATCH(ROW()-14,Query_Source_View!$Z:$Z,0)),"")</f>
        <v>Winsor And Newton</v>
      </c>
      <c r="C93" s="2" t="str">
        <f aca="false">IFERROR(INDEX(Query_Source_View!$F:$F,MATCH(ROW()-14,Query_Source_View!$Z:$Z,0)),"")</f>
        <v>Gouache</v>
      </c>
      <c r="D93" s="2" t="str">
        <f aca="false">IFERROR(INDEX(Query_Source_View!$H:$H,MATCH(ROW()-14,Query_Source_View!$Z:$Z,0)),"")</f>
        <v>Designers Gouache</v>
      </c>
      <c r="E93" s="2" t="str">
        <f aca="false">IFERROR(INDEX(Query_Source_View!$J:$J,MATCH(ROW()-14,Query_Source_View!$Z:$Z,0)),"")</f>
        <v>Cadmium Orange</v>
      </c>
      <c r="F93" s="2" t="str">
        <f aca="false">IFERROR(INDEX(Query_Source_View!$L:$L,MATCH(ROW()-14,Query_Source_View!$Z:$Z,0)),"")</f>
        <v>Orange</v>
      </c>
      <c r="G93" s="2" t="str">
        <f aca="false">IFERROR(INDEX(Query_Source_View!$N:$N,MATCH(ROW()-14,Query_Source_View!$Z:$Z,0)),"")</f>
        <v>PY35</v>
      </c>
      <c r="H93" s="2" t="n">
        <f aca="false">IFERROR(INDEX(Query_Source_View!$P:$P,MATCH(ROW()-14,Query_Source_View!$Z:$Z,0)),"")</f>
        <v>2</v>
      </c>
      <c r="I93" s="2" t="str">
        <f aca="false">IFERROR(INDEX(Query_Source_View!$Q:$Q,MATCH(ROW()-14,Query_Source_View!$Z:$Z,0)),"")</f>
        <v>No</v>
      </c>
      <c r="J93" s="2" t="n">
        <f aca="false">IFERROR(INDEX(Query_Source_View!$R:$R,MATCH(ROW()-14,Query_Source_View!$Z:$Z,0)),"")</f>
        <v>0</v>
      </c>
      <c r="K93" s="2" t="str">
        <f aca="false">IFERROR(INDEX(Query_Source_View!$T:$T,MATCH(ROW()-14,Query_Source_View!$Z:$Z,0)),"")</f>
        <v>A</v>
      </c>
      <c r="L93" s="2" t="n">
        <f aca="false">IFERROR(INDEX(Query_Source_View!$U:$U,MATCH(ROW()-14,Query_Source_View!$Z:$Z,0)),"")</f>
        <v>0</v>
      </c>
      <c r="M93" s="2" t="n">
        <f aca="false">IFERROR(INDEX(Query_Source_View!$V:$V,MATCH(ROW()-14,Query_Source_View!$Z:$Z,0)),"")</f>
        <v>0</v>
      </c>
      <c r="N93" s="2" t="str">
        <f aca="false">IFERROR(INDEX(Query_Source_View!$W:$W,MATCH(ROW()-14,Query_Source_View!$Z:$Z,0)),"")</f>
        <v>Needs Review</v>
      </c>
      <c r="O93" s="2" t="str">
        <f aca="false">IFERROR(INDEX(Query_Source_View!$X:$X,MATCH(ROW()-14,Query_Source_View!$Z:$Z,0)),"")</f>
        <v>https://sensuallogic.com/artistcolordata</v>
      </c>
    </row>
    <row r="94" customFormat="false" ht="23.85" hidden="false" customHeight="false" outlineLevel="0" collapsed="false">
      <c r="A94" s="2" t="str">
        <f aca="false">IFERROR(INDEX(Query_Source_View!$A:$A,MATCH(ROW()-14,Query_Source_View!$Z:$Z,0)),"")</f>
        <v>PNT000066</v>
      </c>
      <c r="B94" s="2" t="str">
        <f aca="false">IFERROR(INDEX(Query_Source_View!$D:$D,MATCH(ROW()-14,Query_Source_View!$Z:$Z,0)),"")</f>
        <v>Winsor And Newton</v>
      </c>
      <c r="C94" s="2" t="str">
        <f aca="false">IFERROR(INDEX(Query_Source_View!$F:$F,MATCH(ROW()-14,Query_Source_View!$Z:$Z,0)),"")</f>
        <v>Gouache</v>
      </c>
      <c r="D94" s="2" t="str">
        <f aca="false">IFERROR(INDEX(Query_Source_View!$H:$H,MATCH(ROW()-14,Query_Source_View!$Z:$Z,0)),"")</f>
        <v>Designers Gouache</v>
      </c>
      <c r="E94" s="2" t="str">
        <f aca="false">IFERROR(INDEX(Query_Source_View!$J:$J,MATCH(ROW()-14,Query_Source_View!$Z:$Z,0)),"")</f>
        <v>Cadmium Orange</v>
      </c>
      <c r="F94" s="2" t="str">
        <f aca="false">IFERROR(INDEX(Query_Source_View!$L:$L,MATCH(ROW()-14,Query_Source_View!$Z:$Z,0)),"")</f>
        <v>Orange</v>
      </c>
      <c r="G94" s="2" t="str">
        <f aca="false">IFERROR(INDEX(Query_Source_View!$N:$N,MATCH(ROW()-14,Query_Source_View!$Z:$Z,0)),"")</f>
        <v>PR108</v>
      </c>
      <c r="H94" s="2" t="n">
        <f aca="false">IFERROR(INDEX(Query_Source_View!$P:$P,MATCH(ROW()-14,Query_Source_View!$Z:$Z,0)),"")</f>
        <v>2</v>
      </c>
      <c r="I94" s="2" t="str">
        <f aca="false">IFERROR(INDEX(Query_Source_View!$Q:$Q,MATCH(ROW()-14,Query_Source_View!$Z:$Z,0)),"")</f>
        <v>No</v>
      </c>
      <c r="J94" s="2" t="n">
        <f aca="false">IFERROR(INDEX(Query_Source_View!$R:$R,MATCH(ROW()-14,Query_Source_View!$Z:$Z,0)),"")</f>
        <v>0</v>
      </c>
      <c r="K94" s="2" t="str">
        <f aca="false">IFERROR(INDEX(Query_Source_View!$T:$T,MATCH(ROW()-14,Query_Source_View!$Z:$Z,0)),"")</f>
        <v>A</v>
      </c>
      <c r="L94" s="2" t="n">
        <f aca="false">IFERROR(INDEX(Query_Source_View!$U:$U,MATCH(ROW()-14,Query_Source_View!$Z:$Z,0)),"")</f>
        <v>0</v>
      </c>
      <c r="M94" s="2" t="n">
        <f aca="false">IFERROR(INDEX(Query_Source_View!$V:$V,MATCH(ROW()-14,Query_Source_View!$Z:$Z,0)),"")</f>
        <v>0</v>
      </c>
      <c r="N94" s="2" t="str">
        <f aca="false">IFERROR(INDEX(Query_Source_View!$W:$W,MATCH(ROW()-14,Query_Source_View!$Z:$Z,0)),"")</f>
        <v>Needs Review</v>
      </c>
      <c r="O94" s="2" t="str">
        <f aca="false">IFERROR(INDEX(Query_Source_View!$X:$X,MATCH(ROW()-14,Query_Source_View!$Z:$Z,0)),"")</f>
        <v>https://sensuallogic.com/artistcolordata</v>
      </c>
    </row>
    <row r="95" customFormat="false" ht="23.85" hidden="false" customHeight="false" outlineLevel="0" collapsed="false">
      <c r="A95" s="2" t="str">
        <f aca="false">IFERROR(INDEX(Query_Source_View!$A:$A,MATCH(ROW()-14,Query_Source_View!$Z:$Z,0)),"")</f>
        <v>PNT000067</v>
      </c>
      <c r="B95" s="2" t="str">
        <f aca="false">IFERROR(INDEX(Query_Source_View!$D:$D,MATCH(ROW()-14,Query_Source_View!$Z:$Z,0)),"")</f>
        <v>Winsor And Newton</v>
      </c>
      <c r="C95" s="2" t="str">
        <f aca="false">IFERROR(INDEX(Query_Source_View!$F:$F,MATCH(ROW()-14,Query_Source_View!$Z:$Z,0)),"")</f>
        <v>Gouache</v>
      </c>
      <c r="D95" s="2" t="str">
        <f aca="false">IFERROR(INDEX(Query_Source_View!$H:$H,MATCH(ROW()-14,Query_Source_View!$Z:$Z,0)),"")</f>
        <v>Designers Gouache</v>
      </c>
      <c r="E95" s="2" t="str">
        <f aca="false">IFERROR(INDEX(Query_Source_View!$J:$J,MATCH(ROW()-14,Query_Source_View!$Z:$Z,0)),"")</f>
        <v>Cadmium Red</v>
      </c>
      <c r="F95" s="2" t="str">
        <f aca="false">IFERROR(INDEX(Query_Source_View!$L:$L,MATCH(ROW()-14,Query_Source_View!$Z:$Z,0)),"")</f>
        <v>Red</v>
      </c>
      <c r="G95" s="2" t="str">
        <f aca="false">IFERROR(INDEX(Query_Source_View!$N:$N,MATCH(ROW()-14,Query_Source_View!$Z:$Z,0)),"")</f>
        <v>PR108</v>
      </c>
      <c r="H95" s="2" t="n">
        <f aca="false">IFERROR(INDEX(Query_Source_View!$P:$P,MATCH(ROW()-14,Query_Source_View!$Z:$Z,0)),"")</f>
        <v>1</v>
      </c>
      <c r="I95" s="2" t="str">
        <f aca="false">IFERROR(INDEX(Query_Source_View!$Q:$Q,MATCH(ROW()-14,Query_Source_View!$Z:$Z,0)),"")</f>
        <v>Yes</v>
      </c>
      <c r="J95" s="2" t="n">
        <f aca="false">IFERROR(INDEX(Query_Source_View!$R:$R,MATCH(ROW()-14,Query_Source_View!$Z:$Z,0)),"")</f>
        <v>0</v>
      </c>
      <c r="K95" s="2" t="str">
        <f aca="false">IFERROR(INDEX(Query_Source_View!$T:$T,MATCH(ROW()-14,Query_Source_View!$Z:$Z,0)),"")</f>
        <v>A</v>
      </c>
      <c r="L95" s="2" t="n">
        <f aca="false">IFERROR(INDEX(Query_Source_View!$U:$U,MATCH(ROW()-14,Query_Source_View!$Z:$Z,0)),"")</f>
        <v>0</v>
      </c>
      <c r="M95" s="2" t="n">
        <f aca="false">IFERROR(INDEX(Query_Source_View!$V:$V,MATCH(ROW()-14,Query_Source_View!$Z:$Z,0)),"")</f>
        <v>0</v>
      </c>
      <c r="N95" s="2" t="str">
        <f aca="false">IFERROR(INDEX(Query_Source_View!$W:$W,MATCH(ROW()-14,Query_Source_View!$Z:$Z,0)),"")</f>
        <v>Needs Review</v>
      </c>
      <c r="O95" s="2" t="str">
        <f aca="false">IFERROR(INDEX(Query_Source_View!$X:$X,MATCH(ROW()-14,Query_Source_View!$Z:$Z,0)),"")</f>
        <v>https://sensuallogic.com/artistcolordata</v>
      </c>
    </row>
    <row r="96" customFormat="false" ht="23.85" hidden="false" customHeight="false" outlineLevel="0" collapsed="false">
      <c r="A96" s="2" t="str">
        <f aca="false">IFERROR(INDEX(Query_Source_View!$A:$A,MATCH(ROW()-14,Query_Source_View!$Z:$Z,0)),"")</f>
        <v>PNT000068</v>
      </c>
      <c r="B96" s="2" t="str">
        <f aca="false">IFERROR(INDEX(Query_Source_View!$D:$D,MATCH(ROW()-14,Query_Source_View!$Z:$Z,0)),"")</f>
        <v>Winsor And Newton</v>
      </c>
      <c r="C96" s="2" t="str">
        <f aca="false">IFERROR(INDEX(Query_Source_View!$F:$F,MATCH(ROW()-14,Query_Source_View!$Z:$Z,0)),"")</f>
        <v>Gouache</v>
      </c>
      <c r="D96" s="2" t="str">
        <f aca="false">IFERROR(INDEX(Query_Source_View!$H:$H,MATCH(ROW()-14,Query_Source_View!$Z:$Z,0)),"")</f>
        <v>Designers Gouache</v>
      </c>
      <c r="E96" s="2" t="str">
        <f aca="false">IFERROR(INDEX(Query_Source_View!$J:$J,MATCH(ROW()-14,Query_Source_View!$Z:$Z,0)),"")</f>
        <v>Cadmium Scarlet</v>
      </c>
      <c r="F96" s="2" t="str">
        <f aca="false">IFERROR(INDEX(Query_Source_View!$L:$L,MATCH(ROW()-14,Query_Source_View!$Z:$Z,0)),"")</f>
        <v>Red</v>
      </c>
      <c r="G96" s="2" t="str">
        <f aca="false">IFERROR(INDEX(Query_Source_View!$N:$N,MATCH(ROW()-14,Query_Source_View!$Z:$Z,0)),"")</f>
        <v>PR108</v>
      </c>
      <c r="H96" s="2" t="n">
        <f aca="false">IFERROR(INDEX(Query_Source_View!$P:$P,MATCH(ROW()-14,Query_Source_View!$Z:$Z,0)),"")</f>
        <v>1</v>
      </c>
      <c r="I96" s="2" t="str">
        <f aca="false">IFERROR(INDEX(Query_Source_View!$Q:$Q,MATCH(ROW()-14,Query_Source_View!$Z:$Z,0)),"")</f>
        <v>Yes</v>
      </c>
      <c r="J96" s="2" t="n">
        <f aca="false">IFERROR(INDEX(Query_Source_View!$R:$R,MATCH(ROW()-14,Query_Source_View!$Z:$Z,0)),"")</f>
        <v>0</v>
      </c>
      <c r="K96" s="2" t="str">
        <f aca="false">IFERROR(INDEX(Query_Source_View!$T:$T,MATCH(ROW()-14,Query_Source_View!$Z:$Z,0)),"")</f>
        <v>A</v>
      </c>
      <c r="L96" s="2" t="n">
        <f aca="false">IFERROR(INDEX(Query_Source_View!$U:$U,MATCH(ROW()-14,Query_Source_View!$Z:$Z,0)),"")</f>
        <v>0</v>
      </c>
      <c r="M96" s="2" t="n">
        <f aca="false">IFERROR(INDEX(Query_Source_View!$V:$V,MATCH(ROW()-14,Query_Source_View!$Z:$Z,0)),"")</f>
        <v>0</v>
      </c>
      <c r="N96" s="2" t="str">
        <f aca="false">IFERROR(INDEX(Query_Source_View!$W:$W,MATCH(ROW()-14,Query_Source_View!$Z:$Z,0)),"")</f>
        <v>Needs Review</v>
      </c>
      <c r="O96" s="2" t="str">
        <f aca="false">IFERROR(INDEX(Query_Source_View!$X:$X,MATCH(ROW()-14,Query_Source_View!$Z:$Z,0)),"")</f>
        <v>https://sensuallogic.com/artistcolordata</v>
      </c>
    </row>
    <row r="97" customFormat="false" ht="23.85" hidden="false" customHeight="false" outlineLevel="0" collapsed="false">
      <c r="A97" s="2" t="str">
        <f aca="false">IFERROR(INDEX(Query_Source_View!$A:$A,MATCH(ROW()-14,Query_Source_View!$Z:$Z,0)),"")</f>
        <v>PNT000069</v>
      </c>
      <c r="B97" s="2" t="str">
        <f aca="false">IFERROR(INDEX(Query_Source_View!$D:$D,MATCH(ROW()-14,Query_Source_View!$Z:$Z,0)),"")</f>
        <v>Winsor And Newton</v>
      </c>
      <c r="C97" s="2" t="str">
        <f aca="false">IFERROR(INDEX(Query_Source_View!$F:$F,MATCH(ROW()-14,Query_Source_View!$Z:$Z,0)),"")</f>
        <v>Gouache</v>
      </c>
      <c r="D97" s="2" t="str">
        <f aca="false">IFERROR(INDEX(Query_Source_View!$H:$H,MATCH(ROW()-14,Query_Source_View!$Z:$Z,0)),"")</f>
        <v>Designers Gouache</v>
      </c>
      <c r="E97" s="2" t="str">
        <f aca="false">IFERROR(INDEX(Query_Source_View!$J:$J,MATCH(ROW()-14,Query_Source_View!$Z:$Z,0)),"")</f>
        <v>Cadmium Yellow</v>
      </c>
      <c r="F97" s="2" t="str">
        <f aca="false">IFERROR(INDEX(Query_Source_View!$L:$L,MATCH(ROW()-14,Query_Source_View!$Z:$Z,0)),"")</f>
        <v>Yellow</v>
      </c>
      <c r="G97" s="2" t="str">
        <f aca="false">IFERROR(INDEX(Query_Source_View!$N:$N,MATCH(ROW()-14,Query_Source_View!$Z:$Z,0)),"")</f>
        <v>PY35</v>
      </c>
      <c r="H97" s="2" t="n">
        <f aca="false">IFERROR(INDEX(Query_Source_View!$P:$P,MATCH(ROW()-14,Query_Source_View!$Z:$Z,0)),"")</f>
        <v>2</v>
      </c>
      <c r="I97" s="2" t="str">
        <f aca="false">IFERROR(INDEX(Query_Source_View!$Q:$Q,MATCH(ROW()-14,Query_Source_View!$Z:$Z,0)),"")</f>
        <v>No</v>
      </c>
      <c r="J97" s="2" t="n">
        <f aca="false">IFERROR(INDEX(Query_Source_View!$R:$R,MATCH(ROW()-14,Query_Source_View!$Z:$Z,0)),"")</f>
        <v>0</v>
      </c>
      <c r="K97" s="2" t="str">
        <f aca="false">IFERROR(INDEX(Query_Source_View!$T:$T,MATCH(ROW()-14,Query_Source_View!$Z:$Z,0)),"")</f>
        <v>A</v>
      </c>
      <c r="L97" s="2" t="n">
        <f aca="false">IFERROR(INDEX(Query_Source_View!$U:$U,MATCH(ROW()-14,Query_Source_View!$Z:$Z,0)),"")</f>
        <v>0</v>
      </c>
      <c r="M97" s="2" t="n">
        <f aca="false">IFERROR(INDEX(Query_Source_View!$V:$V,MATCH(ROW()-14,Query_Source_View!$Z:$Z,0)),"")</f>
        <v>0</v>
      </c>
      <c r="N97" s="2" t="str">
        <f aca="false">IFERROR(INDEX(Query_Source_View!$W:$W,MATCH(ROW()-14,Query_Source_View!$Z:$Z,0)),"")</f>
        <v>Needs Review</v>
      </c>
      <c r="O97" s="2" t="str">
        <f aca="false">IFERROR(INDEX(Query_Source_View!$X:$X,MATCH(ROW()-14,Query_Source_View!$Z:$Z,0)),"")</f>
        <v>https://sensuallogic.com/artistcolordata</v>
      </c>
    </row>
    <row r="98" customFormat="false" ht="23.85" hidden="false" customHeight="false" outlineLevel="0" collapsed="false">
      <c r="A98" s="2" t="str">
        <f aca="false">IFERROR(INDEX(Query_Source_View!$A:$A,MATCH(ROW()-14,Query_Source_View!$Z:$Z,0)),"")</f>
        <v>PNT000069</v>
      </c>
      <c r="B98" s="2" t="str">
        <f aca="false">IFERROR(INDEX(Query_Source_View!$D:$D,MATCH(ROW()-14,Query_Source_View!$Z:$Z,0)),"")</f>
        <v>Winsor And Newton</v>
      </c>
      <c r="C98" s="2" t="str">
        <f aca="false">IFERROR(INDEX(Query_Source_View!$F:$F,MATCH(ROW()-14,Query_Source_View!$Z:$Z,0)),"")</f>
        <v>Gouache</v>
      </c>
      <c r="D98" s="2" t="str">
        <f aca="false">IFERROR(INDEX(Query_Source_View!$H:$H,MATCH(ROW()-14,Query_Source_View!$Z:$Z,0)),"")</f>
        <v>Designers Gouache</v>
      </c>
      <c r="E98" s="2" t="str">
        <f aca="false">IFERROR(INDEX(Query_Source_View!$J:$J,MATCH(ROW()-14,Query_Source_View!$Z:$Z,0)),"")</f>
        <v>Cadmium Yellow</v>
      </c>
      <c r="F98" s="2" t="str">
        <f aca="false">IFERROR(INDEX(Query_Source_View!$L:$L,MATCH(ROW()-14,Query_Source_View!$Z:$Z,0)),"")</f>
        <v>Yellow</v>
      </c>
      <c r="G98" s="2" t="str">
        <f aca="false">IFERROR(INDEX(Query_Source_View!$N:$N,MATCH(ROW()-14,Query_Source_View!$Z:$Z,0)),"")</f>
        <v>PO20</v>
      </c>
      <c r="H98" s="2" t="n">
        <f aca="false">IFERROR(INDEX(Query_Source_View!$P:$P,MATCH(ROW()-14,Query_Source_View!$Z:$Z,0)),"")</f>
        <v>2</v>
      </c>
      <c r="I98" s="2" t="str">
        <f aca="false">IFERROR(INDEX(Query_Source_View!$Q:$Q,MATCH(ROW()-14,Query_Source_View!$Z:$Z,0)),"")</f>
        <v>No</v>
      </c>
      <c r="J98" s="2" t="n">
        <f aca="false">IFERROR(INDEX(Query_Source_View!$R:$R,MATCH(ROW()-14,Query_Source_View!$Z:$Z,0)),"")</f>
        <v>0</v>
      </c>
      <c r="K98" s="2" t="str">
        <f aca="false">IFERROR(INDEX(Query_Source_View!$T:$T,MATCH(ROW()-14,Query_Source_View!$Z:$Z,0)),"")</f>
        <v>A</v>
      </c>
      <c r="L98" s="2" t="n">
        <f aca="false">IFERROR(INDEX(Query_Source_View!$U:$U,MATCH(ROW()-14,Query_Source_View!$Z:$Z,0)),"")</f>
        <v>0</v>
      </c>
      <c r="M98" s="2" t="n">
        <f aca="false">IFERROR(INDEX(Query_Source_View!$V:$V,MATCH(ROW()-14,Query_Source_View!$Z:$Z,0)),"")</f>
        <v>0</v>
      </c>
      <c r="N98" s="2" t="str">
        <f aca="false">IFERROR(INDEX(Query_Source_View!$W:$W,MATCH(ROW()-14,Query_Source_View!$Z:$Z,0)),"")</f>
        <v>Needs Review</v>
      </c>
      <c r="O98" s="2" t="str">
        <f aca="false">IFERROR(INDEX(Query_Source_View!$X:$X,MATCH(ROW()-14,Query_Source_View!$Z:$Z,0)),"")</f>
        <v>https://sensuallogic.com/artistcolordata</v>
      </c>
    </row>
    <row r="99" customFormat="false" ht="23.85" hidden="false" customHeight="false" outlineLevel="0" collapsed="false">
      <c r="A99" s="2" t="str">
        <f aca="false">IFERROR(INDEX(Query_Source_View!$A:$A,MATCH(ROW()-14,Query_Source_View!$Z:$Z,0)),"")</f>
        <v>PNT000070</v>
      </c>
      <c r="B99" s="2" t="str">
        <f aca="false">IFERROR(INDEX(Query_Source_View!$D:$D,MATCH(ROW()-14,Query_Source_View!$Z:$Z,0)),"")</f>
        <v>Winsor And Newton</v>
      </c>
      <c r="C99" s="2" t="str">
        <f aca="false">IFERROR(INDEX(Query_Source_View!$F:$F,MATCH(ROW()-14,Query_Source_View!$Z:$Z,0)),"")</f>
        <v>Gouache</v>
      </c>
      <c r="D99" s="2" t="str">
        <f aca="false">IFERROR(INDEX(Query_Source_View!$H:$H,MATCH(ROW()-14,Query_Source_View!$Z:$Z,0)),"")</f>
        <v>Designers Gouache</v>
      </c>
      <c r="E99" s="2" t="str">
        <f aca="false">IFERROR(INDEX(Query_Source_View!$J:$J,MATCH(ROW()-14,Query_Source_View!$Z:$Z,0)),"")</f>
        <v>Cerulean Blue</v>
      </c>
      <c r="F99" s="2" t="str">
        <f aca="false">IFERROR(INDEX(Query_Source_View!$L:$L,MATCH(ROW()-14,Query_Source_View!$Z:$Z,0)),"")</f>
        <v>Blue</v>
      </c>
      <c r="G99" s="2" t="str">
        <f aca="false">IFERROR(INDEX(Query_Source_View!$N:$N,MATCH(ROW()-14,Query_Source_View!$Z:$Z,0)),"")</f>
        <v>PB35</v>
      </c>
      <c r="H99" s="2" t="n">
        <f aca="false">IFERROR(INDEX(Query_Source_View!$P:$P,MATCH(ROW()-14,Query_Source_View!$Z:$Z,0)),"")</f>
        <v>1</v>
      </c>
      <c r="I99" s="2" t="str">
        <f aca="false">IFERROR(INDEX(Query_Source_View!$Q:$Q,MATCH(ROW()-14,Query_Source_View!$Z:$Z,0)),"")</f>
        <v>Yes</v>
      </c>
      <c r="J99" s="2" t="n">
        <f aca="false">IFERROR(INDEX(Query_Source_View!$R:$R,MATCH(ROW()-14,Query_Source_View!$Z:$Z,0)),"")</f>
        <v>0</v>
      </c>
      <c r="K99" s="2" t="str">
        <f aca="false">IFERROR(INDEX(Query_Source_View!$T:$T,MATCH(ROW()-14,Query_Source_View!$Z:$Z,0)),"")</f>
        <v>AA</v>
      </c>
      <c r="L99" s="2" t="n">
        <f aca="false">IFERROR(INDEX(Query_Source_View!$U:$U,MATCH(ROW()-14,Query_Source_View!$Z:$Z,0)),"")</f>
        <v>0</v>
      </c>
      <c r="M99" s="2" t="n">
        <f aca="false">IFERROR(INDEX(Query_Source_View!$V:$V,MATCH(ROW()-14,Query_Source_View!$Z:$Z,0)),"")</f>
        <v>0</v>
      </c>
      <c r="N99" s="2" t="str">
        <f aca="false">IFERROR(INDEX(Query_Source_View!$W:$W,MATCH(ROW()-14,Query_Source_View!$Z:$Z,0)),"")</f>
        <v>Needs Review</v>
      </c>
      <c r="O99" s="2" t="str">
        <f aca="false">IFERROR(INDEX(Query_Source_View!$X:$X,MATCH(ROW()-14,Query_Source_View!$Z:$Z,0)),"")</f>
        <v>https://sensuallogic.com/artistcolordata</v>
      </c>
    </row>
    <row r="100" customFormat="false" ht="23.85" hidden="false" customHeight="false" outlineLevel="0" collapsed="false">
      <c r="A100" s="2" t="str">
        <f aca="false">IFERROR(INDEX(Query_Source_View!$A:$A,MATCH(ROW()-14,Query_Source_View!$Z:$Z,0)),"")</f>
        <v>PNT000071</v>
      </c>
      <c r="B100" s="2" t="str">
        <f aca="false">IFERROR(INDEX(Query_Source_View!$D:$D,MATCH(ROW()-14,Query_Source_View!$Z:$Z,0)),"")</f>
        <v>Winsor And Newton</v>
      </c>
      <c r="C100" s="2" t="str">
        <f aca="false">IFERROR(INDEX(Query_Source_View!$F:$F,MATCH(ROW()-14,Query_Source_View!$Z:$Z,0)),"")</f>
        <v>Gouache</v>
      </c>
      <c r="D100" s="2" t="str">
        <f aca="false">IFERROR(INDEX(Query_Source_View!$H:$H,MATCH(ROW()-14,Query_Source_View!$Z:$Z,0)),"")</f>
        <v>Designers Gouache</v>
      </c>
      <c r="E100" s="2" t="str">
        <f aca="false">IFERROR(INDEX(Query_Source_View!$J:$J,MATCH(ROW()-14,Query_Source_View!$Z:$Z,0)),"")</f>
        <v>Cobalt Blue</v>
      </c>
      <c r="F100" s="2" t="str">
        <f aca="false">IFERROR(INDEX(Query_Source_View!$L:$L,MATCH(ROW()-14,Query_Source_View!$Z:$Z,0)),"")</f>
        <v>Blue</v>
      </c>
      <c r="G100" s="2" t="str">
        <f aca="false">IFERROR(INDEX(Query_Source_View!$N:$N,MATCH(ROW()-14,Query_Source_View!$Z:$Z,0)),"")</f>
        <v>PB28</v>
      </c>
      <c r="H100" s="2" t="n">
        <f aca="false">IFERROR(INDEX(Query_Source_View!$P:$P,MATCH(ROW()-14,Query_Source_View!$Z:$Z,0)),"")</f>
        <v>1</v>
      </c>
      <c r="I100" s="2" t="str">
        <f aca="false">IFERROR(INDEX(Query_Source_View!$Q:$Q,MATCH(ROW()-14,Query_Source_View!$Z:$Z,0)),"")</f>
        <v>Yes</v>
      </c>
      <c r="J100" s="2" t="n">
        <f aca="false">IFERROR(INDEX(Query_Source_View!$R:$R,MATCH(ROW()-14,Query_Source_View!$Z:$Z,0)),"")</f>
        <v>0</v>
      </c>
      <c r="K100" s="2" t="str">
        <f aca="false">IFERROR(INDEX(Query_Source_View!$T:$T,MATCH(ROW()-14,Query_Source_View!$Z:$Z,0)),"")</f>
        <v>AA</v>
      </c>
      <c r="L100" s="2" t="n">
        <f aca="false">IFERROR(INDEX(Query_Source_View!$U:$U,MATCH(ROW()-14,Query_Source_View!$Z:$Z,0)),"")</f>
        <v>0</v>
      </c>
      <c r="M100" s="2" t="n">
        <f aca="false">IFERROR(INDEX(Query_Source_View!$V:$V,MATCH(ROW()-14,Query_Source_View!$Z:$Z,0)),"")</f>
        <v>0</v>
      </c>
      <c r="N100" s="2" t="str">
        <f aca="false">IFERROR(INDEX(Query_Source_View!$W:$W,MATCH(ROW()-14,Query_Source_View!$Z:$Z,0)),"")</f>
        <v>Needs Review</v>
      </c>
      <c r="O100" s="2" t="str">
        <f aca="false">IFERROR(INDEX(Query_Source_View!$X:$X,MATCH(ROW()-14,Query_Source_View!$Z:$Z,0)),"")</f>
        <v>https://sensuallogic.com/artistcolordata</v>
      </c>
    </row>
    <row r="101" customFormat="false" ht="23.85" hidden="false" customHeight="false" outlineLevel="0" collapsed="false">
      <c r="A101" s="2" t="str">
        <f aca="false">IFERROR(INDEX(Query_Source_View!$A:$A,MATCH(ROW()-14,Query_Source_View!$Z:$Z,0)),"")</f>
        <v>PNT000072</v>
      </c>
      <c r="B101" s="2" t="str">
        <f aca="false">IFERROR(INDEX(Query_Source_View!$D:$D,MATCH(ROW()-14,Query_Source_View!$Z:$Z,0)),"")</f>
        <v>Winsor And Newton</v>
      </c>
      <c r="C101" s="2" t="str">
        <f aca="false">IFERROR(INDEX(Query_Source_View!$F:$F,MATCH(ROW()-14,Query_Source_View!$Z:$Z,0)),"")</f>
        <v>Gouache</v>
      </c>
      <c r="D101" s="2" t="str">
        <f aca="false">IFERROR(INDEX(Query_Source_View!$H:$H,MATCH(ROW()-14,Query_Source_View!$Z:$Z,0)),"")</f>
        <v>Designers Gouache</v>
      </c>
      <c r="E101" s="2" t="str">
        <f aca="false">IFERROR(INDEX(Query_Source_View!$J:$J,MATCH(ROW()-14,Query_Source_View!$Z:$Z,0)),"")</f>
        <v>Cobalt Turquoise Light</v>
      </c>
      <c r="F101" s="2" t="str">
        <f aca="false">IFERROR(INDEX(Query_Source_View!$L:$L,MATCH(ROW()-14,Query_Source_View!$Z:$Z,0)),"")</f>
        <v>Blue</v>
      </c>
      <c r="G101" s="2" t="str">
        <f aca="false">IFERROR(INDEX(Query_Source_View!$N:$N,MATCH(ROW()-14,Query_Source_View!$Z:$Z,0)),"")</f>
        <v>PG50</v>
      </c>
      <c r="H101" s="2" t="n">
        <f aca="false">IFERROR(INDEX(Query_Source_View!$P:$P,MATCH(ROW()-14,Query_Source_View!$Z:$Z,0)),"")</f>
        <v>1</v>
      </c>
      <c r="I101" s="2" t="str">
        <f aca="false">IFERROR(INDEX(Query_Source_View!$Q:$Q,MATCH(ROW()-14,Query_Source_View!$Z:$Z,0)),"")</f>
        <v>Yes</v>
      </c>
      <c r="J101" s="2" t="n">
        <f aca="false">IFERROR(INDEX(Query_Source_View!$R:$R,MATCH(ROW()-14,Query_Source_View!$Z:$Z,0)),"")</f>
        <v>0</v>
      </c>
      <c r="K101" s="2" t="str">
        <f aca="false">IFERROR(INDEX(Query_Source_View!$T:$T,MATCH(ROW()-14,Query_Source_View!$Z:$Z,0)),"")</f>
        <v>AA</v>
      </c>
      <c r="L101" s="2" t="n">
        <f aca="false">IFERROR(INDEX(Query_Source_View!$U:$U,MATCH(ROW()-14,Query_Source_View!$Z:$Z,0)),"")</f>
        <v>0</v>
      </c>
      <c r="M101" s="2" t="n">
        <f aca="false">IFERROR(INDEX(Query_Source_View!$V:$V,MATCH(ROW()-14,Query_Source_View!$Z:$Z,0)),"")</f>
        <v>0</v>
      </c>
      <c r="N101" s="2" t="str">
        <f aca="false">IFERROR(INDEX(Query_Source_View!$W:$W,MATCH(ROW()-14,Query_Source_View!$Z:$Z,0)),"")</f>
        <v>Needs Review</v>
      </c>
      <c r="O101" s="2" t="str">
        <f aca="false">IFERROR(INDEX(Query_Source_View!$X:$X,MATCH(ROW()-14,Query_Source_View!$Z:$Z,0)),"")</f>
        <v>https://sensuallogic.com/artistcolordata</v>
      </c>
    </row>
    <row r="102" customFormat="false" ht="23.85" hidden="false" customHeight="false" outlineLevel="0" collapsed="false">
      <c r="A102" s="2" t="str">
        <f aca="false">IFERROR(INDEX(Query_Source_View!$A:$A,MATCH(ROW()-14,Query_Source_View!$Z:$Z,0)),"")</f>
        <v>PNT000073</v>
      </c>
      <c r="B102" s="2" t="str">
        <f aca="false">IFERROR(INDEX(Query_Source_View!$D:$D,MATCH(ROW()-14,Query_Source_View!$Z:$Z,0)),"")</f>
        <v>Winsor And Newton</v>
      </c>
      <c r="C102" s="2" t="str">
        <f aca="false">IFERROR(INDEX(Query_Source_View!$F:$F,MATCH(ROW()-14,Query_Source_View!$Z:$Z,0)),"")</f>
        <v>Gouache</v>
      </c>
      <c r="D102" s="2" t="str">
        <f aca="false">IFERROR(INDEX(Query_Source_View!$H:$H,MATCH(ROW()-14,Query_Source_View!$Z:$Z,0)),"")</f>
        <v>Designers Gouache</v>
      </c>
      <c r="E102" s="2" t="str">
        <f aca="false">IFERROR(INDEX(Query_Source_View!$J:$J,MATCH(ROW()-14,Query_Source_View!$Z:$Z,0)),"")</f>
        <v>Flame Red</v>
      </c>
      <c r="F102" s="2" t="str">
        <f aca="false">IFERROR(INDEX(Query_Source_View!$L:$L,MATCH(ROW()-14,Query_Source_View!$Z:$Z,0)),"")</f>
        <v>Red</v>
      </c>
      <c r="G102" s="2" t="str">
        <f aca="false">IFERROR(INDEX(Query_Source_View!$N:$N,MATCH(ROW()-14,Query_Source_View!$Z:$Z,0)),"")</f>
        <v>PR170</v>
      </c>
      <c r="H102" s="2" t="n">
        <f aca="false">IFERROR(INDEX(Query_Source_View!$P:$P,MATCH(ROW()-14,Query_Source_View!$Z:$Z,0)),"")</f>
        <v>2</v>
      </c>
      <c r="I102" s="2" t="str">
        <f aca="false">IFERROR(INDEX(Query_Source_View!$Q:$Q,MATCH(ROW()-14,Query_Source_View!$Z:$Z,0)),"")</f>
        <v>No</v>
      </c>
      <c r="J102" s="2" t="n">
        <f aca="false">IFERROR(INDEX(Query_Source_View!$R:$R,MATCH(ROW()-14,Query_Source_View!$Z:$Z,0)),"")</f>
        <v>0</v>
      </c>
      <c r="K102" s="2" t="str">
        <f aca="false">IFERROR(INDEX(Query_Source_View!$T:$T,MATCH(ROW()-14,Query_Source_View!$Z:$Z,0)),"")</f>
        <v>A</v>
      </c>
      <c r="L102" s="2" t="n">
        <f aca="false">IFERROR(INDEX(Query_Source_View!$U:$U,MATCH(ROW()-14,Query_Source_View!$Z:$Z,0)),"")</f>
        <v>0</v>
      </c>
      <c r="M102" s="2" t="n">
        <f aca="false">IFERROR(INDEX(Query_Source_View!$V:$V,MATCH(ROW()-14,Query_Source_View!$Z:$Z,0)),"")</f>
        <v>0</v>
      </c>
      <c r="N102" s="2" t="str">
        <f aca="false">IFERROR(INDEX(Query_Source_View!$W:$W,MATCH(ROW()-14,Query_Source_View!$Z:$Z,0)),"")</f>
        <v>Needs Review</v>
      </c>
      <c r="O102" s="2" t="str">
        <f aca="false">IFERROR(INDEX(Query_Source_View!$X:$X,MATCH(ROW()-14,Query_Source_View!$Z:$Z,0)),"")</f>
        <v>https://sensuallogic.com/artistcolordata</v>
      </c>
    </row>
    <row r="103" customFormat="false" ht="23.85" hidden="false" customHeight="false" outlineLevel="0" collapsed="false">
      <c r="A103" s="2" t="str">
        <f aca="false">IFERROR(INDEX(Query_Source_View!$A:$A,MATCH(ROW()-14,Query_Source_View!$Z:$Z,0)),"")</f>
        <v>PNT000073</v>
      </c>
      <c r="B103" s="2" t="str">
        <f aca="false">IFERROR(INDEX(Query_Source_View!$D:$D,MATCH(ROW()-14,Query_Source_View!$Z:$Z,0)),"")</f>
        <v>Winsor And Newton</v>
      </c>
      <c r="C103" s="2" t="str">
        <f aca="false">IFERROR(INDEX(Query_Source_View!$F:$F,MATCH(ROW()-14,Query_Source_View!$Z:$Z,0)),"")</f>
        <v>Gouache</v>
      </c>
      <c r="D103" s="2" t="str">
        <f aca="false">IFERROR(INDEX(Query_Source_View!$H:$H,MATCH(ROW()-14,Query_Source_View!$Z:$Z,0)),"")</f>
        <v>Designers Gouache</v>
      </c>
      <c r="E103" s="2" t="str">
        <f aca="false">IFERROR(INDEX(Query_Source_View!$J:$J,MATCH(ROW()-14,Query_Source_View!$Z:$Z,0)),"")</f>
        <v>Flame Red</v>
      </c>
      <c r="F103" s="2" t="str">
        <f aca="false">IFERROR(INDEX(Query_Source_View!$L:$L,MATCH(ROW()-14,Query_Source_View!$Z:$Z,0)),"")</f>
        <v>Red</v>
      </c>
      <c r="G103" s="2" t="str">
        <f aca="false">IFERROR(INDEX(Query_Source_View!$N:$N,MATCH(ROW()-14,Query_Source_View!$Z:$Z,0)),"")</f>
        <v>PO72</v>
      </c>
      <c r="H103" s="2" t="n">
        <f aca="false">IFERROR(INDEX(Query_Source_View!$P:$P,MATCH(ROW()-14,Query_Source_View!$Z:$Z,0)),"")</f>
        <v>2</v>
      </c>
      <c r="I103" s="2" t="str">
        <f aca="false">IFERROR(INDEX(Query_Source_View!$Q:$Q,MATCH(ROW()-14,Query_Source_View!$Z:$Z,0)),"")</f>
        <v>No</v>
      </c>
      <c r="J103" s="2" t="n">
        <f aca="false">IFERROR(INDEX(Query_Source_View!$R:$R,MATCH(ROW()-14,Query_Source_View!$Z:$Z,0)),"")</f>
        <v>0</v>
      </c>
      <c r="K103" s="2" t="str">
        <f aca="false">IFERROR(INDEX(Query_Source_View!$T:$T,MATCH(ROW()-14,Query_Source_View!$Z:$Z,0)),"")</f>
        <v>A</v>
      </c>
      <c r="L103" s="2" t="n">
        <f aca="false">IFERROR(INDEX(Query_Source_View!$U:$U,MATCH(ROW()-14,Query_Source_View!$Z:$Z,0)),"")</f>
        <v>0</v>
      </c>
      <c r="M103" s="2" t="n">
        <f aca="false">IFERROR(INDEX(Query_Source_View!$V:$V,MATCH(ROW()-14,Query_Source_View!$Z:$Z,0)),"")</f>
        <v>0</v>
      </c>
      <c r="N103" s="2" t="str">
        <f aca="false">IFERROR(INDEX(Query_Source_View!$W:$W,MATCH(ROW()-14,Query_Source_View!$Z:$Z,0)),"")</f>
        <v>Needs Review</v>
      </c>
      <c r="O103" s="2" t="str">
        <f aca="false">IFERROR(INDEX(Query_Source_View!$X:$X,MATCH(ROW()-14,Query_Source_View!$Z:$Z,0)),"")</f>
        <v>https://sensuallogic.com/artistcolordata</v>
      </c>
    </row>
    <row r="104" customFormat="false" ht="23.85" hidden="false" customHeight="false" outlineLevel="0" collapsed="false">
      <c r="A104" s="2" t="str">
        <f aca="false">IFERROR(INDEX(Query_Source_View!$A:$A,MATCH(ROW()-14,Query_Source_View!$Z:$Z,0)),"")</f>
        <v>PNT000074</v>
      </c>
      <c r="B104" s="2" t="str">
        <f aca="false">IFERROR(INDEX(Query_Source_View!$D:$D,MATCH(ROW()-14,Query_Source_View!$Z:$Z,0)),"")</f>
        <v>Winsor And Newton</v>
      </c>
      <c r="C104" s="2" t="str">
        <f aca="false">IFERROR(INDEX(Query_Source_View!$F:$F,MATCH(ROW()-14,Query_Source_View!$Z:$Z,0)),"")</f>
        <v>Gouache</v>
      </c>
      <c r="D104" s="2" t="str">
        <f aca="false">IFERROR(INDEX(Query_Source_View!$H:$H,MATCH(ROW()-14,Query_Source_View!$Z:$Z,0)),"")</f>
        <v>Designers Gouache</v>
      </c>
      <c r="E104" s="2" t="str">
        <f aca="false">IFERROR(INDEX(Query_Source_View!$J:$J,MATCH(ROW()-14,Query_Source_View!$Z:$Z,0)),"")</f>
        <v>Indigo</v>
      </c>
      <c r="F104" s="2" t="str">
        <f aca="false">IFERROR(INDEX(Query_Source_View!$L:$L,MATCH(ROW()-14,Query_Source_View!$Z:$Z,0)),"")</f>
        <v>Blue</v>
      </c>
      <c r="G104" s="2" t="str">
        <f aca="false">IFERROR(INDEX(Query_Source_View!$N:$N,MATCH(ROW()-14,Query_Source_View!$Z:$Z,0)),"")</f>
        <v>PB15</v>
      </c>
      <c r="H104" s="2" t="n">
        <f aca="false">IFERROR(INDEX(Query_Source_View!$P:$P,MATCH(ROW()-14,Query_Source_View!$Z:$Z,0)),"")</f>
        <v>3</v>
      </c>
      <c r="I104" s="2" t="str">
        <f aca="false">IFERROR(INDEX(Query_Source_View!$Q:$Q,MATCH(ROW()-14,Query_Source_View!$Z:$Z,0)),"")</f>
        <v>No</v>
      </c>
      <c r="J104" s="2" t="n">
        <f aca="false">IFERROR(INDEX(Query_Source_View!$R:$R,MATCH(ROW()-14,Query_Source_View!$Z:$Z,0)),"")</f>
        <v>0</v>
      </c>
      <c r="K104" s="2" t="str">
        <f aca="false">IFERROR(INDEX(Query_Source_View!$T:$T,MATCH(ROW()-14,Query_Source_View!$Z:$Z,0)),"")</f>
        <v>A</v>
      </c>
      <c r="L104" s="2" t="n">
        <f aca="false">IFERROR(INDEX(Query_Source_View!$U:$U,MATCH(ROW()-14,Query_Source_View!$Z:$Z,0)),"")</f>
        <v>0</v>
      </c>
      <c r="M104" s="2" t="n">
        <f aca="false">IFERROR(INDEX(Query_Source_View!$V:$V,MATCH(ROW()-14,Query_Source_View!$Z:$Z,0)),"")</f>
        <v>0</v>
      </c>
      <c r="N104" s="2" t="str">
        <f aca="false">IFERROR(INDEX(Query_Source_View!$W:$W,MATCH(ROW()-14,Query_Source_View!$Z:$Z,0)),"")</f>
        <v>Needs Review</v>
      </c>
      <c r="O104" s="2" t="str">
        <f aca="false">IFERROR(INDEX(Query_Source_View!$X:$X,MATCH(ROW()-14,Query_Source_View!$Z:$Z,0)),"")</f>
        <v>https://sensuallogic.com/artistcolordata</v>
      </c>
    </row>
    <row r="105" customFormat="false" ht="23.85" hidden="false" customHeight="false" outlineLevel="0" collapsed="false">
      <c r="A105" s="2" t="str">
        <f aca="false">IFERROR(INDEX(Query_Source_View!$A:$A,MATCH(ROW()-14,Query_Source_View!$Z:$Z,0)),"")</f>
        <v>PNT000074</v>
      </c>
      <c r="B105" s="2" t="str">
        <f aca="false">IFERROR(INDEX(Query_Source_View!$D:$D,MATCH(ROW()-14,Query_Source_View!$Z:$Z,0)),"")</f>
        <v>Winsor And Newton</v>
      </c>
      <c r="C105" s="2" t="str">
        <f aca="false">IFERROR(INDEX(Query_Source_View!$F:$F,MATCH(ROW()-14,Query_Source_View!$Z:$Z,0)),"")</f>
        <v>Gouache</v>
      </c>
      <c r="D105" s="2" t="str">
        <f aca="false">IFERROR(INDEX(Query_Source_View!$H:$H,MATCH(ROW()-14,Query_Source_View!$Z:$Z,0)),"")</f>
        <v>Designers Gouache</v>
      </c>
      <c r="E105" s="2" t="str">
        <f aca="false">IFERROR(INDEX(Query_Source_View!$J:$J,MATCH(ROW()-14,Query_Source_View!$Z:$Z,0)),"")</f>
        <v>Indigo</v>
      </c>
      <c r="F105" s="2" t="str">
        <f aca="false">IFERROR(INDEX(Query_Source_View!$L:$L,MATCH(ROW()-14,Query_Source_View!$Z:$Z,0)),"")</f>
        <v>Blue</v>
      </c>
      <c r="G105" s="2" t="str">
        <f aca="false">IFERROR(INDEX(Query_Source_View!$N:$N,MATCH(ROW()-14,Query_Source_View!$Z:$Z,0)),"")</f>
        <v>PBk6</v>
      </c>
      <c r="H105" s="2" t="n">
        <f aca="false">IFERROR(INDEX(Query_Source_View!$P:$P,MATCH(ROW()-14,Query_Source_View!$Z:$Z,0)),"")</f>
        <v>3</v>
      </c>
      <c r="I105" s="2" t="str">
        <f aca="false">IFERROR(INDEX(Query_Source_View!$Q:$Q,MATCH(ROW()-14,Query_Source_View!$Z:$Z,0)),"")</f>
        <v>No</v>
      </c>
      <c r="J105" s="2" t="n">
        <f aca="false">IFERROR(INDEX(Query_Source_View!$R:$R,MATCH(ROW()-14,Query_Source_View!$Z:$Z,0)),"")</f>
        <v>0</v>
      </c>
      <c r="K105" s="2" t="str">
        <f aca="false">IFERROR(INDEX(Query_Source_View!$T:$T,MATCH(ROW()-14,Query_Source_View!$Z:$Z,0)),"")</f>
        <v>A</v>
      </c>
      <c r="L105" s="2" t="n">
        <f aca="false">IFERROR(INDEX(Query_Source_View!$U:$U,MATCH(ROW()-14,Query_Source_View!$Z:$Z,0)),"")</f>
        <v>0</v>
      </c>
      <c r="M105" s="2" t="n">
        <f aca="false">IFERROR(INDEX(Query_Source_View!$V:$V,MATCH(ROW()-14,Query_Source_View!$Z:$Z,0)),"")</f>
        <v>0</v>
      </c>
      <c r="N105" s="2" t="str">
        <f aca="false">IFERROR(INDEX(Query_Source_View!$W:$W,MATCH(ROW()-14,Query_Source_View!$Z:$Z,0)),"")</f>
        <v>Needs Review</v>
      </c>
      <c r="O105" s="2" t="str">
        <f aca="false">IFERROR(INDEX(Query_Source_View!$X:$X,MATCH(ROW()-14,Query_Source_View!$Z:$Z,0)),"")</f>
        <v>https://sensuallogic.com/artistcolordata</v>
      </c>
    </row>
    <row r="106" customFormat="false" ht="23.85" hidden="false" customHeight="false" outlineLevel="0" collapsed="false">
      <c r="A106" s="2" t="str">
        <f aca="false">IFERROR(INDEX(Query_Source_View!$A:$A,MATCH(ROW()-14,Query_Source_View!$Z:$Z,0)),"")</f>
        <v>PNT000074</v>
      </c>
      <c r="B106" s="2" t="str">
        <f aca="false">IFERROR(INDEX(Query_Source_View!$D:$D,MATCH(ROW()-14,Query_Source_View!$Z:$Z,0)),"")</f>
        <v>Winsor And Newton</v>
      </c>
      <c r="C106" s="2" t="str">
        <f aca="false">IFERROR(INDEX(Query_Source_View!$F:$F,MATCH(ROW()-14,Query_Source_View!$Z:$Z,0)),"")</f>
        <v>Gouache</v>
      </c>
      <c r="D106" s="2" t="str">
        <f aca="false">IFERROR(INDEX(Query_Source_View!$H:$H,MATCH(ROW()-14,Query_Source_View!$Z:$Z,0)),"")</f>
        <v>Designers Gouache</v>
      </c>
      <c r="E106" s="2" t="str">
        <f aca="false">IFERROR(INDEX(Query_Source_View!$J:$J,MATCH(ROW()-14,Query_Source_View!$Z:$Z,0)),"")</f>
        <v>Indigo</v>
      </c>
      <c r="F106" s="2" t="str">
        <f aca="false">IFERROR(INDEX(Query_Source_View!$L:$L,MATCH(ROW()-14,Query_Source_View!$Z:$Z,0)),"")</f>
        <v>Blue</v>
      </c>
      <c r="G106" s="2" t="str">
        <f aca="false">IFERROR(INDEX(Query_Source_View!$N:$N,MATCH(ROW()-14,Query_Source_View!$Z:$Z,0)),"")</f>
        <v>PB29</v>
      </c>
      <c r="H106" s="2" t="n">
        <f aca="false">IFERROR(INDEX(Query_Source_View!$P:$P,MATCH(ROW()-14,Query_Source_View!$Z:$Z,0)),"")</f>
        <v>3</v>
      </c>
      <c r="I106" s="2" t="str">
        <f aca="false">IFERROR(INDEX(Query_Source_View!$Q:$Q,MATCH(ROW()-14,Query_Source_View!$Z:$Z,0)),"")</f>
        <v>No</v>
      </c>
      <c r="J106" s="2" t="n">
        <f aca="false">IFERROR(INDEX(Query_Source_View!$R:$R,MATCH(ROW()-14,Query_Source_View!$Z:$Z,0)),"")</f>
        <v>0</v>
      </c>
      <c r="K106" s="2" t="str">
        <f aca="false">IFERROR(INDEX(Query_Source_View!$T:$T,MATCH(ROW()-14,Query_Source_View!$Z:$Z,0)),"")</f>
        <v>A</v>
      </c>
      <c r="L106" s="2" t="n">
        <f aca="false">IFERROR(INDEX(Query_Source_View!$U:$U,MATCH(ROW()-14,Query_Source_View!$Z:$Z,0)),"")</f>
        <v>0</v>
      </c>
      <c r="M106" s="2" t="n">
        <f aca="false">IFERROR(INDEX(Query_Source_View!$V:$V,MATCH(ROW()-14,Query_Source_View!$Z:$Z,0)),"")</f>
        <v>0</v>
      </c>
      <c r="N106" s="2" t="str">
        <f aca="false">IFERROR(INDEX(Query_Source_View!$W:$W,MATCH(ROW()-14,Query_Source_View!$Z:$Z,0)),"")</f>
        <v>Needs Review</v>
      </c>
      <c r="O106" s="2" t="str">
        <f aca="false">IFERROR(INDEX(Query_Source_View!$X:$X,MATCH(ROW()-14,Query_Source_View!$Z:$Z,0)),"")</f>
        <v>https://sensuallogic.com/artistcolordata</v>
      </c>
    </row>
    <row r="107" customFormat="false" ht="23.85" hidden="false" customHeight="false" outlineLevel="0" collapsed="false">
      <c r="A107" s="2" t="str">
        <f aca="false">IFERROR(INDEX(Query_Source_View!$A:$A,MATCH(ROW()-14,Query_Source_View!$Z:$Z,0)),"")</f>
        <v>PNT000075</v>
      </c>
      <c r="B107" s="2" t="str">
        <f aca="false">IFERROR(INDEX(Query_Source_View!$D:$D,MATCH(ROW()-14,Query_Source_View!$Z:$Z,0)),"")</f>
        <v>Winsor And Newton</v>
      </c>
      <c r="C107" s="2" t="str">
        <f aca="false">IFERROR(INDEX(Query_Source_View!$F:$F,MATCH(ROW()-14,Query_Source_View!$Z:$Z,0)),"")</f>
        <v>Gouache</v>
      </c>
      <c r="D107" s="2" t="str">
        <f aca="false">IFERROR(INDEX(Query_Source_View!$H:$H,MATCH(ROW()-14,Query_Source_View!$Z:$Z,0)),"")</f>
        <v>Designers Gouache</v>
      </c>
      <c r="E107" s="2" t="str">
        <f aca="false">IFERROR(INDEX(Query_Source_View!$J:$J,MATCH(ROW()-14,Query_Source_View!$Z:$Z,0)),"")</f>
        <v>Ivory Black</v>
      </c>
      <c r="F107" s="2" t="str">
        <f aca="false">IFERROR(INDEX(Query_Source_View!$L:$L,MATCH(ROW()-14,Query_Source_View!$Z:$Z,0)),"")</f>
        <v>Black Or Gray</v>
      </c>
      <c r="G107" s="2" t="str">
        <f aca="false">IFERROR(INDEX(Query_Source_View!$N:$N,MATCH(ROW()-14,Query_Source_View!$Z:$Z,0)),"")</f>
        <v>PBk9</v>
      </c>
      <c r="H107" s="2" t="n">
        <f aca="false">IFERROR(INDEX(Query_Source_View!$P:$P,MATCH(ROW()-14,Query_Source_View!$Z:$Z,0)),"")</f>
        <v>1</v>
      </c>
      <c r="I107" s="2" t="str">
        <f aca="false">IFERROR(INDEX(Query_Source_View!$Q:$Q,MATCH(ROW()-14,Query_Source_View!$Z:$Z,0)),"")</f>
        <v>Yes</v>
      </c>
      <c r="J107" s="2" t="n">
        <f aca="false">IFERROR(INDEX(Query_Source_View!$R:$R,MATCH(ROW()-14,Query_Source_View!$Z:$Z,0)),"")</f>
        <v>0</v>
      </c>
      <c r="K107" s="2" t="str">
        <f aca="false">IFERROR(INDEX(Query_Source_View!$T:$T,MATCH(ROW()-14,Query_Source_View!$Z:$Z,0)),"")</f>
        <v>AA</v>
      </c>
      <c r="L107" s="2" t="n">
        <f aca="false">IFERROR(INDEX(Query_Source_View!$U:$U,MATCH(ROW()-14,Query_Source_View!$Z:$Z,0)),"")</f>
        <v>0</v>
      </c>
      <c r="M107" s="2" t="n">
        <f aca="false">IFERROR(INDEX(Query_Source_View!$V:$V,MATCH(ROW()-14,Query_Source_View!$Z:$Z,0)),"")</f>
        <v>0</v>
      </c>
      <c r="N107" s="2" t="str">
        <f aca="false">IFERROR(INDEX(Query_Source_View!$W:$W,MATCH(ROW()-14,Query_Source_View!$Z:$Z,0)),"")</f>
        <v>Needs Review</v>
      </c>
      <c r="O107" s="2" t="str">
        <f aca="false">IFERROR(INDEX(Query_Source_View!$X:$X,MATCH(ROW()-14,Query_Source_View!$Z:$Z,0)),"")</f>
        <v>https://sensuallogic.com/artistcolordata</v>
      </c>
    </row>
    <row r="108" customFormat="false" ht="23.85" hidden="false" customHeight="false" outlineLevel="0" collapsed="false">
      <c r="A108" s="2" t="str">
        <f aca="false">IFERROR(INDEX(Query_Source_View!$A:$A,MATCH(ROW()-14,Query_Source_View!$Z:$Z,0)),"")</f>
        <v>PNT000076</v>
      </c>
      <c r="B108" s="2" t="str">
        <f aca="false">IFERROR(INDEX(Query_Source_View!$D:$D,MATCH(ROW()-14,Query_Source_View!$Z:$Z,0)),"")</f>
        <v>Winsor And Newton</v>
      </c>
      <c r="C108" s="2" t="str">
        <f aca="false">IFERROR(INDEX(Query_Source_View!$F:$F,MATCH(ROW()-14,Query_Source_View!$Z:$Z,0)),"")</f>
        <v>Gouache</v>
      </c>
      <c r="D108" s="2" t="str">
        <f aca="false">IFERROR(INDEX(Query_Source_View!$H:$H,MATCH(ROW()-14,Query_Source_View!$Z:$Z,0)),"")</f>
        <v>Designers Gouache</v>
      </c>
      <c r="E108" s="2" t="str">
        <f aca="false">IFERROR(INDEX(Query_Source_View!$J:$J,MATCH(ROW()-14,Query_Source_View!$Z:$Z,0)),"")</f>
        <v>Jet Black</v>
      </c>
      <c r="F108" s="2" t="str">
        <f aca="false">IFERROR(INDEX(Query_Source_View!$L:$L,MATCH(ROW()-14,Query_Source_View!$Z:$Z,0)),"")</f>
        <v>Black Or Gray</v>
      </c>
      <c r="G108" s="2" t="str">
        <f aca="false">IFERROR(INDEX(Query_Source_View!$N:$N,MATCH(ROW()-14,Query_Source_View!$Z:$Z,0)),"")</f>
        <v>PBk1</v>
      </c>
      <c r="H108" s="2" t="n">
        <f aca="false">IFERROR(INDEX(Query_Source_View!$P:$P,MATCH(ROW()-14,Query_Source_View!$Z:$Z,0)),"")</f>
        <v>1</v>
      </c>
      <c r="I108" s="2" t="str">
        <f aca="false">IFERROR(INDEX(Query_Source_View!$Q:$Q,MATCH(ROW()-14,Query_Source_View!$Z:$Z,0)),"")</f>
        <v>Yes</v>
      </c>
      <c r="J108" s="2" t="n">
        <f aca="false">IFERROR(INDEX(Query_Source_View!$R:$R,MATCH(ROW()-14,Query_Source_View!$Z:$Z,0)),"")</f>
        <v>0</v>
      </c>
      <c r="K108" s="2" t="str">
        <f aca="false">IFERROR(INDEX(Query_Source_View!$T:$T,MATCH(ROW()-14,Query_Source_View!$Z:$Z,0)),"")</f>
        <v>A</v>
      </c>
      <c r="L108" s="2" t="n">
        <f aca="false">IFERROR(INDEX(Query_Source_View!$U:$U,MATCH(ROW()-14,Query_Source_View!$Z:$Z,0)),"")</f>
        <v>0</v>
      </c>
      <c r="M108" s="2" t="n">
        <f aca="false">IFERROR(INDEX(Query_Source_View!$V:$V,MATCH(ROW()-14,Query_Source_View!$Z:$Z,0)),"")</f>
        <v>0</v>
      </c>
      <c r="N108" s="2" t="str">
        <f aca="false">IFERROR(INDEX(Query_Source_View!$W:$W,MATCH(ROW()-14,Query_Source_View!$Z:$Z,0)),"")</f>
        <v>Needs Review</v>
      </c>
      <c r="O108" s="2" t="str">
        <f aca="false">IFERROR(INDEX(Query_Source_View!$X:$X,MATCH(ROW()-14,Query_Source_View!$Z:$Z,0)),"")</f>
        <v>https://sensuallogic.com/artistcolordata</v>
      </c>
    </row>
    <row r="109" customFormat="false" ht="23.85" hidden="false" customHeight="false" outlineLevel="0" collapsed="false">
      <c r="A109" s="2" t="str">
        <f aca="false">IFERROR(INDEX(Query_Source_View!$A:$A,MATCH(ROW()-14,Query_Source_View!$Z:$Z,0)),"")</f>
        <v>PNT000077</v>
      </c>
      <c r="B109" s="2" t="str">
        <f aca="false">IFERROR(INDEX(Query_Source_View!$D:$D,MATCH(ROW()-14,Query_Source_View!$Z:$Z,0)),"")</f>
        <v>Winsor And Newton</v>
      </c>
      <c r="C109" s="2" t="str">
        <f aca="false">IFERROR(INDEX(Query_Source_View!$F:$F,MATCH(ROW()-14,Query_Source_View!$Z:$Z,0)),"")</f>
        <v>Gouache</v>
      </c>
      <c r="D109" s="2" t="str">
        <f aca="false">IFERROR(INDEX(Query_Source_View!$H:$H,MATCH(ROW()-14,Query_Source_View!$Z:$Z,0)),"")</f>
        <v>Designers Gouache</v>
      </c>
      <c r="E109" s="2" t="str">
        <f aca="false">IFERROR(INDEX(Query_Source_View!$J:$J,MATCH(ROW()-14,Query_Source_View!$Z:$Z,0)),"")</f>
        <v>Lamp Black</v>
      </c>
      <c r="F109" s="2" t="str">
        <f aca="false">IFERROR(INDEX(Query_Source_View!$L:$L,MATCH(ROW()-14,Query_Source_View!$Z:$Z,0)),"")</f>
        <v>Black Or Gray</v>
      </c>
      <c r="G109" s="2" t="str">
        <f aca="false">IFERROR(INDEX(Query_Source_View!$N:$N,MATCH(ROW()-14,Query_Source_View!$Z:$Z,0)),"")</f>
        <v>PBk7</v>
      </c>
      <c r="H109" s="2" t="n">
        <f aca="false">IFERROR(INDEX(Query_Source_View!$P:$P,MATCH(ROW()-14,Query_Source_View!$Z:$Z,0)),"")</f>
        <v>1</v>
      </c>
      <c r="I109" s="2" t="str">
        <f aca="false">IFERROR(INDEX(Query_Source_View!$Q:$Q,MATCH(ROW()-14,Query_Source_View!$Z:$Z,0)),"")</f>
        <v>Yes</v>
      </c>
      <c r="J109" s="2" t="n">
        <f aca="false">IFERROR(INDEX(Query_Source_View!$R:$R,MATCH(ROW()-14,Query_Source_View!$Z:$Z,0)),"")</f>
        <v>0</v>
      </c>
      <c r="K109" s="2" t="str">
        <f aca="false">IFERROR(INDEX(Query_Source_View!$T:$T,MATCH(ROW()-14,Query_Source_View!$Z:$Z,0)),"")</f>
        <v>AA</v>
      </c>
      <c r="L109" s="2" t="n">
        <f aca="false">IFERROR(INDEX(Query_Source_View!$U:$U,MATCH(ROW()-14,Query_Source_View!$Z:$Z,0)),"")</f>
        <v>0</v>
      </c>
      <c r="M109" s="2" t="n">
        <f aca="false">IFERROR(INDEX(Query_Source_View!$V:$V,MATCH(ROW()-14,Query_Source_View!$Z:$Z,0)),"")</f>
        <v>0</v>
      </c>
      <c r="N109" s="2" t="str">
        <f aca="false">IFERROR(INDEX(Query_Source_View!$W:$W,MATCH(ROW()-14,Query_Source_View!$Z:$Z,0)),"")</f>
        <v>Needs Review</v>
      </c>
      <c r="O109" s="2" t="str">
        <f aca="false">IFERROR(INDEX(Query_Source_View!$X:$X,MATCH(ROW()-14,Query_Source_View!$Z:$Z,0)),"")</f>
        <v>https://sensuallogic.com/artistcolordata</v>
      </c>
    </row>
    <row r="110" customFormat="false" ht="23.85" hidden="false" customHeight="false" outlineLevel="0" collapsed="false">
      <c r="A110" s="2" t="str">
        <f aca="false">IFERROR(INDEX(Query_Source_View!$A:$A,MATCH(ROW()-14,Query_Source_View!$Z:$Z,0)),"")</f>
        <v>PNT000078</v>
      </c>
      <c r="B110" s="2" t="str">
        <f aca="false">IFERROR(INDEX(Query_Source_View!$D:$D,MATCH(ROW()-14,Query_Source_View!$Z:$Z,0)),"")</f>
        <v>Winsor And Newton</v>
      </c>
      <c r="C110" s="2" t="str">
        <f aca="false">IFERROR(INDEX(Query_Source_View!$F:$F,MATCH(ROW()-14,Query_Source_View!$Z:$Z,0)),"")</f>
        <v>Gouache</v>
      </c>
      <c r="D110" s="2" t="str">
        <f aca="false">IFERROR(INDEX(Query_Source_View!$H:$H,MATCH(ROW()-14,Query_Source_View!$Z:$Z,0)),"")</f>
        <v>Designers Gouache</v>
      </c>
      <c r="E110" s="2" t="str">
        <f aca="false">IFERROR(INDEX(Query_Source_View!$J:$J,MATCH(ROW()-14,Query_Source_View!$Z:$Z,0)),"")</f>
        <v>Lemon Yellow</v>
      </c>
      <c r="F110" s="2" t="str">
        <f aca="false">IFERROR(INDEX(Query_Source_View!$L:$L,MATCH(ROW()-14,Query_Source_View!$Z:$Z,0)),"")</f>
        <v>Yellow</v>
      </c>
      <c r="G110" s="2" t="str">
        <f aca="false">IFERROR(INDEX(Query_Source_View!$N:$N,MATCH(ROW()-14,Query_Source_View!$Z:$Z,0)),"")</f>
        <v>PY3</v>
      </c>
      <c r="H110" s="2" t="n">
        <f aca="false">IFERROR(INDEX(Query_Source_View!$P:$P,MATCH(ROW()-14,Query_Source_View!$Z:$Z,0)),"")</f>
        <v>1</v>
      </c>
      <c r="I110" s="2" t="str">
        <f aca="false">IFERROR(INDEX(Query_Source_View!$Q:$Q,MATCH(ROW()-14,Query_Source_View!$Z:$Z,0)),"")</f>
        <v>Yes</v>
      </c>
      <c r="J110" s="2" t="n">
        <f aca="false">IFERROR(INDEX(Query_Source_View!$R:$R,MATCH(ROW()-14,Query_Source_View!$Z:$Z,0)),"")</f>
        <v>0</v>
      </c>
      <c r="K110" s="2" t="str">
        <f aca="false">IFERROR(INDEX(Query_Source_View!$T:$T,MATCH(ROW()-14,Query_Source_View!$Z:$Z,0)),"")</f>
        <v>A</v>
      </c>
      <c r="L110" s="2" t="n">
        <f aca="false">IFERROR(INDEX(Query_Source_View!$U:$U,MATCH(ROW()-14,Query_Source_View!$Z:$Z,0)),"")</f>
        <v>0</v>
      </c>
      <c r="M110" s="2" t="n">
        <f aca="false">IFERROR(INDEX(Query_Source_View!$V:$V,MATCH(ROW()-14,Query_Source_View!$Z:$Z,0)),"")</f>
        <v>0</v>
      </c>
      <c r="N110" s="2" t="str">
        <f aca="false">IFERROR(INDEX(Query_Source_View!$W:$W,MATCH(ROW()-14,Query_Source_View!$Z:$Z,0)),"")</f>
        <v>Needs Review</v>
      </c>
      <c r="O110" s="2" t="str">
        <f aca="false">IFERROR(INDEX(Query_Source_View!$X:$X,MATCH(ROW()-14,Query_Source_View!$Z:$Z,0)),"")</f>
        <v>https://sensuallogic.com/artistcolordata</v>
      </c>
    </row>
    <row r="111" customFormat="false" ht="23.85" hidden="false" customHeight="false" outlineLevel="0" collapsed="false">
      <c r="A111" s="2" t="str">
        <f aca="false">IFERROR(INDEX(Query_Source_View!$A:$A,MATCH(ROW()-14,Query_Source_View!$Z:$Z,0)),"")</f>
        <v>PNT000079</v>
      </c>
      <c r="B111" s="2" t="str">
        <f aca="false">IFERROR(INDEX(Query_Source_View!$D:$D,MATCH(ROW()-14,Query_Source_View!$Z:$Z,0)),"")</f>
        <v>Winsor And Newton</v>
      </c>
      <c r="C111" s="2" t="str">
        <f aca="false">IFERROR(INDEX(Query_Source_View!$F:$F,MATCH(ROW()-14,Query_Source_View!$Z:$Z,0)),"")</f>
        <v>Gouache</v>
      </c>
      <c r="D111" s="2" t="str">
        <f aca="false">IFERROR(INDEX(Query_Source_View!$H:$H,MATCH(ROW()-14,Query_Source_View!$Z:$Z,0)),"")</f>
        <v>Designers Gouache</v>
      </c>
      <c r="E111" s="2" t="str">
        <f aca="false">IFERROR(INDEX(Query_Source_View!$J:$J,MATCH(ROW()-14,Query_Source_View!$Z:$Z,0)),"")</f>
        <v>Light Purple</v>
      </c>
      <c r="F111" s="2" t="str">
        <f aca="false">IFERROR(INDEX(Query_Source_View!$L:$L,MATCH(ROW()-14,Query_Source_View!$Z:$Z,0)),"")</f>
        <v>Violet</v>
      </c>
      <c r="G111" s="2" t="str">
        <f aca="false">IFERROR(INDEX(Query_Source_View!$N:$N,MATCH(ROW()-14,Query_Source_View!$Z:$Z,0)),"")</f>
        <v>PV3</v>
      </c>
      <c r="H111" s="2" t="n">
        <f aca="false">IFERROR(INDEX(Query_Source_View!$P:$P,MATCH(ROW()-14,Query_Source_View!$Z:$Z,0)),"")</f>
        <v>1</v>
      </c>
      <c r="I111" s="2" t="str">
        <f aca="false">IFERROR(INDEX(Query_Source_View!$Q:$Q,MATCH(ROW()-14,Query_Source_View!$Z:$Z,0)),"")</f>
        <v>Yes</v>
      </c>
      <c r="J111" s="2" t="n">
        <f aca="false">IFERROR(INDEX(Query_Source_View!$R:$R,MATCH(ROW()-14,Query_Source_View!$Z:$Z,0)),"")</f>
        <v>0</v>
      </c>
      <c r="K111" s="2" t="str">
        <f aca="false">IFERROR(INDEX(Query_Source_View!$T:$T,MATCH(ROW()-14,Query_Source_View!$Z:$Z,0)),"")</f>
        <v>B</v>
      </c>
      <c r="L111" s="2" t="n">
        <f aca="false">IFERROR(INDEX(Query_Source_View!$U:$U,MATCH(ROW()-14,Query_Source_View!$Z:$Z,0)),"")</f>
        <v>0</v>
      </c>
      <c r="M111" s="2" t="n">
        <f aca="false">IFERROR(INDEX(Query_Source_View!$V:$V,MATCH(ROW()-14,Query_Source_View!$Z:$Z,0)),"")</f>
        <v>0</v>
      </c>
      <c r="N111" s="2" t="str">
        <f aca="false">IFERROR(INDEX(Query_Source_View!$W:$W,MATCH(ROW()-14,Query_Source_View!$Z:$Z,0)),"")</f>
        <v>Needs Review</v>
      </c>
      <c r="O111" s="2" t="str">
        <f aca="false">IFERROR(INDEX(Query_Source_View!$X:$X,MATCH(ROW()-14,Query_Source_View!$Z:$Z,0)),"")</f>
        <v>https://sensuallogic.com/artistcolordata</v>
      </c>
    </row>
    <row r="112" customFormat="false" ht="23.85" hidden="false" customHeight="false" outlineLevel="0" collapsed="false">
      <c r="A112" s="2" t="str">
        <f aca="false">IFERROR(INDEX(Query_Source_View!$A:$A,MATCH(ROW()-14,Query_Source_View!$Z:$Z,0)),"")</f>
        <v>PNT000080</v>
      </c>
      <c r="B112" s="2" t="str">
        <f aca="false">IFERROR(INDEX(Query_Source_View!$D:$D,MATCH(ROW()-14,Query_Source_View!$Z:$Z,0)),"")</f>
        <v>Winsor And Newton</v>
      </c>
      <c r="C112" s="2" t="str">
        <f aca="false">IFERROR(INDEX(Query_Source_View!$F:$F,MATCH(ROW()-14,Query_Source_View!$Z:$Z,0)),"")</f>
        <v>Gouache</v>
      </c>
      <c r="D112" s="2" t="str">
        <f aca="false">IFERROR(INDEX(Query_Source_View!$H:$H,MATCH(ROW()-14,Query_Source_View!$Z:$Z,0)),"")</f>
        <v>Designers Gouache</v>
      </c>
      <c r="E112" s="2" t="str">
        <f aca="false">IFERROR(INDEX(Query_Source_View!$J:$J,MATCH(ROW()-14,Query_Source_View!$Z:$Z,0)),"")</f>
        <v>Magenta</v>
      </c>
      <c r="F112" s="2" t="str">
        <f aca="false">IFERROR(INDEX(Query_Source_View!$L:$L,MATCH(ROW()-14,Query_Source_View!$Z:$Z,0)),"")</f>
        <v>Red</v>
      </c>
      <c r="G112" s="2" t="str">
        <f aca="false">IFERROR(INDEX(Query_Source_View!$N:$N,MATCH(ROW()-14,Query_Source_View!$Z:$Z,0)),"")</f>
        <v>PR173</v>
      </c>
      <c r="H112" s="2" t="n">
        <f aca="false">IFERROR(INDEX(Query_Source_View!$P:$P,MATCH(ROW()-14,Query_Source_View!$Z:$Z,0)),"")</f>
        <v>2</v>
      </c>
      <c r="I112" s="2" t="str">
        <f aca="false">IFERROR(INDEX(Query_Source_View!$Q:$Q,MATCH(ROW()-14,Query_Source_View!$Z:$Z,0)),"")</f>
        <v>No</v>
      </c>
      <c r="J112" s="2" t="n">
        <f aca="false">IFERROR(INDEX(Query_Source_View!$R:$R,MATCH(ROW()-14,Query_Source_View!$Z:$Z,0)),"")</f>
        <v>0</v>
      </c>
      <c r="K112" s="2" t="str">
        <f aca="false">IFERROR(INDEX(Query_Source_View!$T:$T,MATCH(ROW()-14,Query_Source_View!$Z:$Z,0)),"")</f>
        <v>C</v>
      </c>
      <c r="L112" s="2" t="n">
        <f aca="false">IFERROR(INDEX(Query_Source_View!$U:$U,MATCH(ROW()-14,Query_Source_View!$Z:$Z,0)),"")</f>
        <v>0</v>
      </c>
      <c r="M112" s="2" t="n">
        <f aca="false">IFERROR(INDEX(Query_Source_View!$V:$V,MATCH(ROW()-14,Query_Source_View!$Z:$Z,0)),"")</f>
        <v>0</v>
      </c>
      <c r="N112" s="2" t="str">
        <f aca="false">IFERROR(INDEX(Query_Source_View!$W:$W,MATCH(ROW()-14,Query_Source_View!$Z:$Z,0)),"")</f>
        <v>Needs Review</v>
      </c>
      <c r="O112" s="2" t="str">
        <f aca="false">IFERROR(INDEX(Query_Source_View!$X:$X,MATCH(ROW()-14,Query_Source_View!$Z:$Z,0)),"")</f>
        <v>https://sensuallogic.com/artistcolordata</v>
      </c>
    </row>
    <row r="113" customFormat="false" ht="23.85" hidden="false" customHeight="false" outlineLevel="0" collapsed="false">
      <c r="A113" s="2" t="str">
        <f aca="false">IFERROR(INDEX(Query_Source_View!$A:$A,MATCH(ROW()-14,Query_Source_View!$Z:$Z,0)),"")</f>
        <v>PNT000080</v>
      </c>
      <c r="B113" s="2" t="str">
        <f aca="false">IFERROR(INDEX(Query_Source_View!$D:$D,MATCH(ROW()-14,Query_Source_View!$Z:$Z,0)),"")</f>
        <v>Winsor And Newton</v>
      </c>
      <c r="C113" s="2" t="str">
        <f aca="false">IFERROR(INDEX(Query_Source_View!$F:$F,MATCH(ROW()-14,Query_Source_View!$Z:$Z,0)),"")</f>
        <v>Gouache</v>
      </c>
      <c r="D113" s="2" t="str">
        <f aca="false">IFERROR(INDEX(Query_Source_View!$H:$H,MATCH(ROW()-14,Query_Source_View!$Z:$Z,0)),"")</f>
        <v>Designers Gouache</v>
      </c>
      <c r="E113" s="2" t="str">
        <f aca="false">IFERROR(INDEX(Query_Source_View!$J:$J,MATCH(ROW()-14,Query_Source_View!$Z:$Z,0)),"")</f>
        <v>Magenta</v>
      </c>
      <c r="F113" s="2" t="str">
        <f aca="false">IFERROR(INDEX(Query_Source_View!$L:$L,MATCH(ROW()-14,Query_Source_View!$Z:$Z,0)),"")</f>
        <v>Red</v>
      </c>
      <c r="G113" s="2" t="str">
        <f aca="false">IFERROR(INDEX(Query_Source_View!$N:$N,MATCH(ROW()-14,Query_Source_View!$Z:$Z,0)),"")</f>
        <v>PV2</v>
      </c>
      <c r="H113" s="2" t="n">
        <f aca="false">IFERROR(INDEX(Query_Source_View!$P:$P,MATCH(ROW()-14,Query_Source_View!$Z:$Z,0)),"")</f>
        <v>2</v>
      </c>
      <c r="I113" s="2" t="str">
        <f aca="false">IFERROR(INDEX(Query_Source_View!$Q:$Q,MATCH(ROW()-14,Query_Source_View!$Z:$Z,0)),"")</f>
        <v>No</v>
      </c>
      <c r="J113" s="2" t="n">
        <f aca="false">IFERROR(INDEX(Query_Source_View!$R:$R,MATCH(ROW()-14,Query_Source_View!$Z:$Z,0)),"")</f>
        <v>0</v>
      </c>
      <c r="K113" s="2" t="str">
        <f aca="false">IFERROR(INDEX(Query_Source_View!$T:$T,MATCH(ROW()-14,Query_Source_View!$Z:$Z,0)),"")</f>
        <v>C</v>
      </c>
      <c r="L113" s="2" t="n">
        <f aca="false">IFERROR(INDEX(Query_Source_View!$U:$U,MATCH(ROW()-14,Query_Source_View!$Z:$Z,0)),"")</f>
        <v>0</v>
      </c>
      <c r="M113" s="2" t="n">
        <f aca="false">IFERROR(INDEX(Query_Source_View!$V:$V,MATCH(ROW()-14,Query_Source_View!$Z:$Z,0)),"")</f>
        <v>0</v>
      </c>
      <c r="N113" s="2" t="str">
        <f aca="false">IFERROR(INDEX(Query_Source_View!$W:$W,MATCH(ROW()-14,Query_Source_View!$Z:$Z,0)),"")</f>
        <v>Needs Review</v>
      </c>
      <c r="O113" s="2" t="str">
        <f aca="false">IFERROR(INDEX(Query_Source_View!$X:$X,MATCH(ROW()-14,Query_Source_View!$Z:$Z,0)),"")</f>
        <v>https://sensuallogic.com/artistcolordata</v>
      </c>
    </row>
    <row r="114" customFormat="false" ht="23.85" hidden="false" customHeight="false" outlineLevel="0" collapsed="false">
      <c r="A114" s="2" t="str">
        <f aca="false">IFERROR(INDEX(Query_Source_View!$A:$A,MATCH(ROW()-14,Query_Source_View!$Z:$Z,0)),"")</f>
        <v>PNT000081</v>
      </c>
      <c r="B114" s="2" t="str">
        <f aca="false">IFERROR(INDEX(Query_Source_View!$D:$D,MATCH(ROW()-14,Query_Source_View!$Z:$Z,0)),"")</f>
        <v>Winsor And Newton</v>
      </c>
      <c r="C114" s="2" t="str">
        <f aca="false">IFERROR(INDEX(Query_Source_View!$F:$F,MATCH(ROW()-14,Query_Source_View!$Z:$Z,0)),"")</f>
        <v>Gouache</v>
      </c>
      <c r="D114" s="2" t="str">
        <f aca="false">IFERROR(INDEX(Query_Source_View!$H:$H,MATCH(ROW()-14,Query_Source_View!$Z:$Z,0)),"")</f>
        <v>Designers Gouache</v>
      </c>
      <c r="E114" s="2" t="str">
        <f aca="false">IFERROR(INDEX(Query_Source_View!$J:$J,MATCH(ROW()-14,Query_Source_View!$Z:$Z,0)),"")</f>
        <v>Marigold Yellow</v>
      </c>
      <c r="F114" s="2" t="str">
        <f aca="false">IFERROR(INDEX(Query_Source_View!$L:$L,MATCH(ROW()-14,Query_Source_View!$Z:$Z,0)),"")</f>
        <v>Yellow</v>
      </c>
      <c r="G114" s="2" t="str">
        <f aca="false">IFERROR(INDEX(Query_Source_View!$N:$N,MATCH(ROW()-14,Query_Source_View!$Z:$Z,0)),"")</f>
        <v>PO72</v>
      </c>
      <c r="H114" s="2" t="n">
        <f aca="false">IFERROR(INDEX(Query_Source_View!$P:$P,MATCH(ROW()-14,Query_Source_View!$Z:$Z,0)),"")</f>
        <v>2</v>
      </c>
      <c r="I114" s="2" t="str">
        <f aca="false">IFERROR(INDEX(Query_Source_View!$Q:$Q,MATCH(ROW()-14,Query_Source_View!$Z:$Z,0)),"")</f>
        <v>No</v>
      </c>
      <c r="J114" s="2" t="n">
        <f aca="false">IFERROR(INDEX(Query_Source_View!$R:$R,MATCH(ROW()-14,Query_Source_View!$Z:$Z,0)),"")</f>
        <v>0</v>
      </c>
      <c r="K114" s="2" t="str">
        <f aca="false">IFERROR(INDEX(Query_Source_View!$T:$T,MATCH(ROW()-14,Query_Source_View!$Z:$Z,0)),"")</f>
        <v>A</v>
      </c>
      <c r="L114" s="2" t="n">
        <f aca="false">IFERROR(INDEX(Query_Source_View!$U:$U,MATCH(ROW()-14,Query_Source_View!$Z:$Z,0)),"")</f>
        <v>0</v>
      </c>
      <c r="M114" s="2" t="n">
        <f aca="false">IFERROR(INDEX(Query_Source_View!$V:$V,MATCH(ROW()-14,Query_Source_View!$Z:$Z,0)),"")</f>
        <v>0</v>
      </c>
      <c r="N114" s="2" t="str">
        <f aca="false">IFERROR(INDEX(Query_Source_View!$W:$W,MATCH(ROW()-14,Query_Source_View!$Z:$Z,0)),"")</f>
        <v>Needs Review</v>
      </c>
      <c r="O114" s="2" t="str">
        <f aca="false">IFERROR(INDEX(Query_Source_View!$X:$X,MATCH(ROW()-14,Query_Source_View!$Z:$Z,0)),"")</f>
        <v>https://sensuallogic.com/artistcolordata</v>
      </c>
    </row>
    <row r="115" customFormat="false" ht="23.85" hidden="false" customHeight="false" outlineLevel="0" collapsed="false">
      <c r="A115" s="2" t="str">
        <f aca="false">IFERROR(INDEX(Query_Source_View!$A:$A,MATCH(ROW()-14,Query_Source_View!$Z:$Z,0)),"")</f>
        <v>PNT000081</v>
      </c>
      <c r="B115" s="2" t="str">
        <f aca="false">IFERROR(INDEX(Query_Source_View!$D:$D,MATCH(ROW()-14,Query_Source_View!$Z:$Z,0)),"")</f>
        <v>Winsor And Newton</v>
      </c>
      <c r="C115" s="2" t="str">
        <f aca="false">IFERROR(INDEX(Query_Source_View!$F:$F,MATCH(ROW()-14,Query_Source_View!$Z:$Z,0)),"")</f>
        <v>Gouache</v>
      </c>
      <c r="D115" s="2" t="str">
        <f aca="false">IFERROR(INDEX(Query_Source_View!$H:$H,MATCH(ROW()-14,Query_Source_View!$Z:$Z,0)),"")</f>
        <v>Designers Gouache</v>
      </c>
      <c r="E115" s="2" t="str">
        <f aca="false">IFERROR(INDEX(Query_Source_View!$J:$J,MATCH(ROW()-14,Query_Source_View!$Z:$Z,0)),"")</f>
        <v>Marigold Yellow</v>
      </c>
      <c r="F115" s="2" t="str">
        <f aca="false">IFERROR(INDEX(Query_Source_View!$L:$L,MATCH(ROW()-14,Query_Source_View!$Z:$Z,0)),"")</f>
        <v>Yellow</v>
      </c>
      <c r="G115" s="2" t="str">
        <f aca="false">IFERROR(INDEX(Query_Source_View!$N:$N,MATCH(ROW()-14,Query_Source_View!$Z:$Z,0)),"")</f>
        <v>PO73</v>
      </c>
      <c r="H115" s="2" t="n">
        <f aca="false">IFERROR(INDEX(Query_Source_View!$P:$P,MATCH(ROW()-14,Query_Source_View!$Z:$Z,0)),"")</f>
        <v>2</v>
      </c>
      <c r="I115" s="2" t="str">
        <f aca="false">IFERROR(INDEX(Query_Source_View!$Q:$Q,MATCH(ROW()-14,Query_Source_View!$Z:$Z,0)),"")</f>
        <v>No</v>
      </c>
      <c r="J115" s="2" t="n">
        <f aca="false">IFERROR(INDEX(Query_Source_View!$R:$R,MATCH(ROW()-14,Query_Source_View!$Z:$Z,0)),"")</f>
        <v>0</v>
      </c>
      <c r="K115" s="2" t="str">
        <f aca="false">IFERROR(INDEX(Query_Source_View!$T:$T,MATCH(ROW()-14,Query_Source_View!$Z:$Z,0)),"")</f>
        <v>A</v>
      </c>
      <c r="L115" s="2" t="n">
        <f aca="false">IFERROR(INDEX(Query_Source_View!$U:$U,MATCH(ROW()-14,Query_Source_View!$Z:$Z,0)),"")</f>
        <v>0</v>
      </c>
      <c r="M115" s="2" t="n">
        <f aca="false">IFERROR(INDEX(Query_Source_View!$V:$V,MATCH(ROW()-14,Query_Source_View!$Z:$Z,0)),"")</f>
        <v>0</v>
      </c>
      <c r="N115" s="2" t="str">
        <f aca="false">IFERROR(INDEX(Query_Source_View!$W:$W,MATCH(ROW()-14,Query_Source_View!$Z:$Z,0)),"")</f>
        <v>Needs Review</v>
      </c>
      <c r="O115" s="2" t="str">
        <f aca="false">IFERROR(INDEX(Query_Source_View!$X:$X,MATCH(ROW()-14,Query_Source_View!$Z:$Z,0)),"")</f>
        <v>https://sensuallogic.com/artistcolordata</v>
      </c>
    </row>
    <row r="116" customFormat="false" ht="23.85" hidden="false" customHeight="false" outlineLevel="0" collapsed="false">
      <c r="A116" s="2" t="str">
        <f aca="false">IFERROR(INDEX(Query_Source_View!$A:$A,MATCH(ROW()-14,Query_Source_View!$Z:$Z,0)),"")</f>
        <v>PNT000082</v>
      </c>
      <c r="B116" s="2" t="str">
        <f aca="false">IFERROR(INDEX(Query_Source_View!$D:$D,MATCH(ROW()-14,Query_Source_View!$Z:$Z,0)),"")</f>
        <v>Winsor And Newton</v>
      </c>
      <c r="C116" s="2" t="str">
        <f aca="false">IFERROR(INDEX(Query_Source_View!$F:$F,MATCH(ROW()-14,Query_Source_View!$Z:$Z,0)),"")</f>
        <v>Gouache</v>
      </c>
      <c r="D116" s="2" t="str">
        <f aca="false">IFERROR(INDEX(Query_Source_View!$H:$H,MATCH(ROW()-14,Query_Source_View!$Z:$Z,0)),"")</f>
        <v>Designers Gouache</v>
      </c>
      <c r="E116" s="2" t="str">
        <f aca="false">IFERROR(INDEX(Query_Source_View!$J:$J,MATCH(ROW()-14,Query_Source_View!$Z:$Z,0)),"")</f>
        <v>Naples Yellow Deep</v>
      </c>
      <c r="F116" s="2" t="str">
        <f aca="false">IFERROR(INDEX(Query_Source_View!$L:$L,MATCH(ROW()-14,Query_Source_View!$Z:$Z,0)),"")</f>
        <v>Yellow</v>
      </c>
      <c r="G116" s="2" t="str">
        <f aca="false">IFERROR(INDEX(Query_Source_View!$N:$N,MATCH(ROW()-14,Query_Source_View!$Z:$Z,0)),"")</f>
        <v>PBr24</v>
      </c>
      <c r="H116" s="2" t="n">
        <f aca="false">IFERROR(INDEX(Query_Source_View!$P:$P,MATCH(ROW()-14,Query_Source_View!$Z:$Z,0)),"")</f>
        <v>1</v>
      </c>
      <c r="I116" s="2" t="str">
        <f aca="false">IFERROR(INDEX(Query_Source_View!$Q:$Q,MATCH(ROW()-14,Query_Source_View!$Z:$Z,0)),"")</f>
        <v>Yes</v>
      </c>
      <c r="J116" s="2" t="n">
        <f aca="false">IFERROR(INDEX(Query_Source_View!$R:$R,MATCH(ROW()-14,Query_Source_View!$Z:$Z,0)),"")</f>
        <v>0</v>
      </c>
      <c r="K116" s="2" t="str">
        <f aca="false">IFERROR(INDEX(Query_Source_View!$T:$T,MATCH(ROW()-14,Query_Source_View!$Z:$Z,0)),"")</f>
        <v>AA</v>
      </c>
      <c r="L116" s="2" t="n">
        <f aca="false">IFERROR(INDEX(Query_Source_View!$U:$U,MATCH(ROW()-14,Query_Source_View!$Z:$Z,0)),"")</f>
        <v>0</v>
      </c>
      <c r="M116" s="2" t="n">
        <f aca="false">IFERROR(INDEX(Query_Source_View!$V:$V,MATCH(ROW()-14,Query_Source_View!$Z:$Z,0)),"")</f>
        <v>0</v>
      </c>
      <c r="N116" s="2" t="str">
        <f aca="false">IFERROR(INDEX(Query_Source_View!$W:$W,MATCH(ROW()-14,Query_Source_View!$Z:$Z,0)),"")</f>
        <v>Needs Review</v>
      </c>
      <c r="O116" s="2" t="str">
        <f aca="false">IFERROR(INDEX(Query_Source_View!$X:$X,MATCH(ROW()-14,Query_Source_View!$Z:$Z,0)),"")</f>
        <v>https://sensuallogic.com/artistcolordata</v>
      </c>
    </row>
    <row r="117" customFormat="false" ht="23.85" hidden="false" customHeight="false" outlineLevel="0" collapsed="false">
      <c r="A117" s="2" t="str">
        <f aca="false">IFERROR(INDEX(Query_Source_View!$A:$A,MATCH(ROW()-14,Query_Source_View!$Z:$Z,0)),"")</f>
        <v>PNT000083</v>
      </c>
      <c r="B117" s="2" t="str">
        <f aca="false">IFERROR(INDEX(Query_Source_View!$D:$D,MATCH(ROW()-14,Query_Source_View!$Z:$Z,0)),"")</f>
        <v>Winsor And Newton</v>
      </c>
      <c r="C117" s="2" t="str">
        <f aca="false">IFERROR(INDEX(Query_Source_View!$F:$F,MATCH(ROW()-14,Query_Source_View!$Z:$Z,0)),"")</f>
        <v>Gouache</v>
      </c>
      <c r="D117" s="2" t="str">
        <f aca="false">IFERROR(INDEX(Query_Source_View!$H:$H,MATCH(ROW()-14,Query_Source_View!$Z:$Z,0)),"")</f>
        <v>Designers Gouache</v>
      </c>
      <c r="E117" s="2" t="str">
        <f aca="false">IFERROR(INDEX(Query_Source_View!$J:$J,MATCH(ROW()-14,Query_Source_View!$Z:$Z,0)),"")</f>
        <v>Orange Lake Light</v>
      </c>
      <c r="F117" s="2" t="str">
        <f aca="false">IFERROR(INDEX(Query_Source_View!$L:$L,MATCH(ROW()-14,Query_Source_View!$Z:$Z,0)),"")</f>
        <v>Orange</v>
      </c>
      <c r="G117" s="2" t="str">
        <f aca="false">IFERROR(INDEX(Query_Source_View!$N:$N,MATCH(ROW()-14,Query_Source_View!$Z:$Z,0)),"")</f>
        <v>PY65</v>
      </c>
      <c r="H117" s="2" t="n">
        <f aca="false">IFERROR(INDEX(Query_Source_View!$P:$P,MATCH(ROW()-14,Query_Source_View!$Z:$Z,0)),"")</f>
        <v>2</v>
      </c>
      <c r="I117" s="2" t="str">
        <f aca="false">IFERROR(INDEX(Query_Source_View!$Q:$Q,MATCH(ROW()-14,Query_Source_View!$Z:$Z,0)),"")</f>
        <v>No</v>
      </c>
      <c r="J117" s="2" t="n">
        <f aca="false">IFERROR(INDEX(Query_Source_View!$R:$R,MATCH(ROW()-14,Query_Source_View!$Z:$Z,0)),"")</f>
        <v>0</v>
      </c>
      <c r="K117" s="2" t="str">
        <f aca="false">IFERROR(INDEX(Query_Source_View!$T:$T,MATCH(ROW()-14,Query_Source_View!$Z:$Z,0)),"")</f>
        <v>A</v>
      </c>
      <c r="L117" s="2" t="n">
        <f aca="false">IFERROR(INDEX(Query_Source_View!$U:$U,MATCH(ROW()-14,Query_Source_View!$Z:$Z,0)),"")</f>
        <v>0</v>
      </c>
      <c r="M117" s="2" t="n">
        <f aca="false">IFERROR(INDEX(Query_Source_View!$V:$V,MATCH(ROW()-14,Query_Source_View!$Z:$Z,0)),"")</f>
        <v>0</v>
      </c>
      <c r="N117" s="2" t="str">
        <f aca="false">IFERROR(INDEX(Query_Source_View!$W:$W,MATCH(ROW()-14,Query_Source_View!$Z:$Z,0)),"")</f>
        <v>Needs Review</v>
      </c>
      <c r="O117" s="2" t="str">
        <f aca="false">IFERROR(INDEX(Query_Source_View!$X:$X,MATCH(ROW()-14,Query_Source_View!$Z:$Z,0)),"")</f>
        <v>https://sensuallogic.com/artistcolordata</v>
      </c>
    </row>
    <row r="118" customFormat="false" ht="23.85" hidden="false" customHeight="false" outlineLevel="0" collapsed="false">
      <c r="A118" s="2" t="str">
        <f aca="false">IFERROR(INDEX(Query_Source_View!$A:$A,MATCH(ROW()-14,Query_Source_View!$Z:$Z,0)),"")</f>
        <v>PNT000083</v>
      </c>
      <c r="B118" s="2" t="str">
        <f aca="false">IFERROR(INDEX(Query_Source_View!$D:$D,MATCH(ROW()-14,Query_Source_View!$Z:$Z,0)),"")</f>
        <v>Winsor And Newton</v>
      </c>
      <c r="C118" s="2" t="str">
        <f aca="false">IFERROR(INDEX(Query_Source_View!$F:$F,MATCH(ROW()-14,Query_Source_View!$Z:$Z,0)),"")</f>
        <v>Gouache</v>
      </c>
      <c r="D118" s="2" t="str">
        <f aca="false">IFERROR(INDEX(Query_Source_View!$H:$H,MATCH(ROW()-14,Query_Source_View!$Z:$Z,0)),"")</f>
        <v>Designers Gouache</v>
      </c>
      <c r="E118" s="2" t="str">
        <f aca="false">IFERROR(INDEX(Query_Source_View!$J:$J,MATCH(ROW()-14,Query_Source_View!$Z:$Z,0)),"")</f>
        <v>Orange Lake Light</v>
      </c>
      <c r="F118" s="2" t="str">
        <f aca="false">IFERROR(INDEX(Query_Source_View!$L:$L,MATCH(ROW()-14,Query_Source_View!$Z:$Z,0)),"")</f>
        <v>Orange</v>
      </c>
      <c r="G118" s="2" t="str">
        <f aca="false">IFERROR(INDEX(Query_Source_View!$N:$N,MATCH(ROW()-14,Query_Source_View!$Z:$Z,0)),"")</f>
        <v>PR9</v>
      </c>
      <c r="H118" s="2" t="n">
        <f aca="false">IFERROR(INDEX(Query_Source_View!$P:$P,MATCH(ROW()-14,Query_Source_View!$Z:$Z,0)),"")</f>
        <v>2</v>
      </c>
      <c r="I118" s="2" t="str">
        <f aca="false">IFERROR(INDEX(Query_Source_View!$Q:$Q,MATCH(ROW()-14,Query_Source_View!$Z:$Z,0)),"")</f>
        <v>No</v>
      </c>
      <c r="J118" s="2" t="n">
        <f aca="false">IFERROR(INDEX(Query_Source_View!$R:$R,MATCH(ROW()-14,Query_Source_View!$Z:$Z,0)),"")</f>
        <v>0</v>
      </c>
      <c r="K118" s="2" t="str">
        <f aca="false">IFERROR(INDEX(Query_Source_View!$T:$T,MATCH(ROW()-14,Query_Source_View!$Z:$Z,0)),"")</f>
        <v>A</v>
      </c>
      <c r="L118" s="2" t="n">
        <f aca="false">IFERROR(INDEX(Query_Source_View!$U:$U,MATCH(ROW()-14,Query_Source_View!$Z:$Z,0)),"")</f>
        <v>0</v>
      </c>
      <c r="M118" s="2" t="n">
        <f aca="false">IFERROR(INDEX(Query_Source_View!$V:$V,MATCH(ROW()-14,Query_Source_View!$Z:$Z,0)),"")</f>
        <v>0</v>
      </c>
      <c r="N118" s="2" t="str">
        <f aca="false">IFERROR(INDEX(Query_Source_View!$W:$W,MATCH(ROW()-14,Query_Source_View!$Z:$Z,0)),"")</f>
        <v>Needs Review</v>
      </c>
      <c r="O118" s="2" t="str">
        <f aca="false">IFERROR(INDEX(Query_Source_View!$X:$X,MATCH(ROW()-14,Query_Source_View!$Z:$Z,0)),"")</f>
        <v>https://sensuallogic.com/artistcolordata</v>
      </c>
    </row>
    <row r="119" customFormat="false" ht="23.85" hidden="false" customHeight="false" outlineLevel="0" collapsed="false">
      <c r="A119" s="2" t="str">
        <f aca="false">IFERROR(INDEX(Query_Source_View!$A:$A,MATCH(ROW()-14,Query_Source_View!$Z:$Z,0)),"")</f>
        <v>PNT000084</v>
      </c>
      <c r="B119" s="2" t="str">
        <f aca="false">IFERROR(INDEX(Query_Source_View!$D:$D,MATCH(ROW()-14,Query_Source_View!$Z:$Z,0)),"")</f>
        <v>Winsor And Newton</v>
      </c>
      <c r="C119" s="2" t="str">
        <f aca="false">IFERROR(INDEX(Query_Source_View!$F:$F,MATCH(ROW()-14,Query_Source_View!$Z:$Z,0)),"")</f>
        <v>Gouache</v>
      </c>
      <c r="D119" s="2" t="str">
        <f aca="false">IFERROR(INDEX(Query_Source_View!$H:$H,MATCH(ROW()-14,Query_Source_View!$Z:$Z,0)),"")</f>
        <v>Designers Gouache</v>
      </c>
      <c r="E119" s="2" t="str">
        <f aca="false">IFERROR(INDEX(Query_Source_View!$J:$J,MATCH(ROW()-14,Query_Source_View!$Z:$Z,0)),"")</f>
        <v>Oxide of Chromium</v>
      </c>
      <c r="F119" s="2" t="str">
        <f aca="false">IFERROR(INDEX(Query_Source_View!$L:$L,MATCH(ROW()-14,Query_Source_View!$Z:$Z,0)),"")</f>
        <v>Green</v>
      </c>
      <c r="G119" s="2" t="str">
        <f aca="false">IFERROR(INDEX(Query_Source_View!$N:$N,MATCH(ROW()-14,Query_Source_View!$Z:$Z,0)),"")</f>
        <v>PG17</v>
      </c>
      <c r="H119" s="2" t="n">
        <f aca="false">IFERROR(INDEX(Query_Source_View!$P:$P,MATCH(ROW()-14,Query_Source_View!$Z:$Z,0)),"")</f>
        <v>1</v>
      </c>
      <c r="I119" s="2" t="str">
        <f aca="false">IFERROR(INDEX(Query_Source_View!$Q:$Q,MATCH(ROW()-14,Query_Source_View!$Z:$Z,0)),"")</f>
        <v>Yes</v>
      </c>
      <c r="J119" s="2" t="n">
        <f aca="false">IFERROR(INDEX(Query_Source_View!$R:$R,MATCH(ROW()-14,Query_Source_View!$Z:$Z,0)),"")</f>
        <v>0</v>
      </c>
      <c r="K119" s="2" t="str">
        <f aca="false">IFERROR(INDEX(Query_Source_View!$T:$T,MATCH(ROW()-14,Query_Source_View!$Z:$Z,0)),"")</f>
        <v>A</v>
      </c>
      <c r="L119" s="2" t="n">
        <f aca="false">IFERROR(INDEX(Query_Source_View!$U:$U,MATCH(ROW()-14,Query_Source_View!$Z:$Z,0)),"")</f>
        <v>0</v>
      </c>
      <c r="M119" s="2" t="n">
        <f aca="false">IFERROR(INDEX(Query_Source_View!$V:$V,MATCH(ROW()-14,Query_Source_View!$Z:$Z,0)),"")</f>
        <v>0</v>
      </c>
      <c r="N119" s="2" t="str">
        <f aca="false">IFERROR(INDEX(Query_Source_View!$W:$W,MATCH(ROW()-14,Query_Source_View!$Z:$Z,0)),"")</f>
        <v>Needs Review</v>
      </c>
      <c r="O119" s="2" t="str">
        <f aca="false">IFERROR(INDEX(Query_Source_View!$X:$X,MATCH(ROW()-14,Query_Source_View!$Z:$Z,0)),"")</f>
        <v>https://sensuallogic.com/artistcolordata</v>
      </c>
    </row>
    <row r="120" customFormat="false" ht="23.85" hidden="false" customHeight="false" outlineLevel="0" collapsed="false">
      <c r="A120" s="2" t="str">
        <f aca="false">IFERROR(INDEX(Query_Source_View!$A:$A,MATCH(ROW()-14,Query_Source_View!$Z:$Z,0)),"")</f>
        <v>PNT000085</v>
      </c>
      <c r="B120" s="2" t="str">
        <f aca="false">IFERROR(INDEX(Query_Source_View!$D:$D,MATCH(ROW()-14,Query_Source_View!$Z:$Z,0)),"")</f>
        <v>Winsor And Newton</v>
      </c>
      <c r="C120" s="2" t="str">
        <f aca="false">IFERROR(INDEX(Query_Source_View!$F:$F,MATCH(ROW()-14,Query_Source_View!$Z:$Z,0)),"")</f>
        <v>Gouache</v>
      </c>
      <c r="D120" s="2" t="str">
        <f aca="false">IFERROR(INDEX(Query_Source_View!$H:$H,MATCH(ROW()-14,Query_Source_View!$Z:$Z,0)),"")</f>
        <v>Designers Gouache</v>
      </c>
      <c r="E120" s="2" t="str">
        <f aca="false">IFERROR(INDEX(Query_Source_View!$J:$J,MATCH(ROW()-14,Query_Source_View!$Z:$Z,0)),"")</f>
        <v>Permanent Alizarin Crimson</v>
      </c>
      <c r="F120" s="2" t="str">
        <f aca="false">IFERROR(INDEX(Query_Source_View!$L:$L,MATCH(ROW()-14,Query_Source_View!$Z:$Z,0)),"")</f>
        <v>Red</v>
      </c>
      <c r="G120" s="2" t="str">
        <f aca="false">IFERROR(INDEX(Query_Source_View!$N:$N,MATCH(ROW()-14,Query_Source_View!$Z:$Z,0)),"")</f>
        <v>PR176</v>
      </c>
      <c r="H120" s="2" t="n">
        <f aca="false">IFERROR(INDEX(Query_Source_View!$P:$P,MATCH(ROW()-14,Query_Source_View!$Z:$Z,0)),"")</f>
        <v>1</v>
      </c>
      <c r="I120" s="2" t="str">
        <f aca="false">IFERROR(INDEX(Query_Source_View!$Q:$Q,MATCH(ROW()-14,Query_Source_View!$Z:$Z,0)),"")</f>
        <v>Yes</v>
      </c>
      <c r="J120" s="2" t="n">
        <f aca="false">IFERROR(INDEX(Query_Source_View!$R:$R,MATCH(ROW()-14,Query_Source_View!$Z:$Z,0)),"")</f>
        <v>0</v>
      </c>
      <c r="K120" s="2" t="str">
        <f aca="false">IFERROR(INDEX(Query_Source_View!$T:$T,MATCH(ROW()-14,Query_Source_View!$Z:$Z,0)),"")</f>
        <v>A</v>
      </c>
      <c r="L120" s="2" t="n">
        <f aca="false">IFERROR(INDEX(Query_Source_View!$U:$U,MATCH(ROW()-14,Query_Source_View!$Z:$Z,0)),"")</f>
        <v>0</v>
      </c>
      <c r="M120" s="2" t="n">
        <f aca="false">IFERROR(INDEX(Query_Source_View!$V:$V,MATCH(ROW()-14,Query_Source_View!$Z:$Z,0)),"")</f>
        <v>0</v>
      </c>
      <c r="N120" s="2" t="str">
        <f aca="false">IFERROR(INDEX(Query_Source_View!$W:$W,MATCH(ROW()-14,Query_Source_View!$Z:$Z,0)),"")</f>
        <v>Needs Review</v>
      </c>
      <c r="O120" s="2" t="str">
        <f aca="false">IFERROR(INDEX(Query_Source_View!$X:$X,MATCH(ROW()-14,Query_Source_View!$Z:$Z,0)),"")</f>
        <v>https://sensuallogic.com/artistcolordata</v>
      </c>
    </row>
    <row r="121" customFormat="false" ht="23.85" hidden="false" customHeight="false" outlineLevel="0" collapsed="false">
      <c r="A121" s="2" t="str">
        <f aca="false">IFERROR(INDEX(Query_Source_View!$A:$A,MATCH(ROW()-14,Query_Source_View!$Z:$Z,0)),"")</f>
        <v>PNT000086</v>
      </c>
      <c r="B121" s="2" t="str">
        <f aca="false">IFERROR(INDEX(Query_Source_View!$D:$D,MATCH(ROW()-14,Query_Source_View!$Z:$Z,0)),"")</f>
        <v>Winsor And Newton</v>
      </c>
      <c r="C121" s="2" t="str">
        <f aca="false">IFERROR(INDEX(Query_Source_View!$F:$F,MATCH(ROW()-14,Query_Source_View!$Z:$Z,0)),"")</f>
        <v>Gouache</v>
      </c>
      <c r="D121" s="2" t="str">
        <f aca="false">IFERROR(INDEX(Query_Source_View!$H:$H,MATCH(ROW()-14,Query_Source_View!$Z:$Z,0)),"")</f>
        <v>Designers Gouache</v>
      </c>
      <c r="E121" s="2" t="str">
        <f aca="false">IFERROR(INDEX(Query_Source_View!$J:$J,MATCH(ROW()-14,Query_Source_View!$Z:$Z,0)),"")</f>
        <v>Perylene Violet</v>
      </c>
      <c r="F121" s="2" t="str">
        <f aca="false">IFERROR(INDEX(Query_Source_View!$L:$L,MATCH(ROW()-14,Query_Source_View!$Z:$Z,0)),"")</f>
        <v>Violet</v>
      </c>
      <c r="G121" s="2" t="str">
        <f aca="false">IFERROR(INDEX(Query_Source_View!$N:$N,MATCH(ROW()-14,Query_Source_View!$Z:$Z,0)),"")</f>
        <v>PV29</v>
      </c>
      <c r="H121" s="2" t="n">
        <f aca="false">IFERROR(INDEX(Query_Source_View!$P:$P,MATCH(ROW()-14,Query_Source_View!$Z:$Z,0)),"")</f>
        <v>1</v>
      </c>
      <c r="I121" s="2" t="str">
        <f aca="false">IFERROR(INDEX(Query_Source_View!$Q:$Q,MATCH(ROW()-14,Query_Source_View!$Z:$Z,0)),"")</f>
        <v>Yes</v>
      </c>
      <c r="J121" s="2" t="n">
        <f aca="false">IFERROR(INDEX(Query_Source_View!$R:$R,MATCH(ROW()-14,Query_Source_View!$Z:$Z,0)),"")</f>
        <v>0</v>
      </c>
      <c r="K121" s="2" t="str">
        <f aca="false">IFERROR(INDEX(Query_Source_View!$T:$T,MATCH(ROW()-14,Query_Source_View!$Z:$Z,0)),"")</f>
        <v>A</v>
      </c>
      <c r="L121" s="2" t="n">
        <f aca="false">IFERROR(INDEX(Query_Source_View!$U:$U,MATCH(ROW()-14,Query_Source_View!$Z:$Z,0)),"")</f>
        <v>0</v>
      </c>
      <c r="M121" s="2" t="n">
        <f aca="false">IFERROR(INDEX(Query_Source_View!$V:$V,MATCH(ROW()-14,Query_Source_View!$Z:$Z,0)),"")</f>
        <v>0</v>
      </c>
      <c r="N121" s="2" t="str">
        <f aca="false">IFERROR(INDEX(Query_Source_View!$W:$W,MATCH(ROW()-14,Query_Source_View!$Z:$Z,0)),"")</f>
        <v>Needs Review</v>
      </c>
      <c r="O121" s="2" t="str">
        <f aca="false">IFERROR(INDEX(Query_Source_View!$X:$X,MATCH(ROW()-14,Query_Source_View!$Z:$Z,0)),"")</f>
        <v>https://sensuallogic.com/artistcolordata</v>
      </c>
    </row>
    <row r="122" customFormat="false" ht="23.85" hidden="false" customHeight="false" outlineLevel="0" collapsed="false">
      <c r="A122" s="2" t="str">
        <f aca="false">IFERROR(INDEX(Query_Source_View!$A:$A,MATCH(ROW()-14,Query_Source_View!$Z:$Z,0)),"")</f>
        <v>PNT000087</v>
      </c>
      <c r="B122" s="2" t="str">
        <f aca="false">IFERROR(INDEX(Query_Source_View!$D:$D,MATCH(ROW()-14,Query_Source_View!$Z:$Z,0)),"")</f>
        <v>Winsor And Newton</v>
      </c>
      <c r="C122" s="2" t="str">
        <f aca="false">IFERROR(INDEX(Query_Source_View!$F:$F,MATCH(ROW()-14,Query_Source_View!$Z:$Z,0)),"")</f>
        <v>Gouache</v>
      </c>
      <c r="D122" s="2" t="str">
        <f aca="false">IFERROR(INDEX(Query_Source_View!$H:$H,MATCH(ROW()-14,Query_Source_View!$Z:$Z,0)),"")</f>
        <v>Designers Gouache</v>
      </c>
      <c r="E122" s="2" t="str">
        <f aca="false">IFERROR(INDEX(Query_Source_View!$J:$J,MATCH(ROW()-14,Query_Source_View!$Z:$Z,0)),"")</f>
        <v>Permanent Rose</v>
      </c>
      <c r="F122" s="2" t="str">
        <f aca="false">IFERROR(INDEX(Query_Source_View!$L:$L,MATCH(ROW()-14,Query_Source_View!$Z:$Z,0)),"")</f>
        <v>Red</v>
      </c>
      <c r="G122" s="2" t="str">
        <f aca="false">IFERROR(INDEX(Query_Source_View!$N:$N,MATCH(ROW()-14,Query_Source_View!$Z:$Z,0)),"")</f>
        <v>PV19</v>
      </c>
      <c r="H122" s="2" t="n">
        <f aca="false">IFERROR(INDEX(Query_Source_View!$P:$P,MATCH(ROW()-14,Query_Source_View!$Z:$Z,0)),"")</f>
        <v>1</v>
      </c>
      <c r="I122" s="2" t="str">
        <f aca="false">IFERROR(INDEX(Query_Source_View!$Q:$Q,MATCH(ROW()-14,Query_Source_View!$Z:$Z,0)),"")</f>
        <v>Yes</v>
      </c>
      <c r="J122" s="2" t="n">
        <f aca="false">IFERROR(INDEX(Query_Source_View!$R:$R,MATCH(ROW()-14,Query_Source_View!$Z:$Z,0)),"")</f>
        <v>0</v>
      </c>
      <c r="K122" s="2" t="str">
        <f aca="false">IFERROR(INDEX(Query_Source_View!$T:$T,MATCH(ROW()-14,Query_Source_View!$Z:$Z,0)),"")</f>
        <v>A</v>
      </c>
      <c r="L122" s="2" t="n">
        <f aca="false">IFERROR(INDEX(Query_Source_View!$U:$U,MATCH(ROW()-14,Query_Source_View!$Z:$Z,0)),"")</f>
        <v>0</v>
      </c>
      <c r="M122" s="2" t="n">
        <f aca="false">IFERROR(INDEX(Query_Source_View!$V:$V,MATCH(ROW()-14,Query_Source_View!$Z:$Z,0)),"")</f>
        <v>0</v>
      </c>
      <c r="N122" s="2" t="str">
        <f aca="false">IFERROR(INDEX(Query_Source_View!$W:$W,MATCH(ROW()-14,Query_Source_View!$Z:$Z,0)),"")</f>
        <v>Needs Review</v>
      </c>
      <c r="O122" s="2" t="str">
        <f aca="false">IFERROR(INDEX(Query_Source_View!$X:$X,MATCH(ROW()-14,Query_Source_View!$Z:$Z,0)),"")</f>
        <v>https://sensuallogic.com/artistcolordata</v>
      </c>
    </row>
    <row r="123" customFormat="false" ht="23.85" hidden="false" customHeight="false" outlineLevel="0" collapsed="false">
      <c r="A123" s="2" t="str">
        <f aca="false">IFERROR(INDEX(Query_Source_View!$A:$A,MATCH(ROW()-14,Query_Source_View!$Z:$Z,0)),"")</f>
        <v>PNT000088</v>
      </c>
      <c r="B123" s="2" t="str">
        <f aca="false">IFERROR(INDEX(Query_Source_View!$D:$D,MATCH(ROW()-14,Query_Source_View!$Z:$Z,0)),"")</f>
        <v>Winsor And Newton</v>
      </c>
      <c r="C123" s="2" t="str">
        <f aca="false">IFERROR(INDEX(Query_Source_View!$F:$F,MATCH(ROW()-14,Query_Source_View!$Z:$Z,0)),"")</f>
        <v>Gouache</v>
      </c>
      <c r="D123" s="2" t="str">
        <f aca="false">IFERROR(INDEX(Query_Source_View!$H:$H,MATCH(ROW()-14,Query_Source_View!$Z:$Z,0)),"")</f>
        <v>Designers Gouache</v>
      </c>
      <c r="E123" s="2" t="str">
        <f aca="false">IFERROR(INDEX(Query_Source_View!$J:$J,MATCH(ROW()-14,Query_Source_View!$Z:$Z,0)),"")</f>
        <v>Perylene Black</v>
      </c>
      <c r="F123" s="2" t="str">
        <f aca="false">IFERROR(INDEX(Query_Source_View!$L:$L,MATCH(ROW()-14,Query_Source_View!$Z:$Z,0)),"")</f>
        <v>Black Or Gray</v>
      </c>
      <c r="G123" s="2" t="str">
        <f aca="false">IFERROR(INDEX(Query_Source_View!$N:$N,MATCH(ROW()-14,Query_Source_View!$Z:$Z,0)),"")</f>
        <v>PBk31</v>
      </c>
      <c r="H123" s="2" t="n">
        <f aca="false">IFERROR(INDEX(Query_Source_View!$P:$P,MATCH(ROW()-14,Query_Source_View!$Z:$Z,0)),"")</f>
        <v>1</v>
      </c>
      <c r="I123" s="2" t="str">
        <f aca="false">IFERROR(INDEX(Query_Source_View!$Q:$Q,MATCH(ROW()-14,Query_Source_View!$Z:$Z,0)),"")</f>
        <v>Yes</v>
      </c>
      <c r="J123" s="2" t="n">
        <f aca="false">IFERROR(INDEX(Query_Source_View!$R:$R,MATCH(ROW()-14,Query_Source_View!$Z:$Z,0)),"")</f>
        <v>0</v>
      </c>
      <c r="K123" s="2" t="str">
        <f aca="false">IFERROR(INDEX(Query_Source_View!$T:$T,MATCH(ROW()-14,Query_Source_View!$Z:$Z,0)),"")</f>
        <v>A</v>
      </c>
      <c r="L123" s="2" t="n">
        <f aca="false">IFERROR(INDEX(Query_Source_View!$U:$U,MATCH(ROW()-14,Query_Source_View!$Z:$Z,0)),"")</f>
        <v>0</v>
      </c>
      <c r="M123" s="2" t="n">
        <f aca="false">IFERROR(INDEX(Query_Source_View!$V:$V,MATCH(ROW()-14,Query_Source_View!$Z:$Z,0)),"")</f>
        <v>0</v>
      </c>
      <c r="N123" s="2" t="str">
        <f aca="false">IFERROR(INDEX(Query_Source_View!$W:$W,MATCH(ROW()-14,Query_Source_View!$Z:$Z,0)),"")</f>
        <v>Needs Review</v>
      </c>
      <c r="O123" s="2" t="str">
        <f aca="false">IFERROR(INDEX(Query_Source_View!$X:$X,MATCH(ROW()-14,Query_Source_View!$Z:$Z,0)),"")</f>
        <v>https://sensuallogic.com/artistcolordata</v>
      </c>
    </row>
    <row r="124" customFormat="false" ht="23.85" hidden="false" customHeight="false" outlineLevel="0" collapsed="false">
      <c r="A124" s="2" t="str">
        <f aca="false">IFERROR(INDEX(Query_Source_View!$A:$A,MATCH(ROW()-14,Query_Source_View!$Z:$Z,0)),"")</f>
        <v>PNT000089</v>
      </c>
      <c r="B124" s="2" t="str">
        <f aca="false">IFERROR(INDEX(Query_Source_View!$D:$D,MATCH(ROW()-14,Query_Source_View!$Z:$Z,0)),"")</f>
        <v>Winsor And Newton</v>
      </c>
      <c r="C124" s="2" t="str">
        <f aca="false">IFERROR(INDEX(Query_Source_View!$F:$F,MATCH(ROW()-14,Query_Source_View!$Z:$Z,0)),"")</f>
        <v>Gouache</v>
      </c>
      <c r="D124" s="2" t="str">
        <f aca="false">IFERROR(INDEX(Query_Source_View!$H:$H,MATCH(ROW()-14,Query_Source_View!$Z:$Z,0)),"")</f>
        <v>Designers Gouache</v>
      </c>
      <c r="E124" s="2" t="str">
        <f aca="false">IFERROR(INDEX(Query_Source_View!$J:$J,MATCH(ROW()-14,Query_Source_View!$Z:$Z,0)),"")</f>
        <v>Perylene Maroon</v>
      </c>
      <c r="F124" s="2" t="str">
        <f aca="false">IFERROR(INDEX(Query_Source_View!$L:$L,MATCH(ROW()-14,Query_Source_View!$Z:$Z,0)),"")</f>
        <v>Red</v>
      </c>
      <c r="G124" s="2" t="str">
        <f aca="false">IFERROR(INDEX(Query_Source_View!$N:$N,MATCH(ROW()-14,Query_Source_View!$Z:$Z,0)),"")</f>
        <v>PR179</v>
      </c>
      <c r="H124" s="2" t="n">
        <f aca="false">IFERROR(INDEX(Query_Source_View!$P:$P,MATCH(ROW()-14,Query_Source_View!$Z:$Z,0)),"")</f>
        <v>1</v>
      </c>
      <c r="I124" s="2" t="str">
        <f aca="false">IFERROR(INDEX(Query_Source_View!$Q:$Q,MATCH(ROW()-14,Query_Source_View!$Z:$Z,0)),"")</f>
        <v>Yes</v>
      </c>
      <c r="J124" s="2" t="n">
        <f aca="false">IFERROR(INDEX(Query_Source_View!$R:$R,MATCH(ROW()-14,Query_Source_View!$Z:$Z,0)),"")</f>
        <v>0</v>
      </c>
      <c r="K124" s="2" t="str">
        <f aca="false">IFERROR(INDEX(Query_Source_View!$T:$T,MATCH(ROW()-14,Query_Source_View!$Z:$Z,0)),"")</f>
        <v>A</v>
      </c>
      <c r="L124" s="2" t="n">
        <f aca="false">IFERROR(INDEX(Query_Source_View!$U:$U,MATCH(ROW()-14,Query_Source_View!$Z:$Z,0)),"")</f>
        <v>0</v>
      </c>
      <c r="M124" s="2" t="n">
        <f aca="false">IFERROR(INDEX(Query_Source_View!$V:$V,MATCH(ROW()-14,Query_Source_View!$Z:$Z,0)),"")</f>
        <v>0</v>
      </c>
      <c r="N124" s="2" t="str">
        <f aca="false">IFERROR(INDEX(Query_Source_View!$W:$W,MATCH(ROW()-14,Query_Source_View!$Z:$Z,0)),"")</f>
        <v>Needs Review</v>
      </c>
      <c r="O124" s="2" t="str">
        <f aca="false">IFERROR(INDEX(Query_Source_View!$X:$X,MATCH(ROW()-14,Query_Source_View!$Z:$Z,0)),"")</f>
        <v>https://sensuallogic.com/artistcolordata</v>
      </c>
    </row>
    <row r="125" customFormat="false" ht="23.85" hidden="false" customHeight="false" outlineLevel="0" collapsed="false">
      <c r="A125" s="2" t="str">
        <f aca="false">IFERROR(INDEX(Query_Source_View!$A:$A,MATCH(ROW()-14,Query_Source_View!$Z:$Z,0)),"")</f>
        <v>PNT000090</v>
      </c>
      <c r="B125" s="2" t="str">
        <f aca="false">IFERROR(INDEX(Query_Source_View!$D:$D,MATCH(ROW()-14,Query_Source_View!$Z:$Z,0)),"")</f>
        <v>Winsor And Newton</v>
      </c>
      <c r="C125" s="2" t="str">
        <f aca="false">IFERROR(INDEX(Query_Source_View!$F:$F,MATCH(ROW()-14,Query_Source_View!$Z:$Z,0)),"")</f>
        <v>Gouache</v>
      </c>
      <c r="D125" s="2" t="str">
        <f aca="false">IFERROR(INDEX(Query_Source_View!$H:$H,MATCH(ROW()-14,Query_Source_View!$Z:$Z,0)),"")</f>
        <v>Designers Gouache</v>
      </c>
      <c r="E125" s="2" t="str">
        <f aca="false">IFERROR(INDEX(Query_Source_View!$J:$J,MATCH(ROW()-14,Query_Source_View!$Z:$Z,0)),"")</f>
        <v>Permanent Yellow Deep</v>
      </c>
      <c r="F125" s="2" t="str">
        <f aca="false">IFERROR(INDEX(Query_Source_View!$L:$L,MATCH(ROW()-14,Query_Source_View!$Z:$Z,0)),"")</f>
        <v>Yellow</v>
      </c>
      <c r="G125" s="2" t="str">
        <f aca="false">IFERROR(INDEX(Query_Source_View!$N:$N,MATCH(ROW()-14,Query_Source_View!$Z:$Z,0)),"")</f>
        <v>PY65</v>
      </c>
      <c r="H125" s="2" t="n">
        <f aca="false">IFERROR(INDEX(Query_Source_View!$P:$P,MATCH(ROW()-14,Query_Source_View!$Z:$Z,0)),"")</f>
        <v>1</v>
      </c>
      <c r="I125" s="2" t="str">
        <f aca="false">IFERROR(INDEX(Query_Source_View!$Q:$Q,MATCH(ROW()-14,Query_Source_View!$Z:$Z,0)),"")</f>
        <v>Yes</v>
      </c>
      <c r="J125" s="2" t="n">
        <f aca="false">IFERROR(INDEX(Query_Source_View!$R:$R,MATCH(ROW()-14,Query_Source_View!$Z:$Z,0)),"")</f>
        <v>0</v>
      </c>
      <c r="K125" s="2" t="str">
        <f aca="false">IFERROR(INDEX(Query_Source_View!$T:$T,MATCH(ROW()-14,Query_Source_View!$Z:$Z,0)),"")</f>
        <v>A</v>
      </c>
      <c r="L125" s="2" t="n">
        <f aca="false">IFERROR(INDEX(Query_Source_View!$U:$U,MATCH(ROW()-14,Query_Source_View!$Z:$Z,0)),"")</f>
        <v>0</v>
      </c>
      <c r="M125" s="2" t="n">
        <f aca="false">IFERROR(INDEX(Query_Source_View!$V:$V,MATCH(ROW()-14,Query_Source_View!$Z:$Z,0)),"")</f>
        <v>0</v>
      </c>
      <c r="N125" s="2" t="str">
        <f aca="false">IFERROR(INDEX(Query_Source_View!$W:$W,MATCH(ROW()-14,Query_Source_View!$Z:$Z,0)),"")</f>
        <v>Needs Review</v>
      </c>
      <c r="O125" s="2" t="str">
        <f aca="false">IFERROR(INDEX(Query_Source_View!$X:$X,MATCH(ROW()-14,Query_Source_View!$Z:$Z,0)),"")</f>
        <v>https://sensuallogic.com/artistcolordata</v>
      </c>
    </row>
    <row r="126" customFormat="false" ht="23.85" hidden="false" customHeight="false" outlineLevel="0" collapsed="false">
      <c r="A126" s="2" t="str">
        <f aca="false">IFERROR(INDEX(Query_Source_View!$A:$A,MATCH(ROW()-14,Query_Source_View!$Z:$Z,0)),"")</f>
        <v>PNT000091</v>
      </c>
      <c r="B126" s="2" t="str">
        <f aca="false">IFERROR(INDEX(Query_Source_View!$D:$D,MATCH(ROW()-14,Query_Source_View!$Z:$Z,0)),"")</f>
        <v>Winsor And Newton</v>
      </c>
      <c r="C126" s="2" t="str">
        <f aca="false">IFERROR(INDEX(Query_Source_View!$F:$F,MATCH(ROW()-14,Query_Source_View!$Z:$Z,0)),"")</f>
        <v>Gouache</v>
      </c>
      <c r="D126" s="2" t="str">
        <f aca="false">IFERROR(INDEX(Query_Source_View!$H:$H,MATCH(ROW()-14,Query_Source_View!$Z:$Z,0)),"")</f>
        <v>Designers Gouache</v>
      </c>
      <c r="E126" s="2" t="str">
        <f aca="false">IFERROR(INDEX(Query_Source_View!$J:$J,MATCH(ROW()-14,Query_Source_View!$Z:$Z,0)),"")</f>
        <v>Permanent White</v>
      </c>
      <c r="F126" s="2" t="str">
        <f aca="false">IFERROR(INDEX(Query_Source_View!$L:$L,MATCH(ROW()-14,Query_Source_View!$Z:$Z,0)),"")</f>
        <v>White</v>
      </c>
      <c r="G126" s="2" t="str">
        <f aca="false">IFERROR(INDEX(Query_Source_View!$N:$N,MATCH(ROW()-14,Query_Source_View!$Z:$Z,0)),"")</f>
        <v>PW6</v>
      </c>
      <c r="H126" s="2" t="n">
        <f aca="false">IFERROR(INDEX(Query_Source_View!$P:$P,MATCH(ROW()-14,Query_Source_View!$Z:$Z,0)),"")</f>
        <v>1</v>
      </c>
      <c r="I126" s="2" t="str">
        <f aca="false">IFERROR(INDEX(Query_Source_View!$Q:$Q,MATCH(ROW()-14,Query_Source_View!$Z:$Z,0)),"")</f>
        <v>Yes</v>
      </c>
      <c r="J126" s="2" t="n">
        <f aca="false">IFERROR(INDEX(Query_Source_View!$R:$R,MATCH(ROW()-14,Query_Source_View!$Z:$Z,0)),"")</f>
        <v>0</v>
      </c>
      <c r="K126" s="2" t="str">
        <f aca="false">IFERROR(INDEX(Query_Source_View!$T:$T,MATCH(ROW()-14,Query_Source_View!$Z:$Z,0)),"")</f>
        <v>A</v>
      </c>
      <c r="L126" s="2" t="n">
        <f aca="false">IFERROR(INDEX(Query_Source_View!$U:$U,MATCH(ROW()-14,Query_Source_View!$Z:$Z,0)),"")</f>
        <v>0</v>
      </c>
      <c r="M126" s="2" t="n">
        <f aca="false">IFERROR(INDEX(Query_Source_View!$V:$V,MATCH(ROW()-14,Query_Source_View!$Z:$Z,0)),"")</f>
        <v>0</v>
      </c>
      <c r="N126" s="2" t="str">
        <f aca="false">IFERROR(INDEX(Query_Source_View!$W:$W,MATCH(ROW()-14,Query_Source_View!$Z:$Z,0)),"")</f>
        <v>Needs Review</v>
      </c>
      <c r="O126" s="2" t="str">
        <f aca="false">IFERROR(INDEX(Query_Source_View!$X:$X,MATCH(ROW()-14,Query_Source_View!$Z:$Z,0)),"")</f>
        <v>https://sensuallogic.com/artistcolordata</v>
      </c>
    </row>
    <row r="127" customFormat="false" ht="23.85" hidden="false" customHeight="false" outlineLevel="0" collapsed="false">
      <c r="A127" s="2" t="str">
        <f aca="false">IFERROR(INDEX(Query_Source_View!$A:$A,MATCH(ROW()-14,Query_Source_View!$Z:$Z,0)),"")</f>
        <v>PNT000092</v>
      </c>
      <c r="B127" s="2" t="str">
        <f aca="false">IFERROR(INDEX(Query_Source_View!$D:$D,MATCH(ROW()-14,Query_Source_View!$Z:$Z,0)),"")</f>
        <v>Winsor And Newton</v>
      </c>
      <c r="C127" s="2" t="str">
        <f aca="false">IFERROR(INDEX(Query_Source_View!$F:$F,MATCH(ROW()-14,Query_Source_View!$Z:$Z,0)),"")</f>
        <v>Gouache</v>
      </c>
      <c r="D127" s="2" t="str">
        <f aca="false">IFERROR(INDEX(Query_Source_View!$H:$H,MATCH(ROW()-14,Query_Source_View!$Z:$Z,0)),"")</f>
        <v>Designers Gouache</v>
      </c>
      <c r="E127" s="2" t="str">
        <f aca="false">IFERROR(INDEX(Query_Source_View!$J:$J,MATCH(ROW()-14,Query_Source_View!$Z:$Z,0)),"")</f>
        <v>Primary Blue</v>
      </c>
      <c r="F127" s="2" t="str">
        <f aca="false">IFERROR(INDEX(Query_Source_View!$L:$L,MATCH(ROW()-14,Query_Source_View!$Z:$Z,0)),"")</f>
        <v>Blue</v>
      </c>
      <c r="G127" s="2" t="str">
        <f aca="false">IFERROR(INDEX(Query_Source_View!$N:$N,MATCH(ROW()-14,Query_Source_View!$Z:$Z,0)),"")</f>
        <v>PB15</v>
      </c>
      <c r="H127" s="2" t="n">
        <f aca="false">IFERROR(INDEX(Query_Source_View!$P:$P,MATCH(ROW()-14,Query_Source_View!$Z:$Z,0)),"")</f>
        <v>1</v>
      </c>
      <c r="I127" s="2" t="str">
        <f aca="false">IFERROR(INDEX(Query_Source_View!$Q:$Q,MATCH(ROW()-14,Query_Source_View!$Z:$Z,0)),"")</f>
        <v>Yes</v>
      </c>
      <c r="J127" s="2" t="n">
        <f aca="false">IFERROR(INDEX(Query_Source_View!$R:$R,MATCH(ROW()-14,Query_Source_View!$Z:$Z,0)),"")</f>
        <v>0</v>
      </c>
      <c r="K127" s="2" t="str">
        <f aca="false">IFERROR(INDEX(Query_Source_View!$T:$T,MATCH(ROW()-14,Query_Source_View!$Z:$Z,0)),"")</f>
        <v>A</v>
      </c>
      <c r="L127" s="2" t="n">
        <f aca="false">IFERROR(INDEX(Query_Source_View!$U:$U,MATCH(ROW()-14,Query_Source_View!$Z:$Z,0)),"")</f>
        <v>0</v>
      </c>
      <c r="M127" s="2" t="n">
        <f aca="false">IFERROR(INDEX(Query_Source_View!$V:$V,MATCH(ROW()-14,Query_Source_View!$Z:$Z,0)),"")</f>
        <v>0</v>
      </c>
      <c r="N127" s="2" t="str">
        <f aca="false">IFERROR(INDEX(Query_Source_View!$W:$W,MATCH(ROW()-14,Query_Source_View!$Z:$Z,0)),"")</f>
        <v>Needs Review</v>
      </c>
      <c r="O127" s="2" t="str">
        <f aca="false">IFERROR(INDEX(Query_Source_View!$X:$X,MATCH(ROW()-14,Query_Source_View!$Z:$Z,0)),"")</f>
        <v>https://sensuallogic.com/artistcolordata</v>
      </c>
    </row>
    <row r="128" customFormat="false" ht="23.85" hidden="false" customHeight="false" outlineLevel="0" collapsed="false">
      <c r="A128" s="2" t="str">
        <f aca="false">IFERROR(INDEX(Query_Source_View!$A:$A,MATCH(ROW()-14,Query_Source_View!$Z:$Z,0)),"")</f>
        <v>PNT000093</v>
      </c>
      <c r="B128" s="2" t="str">
        <f aca="false">IFERROR(INDEX(Query_Source_View!$D:$D,MATCH(ROW()-14,Query_Source_View!$Z:$Z,0)),"")</f>
        <v>Winsor And Newton</v>
      </c>
      <c r="C128" s="2" t="str">
        <f aca="false">IFERROR(INDEX(Query_Source_View!$F:$F,MATCH(ROW()-14,Query_Source_View!$Z:$Z,0)),"")</f>
        <v>Gouache</v>
      </c>
      <c r="D128" s="2" t="str">
        <f aca="false">IFERROR(INDEX(Query_Source_View!$H:$H,MATCH(ROW()-14,Query_Source_View!$Z:$Z,0)),"")</f>
        <v>Designers Gouache</v>
      </c>
      <c r="E128" s="2" t="str">
        <f aca="false">IFERROR(INDEX(Query_Source_View!$J:$J,MATCH(ROW()-14,Query_Source_View!$Z:$Z,0)),"")</f>
        <v>Primary Red</v>
      </c>
      <c r="F128" s="2" t="str">
        <f aca="false">IFERROR(INDEX(Query_Source_View!$L:$L,MATCH(ROW()-14,Query_Source_View!$Z:$Z,0)),"")</f>
        <v>Red</v>
      </c>
      <c r="G128" s="2" t="str">
        <f aca="false">IFERROR(INDEX(Query_Source_View!$N:$N,MATCH(ROW()-14,Query_Source_View!$Z:$Z,0)),"")</f>
        <v>PR170</v>
      </c>
      <c r="H128" s="2" t="n">
        <f aca="false">IFERROR(INDEX(Query_Source_View!$P:$P,MATCH(ROW()-14,Query_Source_View!$Z:$Z,0)),"")</f>
        <v>1</v>
      </c>
      <c r="I128" s="2" t="str">
        <f aca="false">IFERROR(INDEX(Query_Source_View!$Q:$Q,MATCH(ROW()-14,Query_Source_View!$Z:$Z,0)),"")</f>
        <v>Yes</v>
      </c>
      <c r="J128" s="2" t="n">
        <f aca="false">IFERROR(INDEX(Query_Source_View!$R:$R,MATCH(ROW()-14,Query_Source_View!$Z:$Z,0)),"")</f>
        <v>0</v>
      </c>
      <c r="K128" s="2" t="str">
        <f aca="false">IFERROR(INDEX(Query_Source_View!$T:$T,MATCH(ROW()-14,Query_Source_View!$Z:$Z,0)),"")</f>
        <v>B</v>
      </c>
      <c r="L128" s="2" t="n">
        <f aca="false">IFERROR(INDEX(Query_Source_View!$U:$U,MATCH(ROW()-14,Query_Source_View!$Z:$Z,0)),"")</f>
        <v>0</v>
      </c>
      <c r="M128" s="2" t="n">
        <f aca="false">IFERROR(INDEX(Query_Source_View!$V:$V,MATCH(ROW()-14,Query_Source_View!$Z:$Z,0)),"")</f>
        <v>0</v>
      </c>
      <c r="N128" s="2" t="str">
        <f aca="false">IFERROR(INDEX(Query_Source_View!$W:$W,MATCH(ROW()-14,Query_Source_View!$Z:$Z,0)),"")</f>
        <v>Needs Review</v>
      </c>
      <c r="O128" s="2" t="str">
        <f aca="false">IFERROR(INDEX(Query_Source_View!$X:$X,MATCH(ROW()-14,Query_Source_View!$Z:$Z,0)),"")</f>
        <v>https://sensuallogic.com/artistcolordata</v>
      </c>
    </row>
    <row r="129" customFormat="false" ht="23.85" hidden="false" customHeight="false" outlineLevel="0" collapsed="false">
      <c r="A129" s="2" t="str">
        <f aca="false">IFERROR(INDEX(Query_Source_View!$A:$A,MATCH(ROW()-14,Query_Source_View!$Z:$Z,0)),"")</f>
        <v>PNT000094</v>
      </c>
      <c r="B129" s="2" t="str">
        <f aca="false">IFERROR(INDEX(Query_Source_View!$D:$D,MATCH(ROW()-14,Query_Source_View!$Z:$Z,0)),"")</f>
        <v>Winsor And Newton</v>
      </c>
      <c r="C129" s="2" t="str">
        <f aca="false">IFERROR(INDEX(Query_Source_View!$F:$F,MATCH(ROW()-14,Query_Source_View!$Z:$Z,0)),"")</f>
        <v>Gouache</v>
      </c>
      <c r="D129" s="2" t="str">
        <f aca="false">IFERROR(INDEX(Query_Source_View!$H:$H,MATCH(ROW()-14,Query_Source_View!$Z:$Z,0)),"")</f>
        <v>Designers Gouache</v>
      </c>
      <c r="E129" s="2" t="str">
        <f aca="false">IFERROR(INDEX(Query_Source_View!$J:$J,MATCH(ROW()-14,Query_Source_View!$Z:$Z,0)),"")</f>
        <v>Primary Yellow</v>
      </c>
      <c r="F129" s="2" t="str">
        <f aca="false">IFERROR(INDEX(Query_Source_View!$L:$L,MATCH(ROW()-14,Query_Source_View!$Z:$Z,0)),"")</f>
        <v>Yellow</v>
      </c>
      <c r="G129" s="2" t="str">
        <f aca="false">IFERROR(INDEX(Query_Source_View!$N:$N,MATCH(ROW()-14,Query_Source_View!$Z:$Z,0)),"")</f>
        <v>PY74</v>
      </c>
      <c r="H129" s="2" t="n">
        <f aca="false">IFERROR(INDEX(Query_Source_View!$P:$P,MATCH(ROW()-14,Query_Source_View!$Z:$Z,0)),"")</f>
        <v>2</v>
      </c>
      <c r="I129" s="2" t="str">
        <f aca="false">IFERROR(INDEX(Query_Source_View!$Q:$Q,MATCH(ROW()-14,Query_Source_View!$Z:$Z,0)),"")</f>
        <v>No</v>
      </c>
      <c r="J129" s="2" t="n">
        <f aca="false">IFERROR(INDEX(Query_Source_View!$R:$R,MATCH(ROW()-14,Query_Source_View!$Z:$Z,0)),"")</f>
        <v>0</v>
      </c>
      <c r="K129" s="2" t="str">
        <f aca="false">IFERROR(INDEX(Query_Source_View!$T:$T,MATCH(ROW()-14,Query_Source_View!$Z:$Z,0)),"")</f>
        <v>A</v>
      </c>
      <c r="L129" s="2" t="n">
        <f aca="false">IFERROR(INDEX(Query_Source_View!$U:$U,MATCH(ROW()-14,Query_Source_View!$Z:$Z,0)),"")</f>
        <v>0</v>
      </c>
      <c r="M129" s="2" t="n">
        <f aca="false">IFERROR(INDEX(Query_Source_View!$V:$V,MATCH(ROW()-14,Query_Source_View!$Z:$Z,0)),"")</f>
        <v>0</v>
      </c>
      <c r="N129" s="2" t="str">
        <f aca="false">IFERROR(INDEX(Query_Source_View!$W:$W,MATCH(ROW()-14,Query_Source_View!$Z:$Z,0)),"")</f>
        <v>Needs Review</v>
      </c>
      <c r="O129" s="2" t="str">
        <f aca="false">IFERROR(INDEX(Query_Source_View!$X:$X,MATCH(ROW()-14,Query_Source_View!$Z:$Z,0)),"")</f>
        <v>https://sensuallogic.com/artistcolordata</v>
      </c>
    </row>
    <row r="130" customFormat="false" ht="23.85" hidden="false" customHeight="false" outlineLevel="0" collapsed="false">
      <c r="A130" s="2" t="str">
        <f aca="false">IFERROR(INDEX(Query_Source_View!$A:$A,MATCH(ROW()-14,Query_Source_View!$Z:$Z,0)),"")</f>
        <v>PNT000094</v>
      </c>
      <c r="B130" s="2" t="str">
        <f aca="false">IFERROR(INDEX(Query_Source_View!$D:$D,MATCH(ROW()-14,Query_Source_View!$Z:$Z,0)),"")</f>
        <v>Winsor And Newton</v>
      </c>
      <c r="C130" s="2" t="str">
        <f aca="false">IFERROR(INDEX(Query_Source_View!$F:$F,MATCH(ROW()-14,Query_Source_View!$Z:$Z,0)),"")</f>
        <v>Gouache</v>
      </c>
      <c r="D130" s="2" t="str">
        <f aca="false">IFERROR(INDEX(Query_Source_View!$H:$H,MATCH(ROW()-14,Query_Source_View!$Z:$Z,0)),"")</f>
        <v>Designers Gouache</v>
      </c>
      <c r="E130" s="2" t="str">
        <f aca="false">IFERROR(INDEX(Query_Source_View!$J:$J,MATCH(ROW()-14,Query_Source_View!$Z:$Z,0)),"")</f>
        <v>Primary Yellow</v>
      </c>
      <c r="F130" s="2" t="str">
        <f aca="false">IFERROR(INDEX(Query_Source_View!$L:$L,MATCH(ROW()-14,Query_Source_View!$Z:$Z,0)),"")</f>
        <v>Yellow</v>
      </c>
      <c r="G130" s="2" t="str">
        <f aca="false">IFERROR(INDEX(Query_Source_View!$N:$N,MATCH(ROW()-14,Query_Source_View!$Z:$Z,0)),"")</f>
        <v>PY138</v>
      </c>
      <c r="H130" s="2" t="n">
        <f aca="false">IFERROR(INDEX(Query_Source_View!$P:$P,MATCH(ROW()-14,Query_Source_View!$Z:$Z,0)),"")</f>
        <v>2</v>
      </c>
      <c r="I130" s="2" t="str">
        <f aca="false">IFERROR(INDEX(Query_Source_View!$Q:$Q,MATCH(ROW()-14,Query_Source_View!$Z:$Z,0)),"")</f>
        <v>No</v>
      </c>
      <c r="J130" s="2" t="n">
        <f aca="false">IFERROR(INDEX(Query_Source_View!$R:$R,MATCH(ROW()-14,Query_Source_View!$Z:$Z,0)),"")</f>
        <v>0</v>
      </c>
      <c r="K130" s="2" t="str">
        <f aca="false">IFERROR(INDEX(Query_Source_View!$T:$T,MATCH(ROW()-14,Query_Source_View!$Z:$Z,0)),"")</f>
        <v>A</v>
      </c>
      <c r="L130" s="2" t="n">
        <f aca="false">IFERROR(INDEX(Query_Source_View!$U:$U,MATCH(ROW()-14,Query_Source_View!$Z:$Z,0)),"")</f>
        <v>0</v>
      </c>
      <c r="M130" s="2" t="n">
        <f aca="false">IFERROR(INDEX(Query_Source_View!$V:$V,MATCH(ROW()-14,Query_Source_View!$Z:$Z,0)),"")</f>
        <v>0</v>
      </c>
      <c r="N130" s="2" t="str">
        <f aca="false">IFERROR(INDEX(Query_Source_View!$W:$W,MATCH(ROW()-14,Query_Source_View!$Z:$Z,0)),"")</f>
        <v>Needs Review</v>
      </c>
      <c r="O130" s="2" t="str">
        <f aca="false">IFERROR(INDEX(Query_Source_View!$X:$X,MATCH(ROW()-14,Query_Source_View!$Z:$Z,0)),"")</f>
        <v>https://sensuallogic.com/artistcolordata</v>
      </c>
    </row>
    <row r="131" customFormat="false" ht="23.85" hidden="false" customHeight="false" outlineLevel="0" collapsed="false">
      <c r="A131" s="2" t="str">
        <f aca="false">IFERROR(INDEX(Query_Source_View!$A:$A,MATCH(ROW()-14,Query_Source_View!$Z:$Z,0)),"")</f>
        <v>PNT000095</v>
      </c>
      <c r="B131" s="2" t="str">
        <f aca="false">IFERROR(INDEX(Query_Source_View!$D:$D,MATCH(ROW()-14,Query_Source_View!$Z:$Z,0)),"")</f>
        <v>Winsor And Newton</v>
      </c>
      <c r="C131" s="2" t="str">
        <f aca="false">IFERROR(INDEX(Query_Source_View!$F:$F,MATCH(ROW()-14,Query_Source_View!$Z:$Z,0)),"")</f>
        <v>Gouache</v>
      </c>
      <c r="D131" s="2" t="str">
        <f aca="false">IFERROR(INDEX(Query_Source_View!$H:$H,MATCH(ROW()-14,Query_Source_View!$Z:$Z,0)),"")</f>
        <v>Designers Gouache</v>
      </c>
      <c r="E131" s="2" t="str">
        <f aca="false">IFERROR(INDEX(Query_Source_View!$J:$J,MATCH(ROW()-14,Query_Source_View!$Z:$Z,0)),"")</f>
        <v>Prussian Blue</v>
      </c>
      <c r="F131" s="2" t="str">
        <f aca="false">IFERROR(INDEX(Query_Source_View!$L:$L,MATCH(ROW()-14,Query_Source_View!$Z:$Z,0)),"")</f>
        <v>Blue</v>
      </c>
      <c r="G131" s="2" t="str">
        <f aca="false">IFERROR(INDEX(Query_Source_View!$N:$N,MATCH(ROW()-14,Query_Source_View!$Z:$Z,0)),"")</f>
        <v>PB27</v>
      </c>
      <c r="H131" s="2" t="n">
        <f aca="false">IFERROR(INDEX(Query_Source_View!$P:$P,MATCH(ROW()-14,Query_Source_View!$Z:$Z,0)),"")</f>
        <v>1</v>
      </c>
      <c r="I131" s="2" t="str">
        <f aca="false">IFERROR(INDEX(Query_Source_View!$Q:$Q,MATCH(ROW()-14,Query_Source_View!$Z:$Z,0)),"")</f>
        <v>Yes</v>
      </c>
      <c r="J131" s="2" t="n">
        <f aca="false">IFERROR(INDEX(Query_Source_View!$R:$R,MATCH(ROW()-14,Query_Source_View!$Z:$Z,0)),"")</f>
        <v>0</v>
      </c>
      <c r="K131" s="2" t="str">
        <f aca="false">IFERROR(INDEX(Query_Source_View!$T:$T,MATCH(ROW()-14,Query_Source_View!$Z:$Z,0)),"")</f>
        <v>A</v>
      </c>
      <c r="L131" s="2" t="n">
        <f aca="false">IFERROR(INDEX(Query_Source_View!$U:$U,MATCH(ROW()-14,Query_Source_View!$Z:$Z,0)),"")</f>
        <v>0</v>
      </c>
      <c r="M131" s="2" t="n">
        <f aca="false">IFERROR(INDEX(Query_Source_View!$V:$V,MATCH(ROW()-14,Query_Source_View!$Z:$Z,0)),"")</f>
        <v>0</v>
      </c>
      <c r="N131" s="2" t="str">
        <f aca="false">IFERROR(INDEX(Query_Source_View!$W:$W,MATCH(ROW()-14,Query_Source_View!$Z:$Z,0)),"")</f>
        <v>Needs Review</v>
      </c>
      <c r="O131" s="2" t="str">
        <f aca="false">IFERROR(INDEX(Query_Source_View!$X:$X,MATCH(ROW()-14,Query_Source_View!$Z:$Z,0)),"")</f>
        <v>https://sensuallogic.com/artistcolordata</v>
      </c>
    </row>
    <row r="132" customFormat="false" ht="23.85" hidden="false" customHeight="false" outlineLevel="0" collapsed="false">
      <c r="A132" s="2" t="str">
        <f aca="false">IFERROR(INDEX(Query_Source_View!$A:$A,MATCH(ROW()-14,Query_Source_View!$Z:$Z,0)),"")</f>
        <v>PNT000096</v>
      </c>
      <c r="B132" s="2" t="str">
        <f aca="false">IFERROR(INDEX(Query_Source_View!$D:$D,MATCH(ROW()-14,Query_Source_View!$Z:$Z,0)),"")</f>
        <v>Winsor And Newton</v>
      </c>
      <c r="C132" s="2" t="str">
        <f aca="false">IFERROR(INDEX(Query_Source_View!$F:$F,MATCH(ROW()-14,Query_Source_View!$Z:$Z,0)),"")</f>
        <v>Gouache</v>
      </c>
      <c r="D132" s="2" t="str">
        <f aca="false">IFERROR(INDEX(Query_Source_View!$H:$H,MATCH(ROW()-14,Query_Source_View!$Z:$Z,0)),"")</f>
        <v>Designers Gouache</v>
      </c>
      <c r="E132" s="2" t="str">
        <f aca="false">IFERROR(INDEX(Query_Source_View!$J:$J,MATCH(ROW()-14,Query_Source_View!$Z:$Z,0)),"")</f>
        <v>Raw Sienna</v>
      </c>
      <c r="F132" s="2" t="str">
        <f aca="false">IFERROR(INDEX(Query_Source_View!$L:$L,MATCH(ROW()-14,Query_Source_View!$Z:$Z,0)),"")</f>
        <v>Orange</v>
      </c>
      <c r="G132" s="2" t="str">
        <f aca="false">IFERROR(INDEX(Query_Source_View!$N:$N,MATCH(ROW()-14,Query_Source_View!$Z:$Z,0)),"")</f>
        <v>PY42</v>
      </c>
      <c r="H132" s="2" t="n">
        <f aca="false">IFERROR(INDEX(Query_Source_View!$P:$P,MATCH(ROW()-14,Query_Source_View!$Z:$Z,0)),"")</f>
        <v>3</v>
      </c>
      <c r="I132" s="2" t="str">
        <f aca="false">IFERROR(INDEX(Query_Source_View!$Q:$Q,MATCH(ROW()-14,Query_Source_View!$Z:$Z,0)),"")</f>
        <v>No</v>
      </c>
      <c r="J132" s="2" t="n">
        <f aca="false">IFERROR(INDEX(Query_Source_View!$R:$R,MATCH(ROW()-14,Query_Source_View!$Z:$Z,0)),"")</f>
        <v>0</v>
      </c>
      <c r="K132" s="2" t="str">
        <f aca="false">IFERROR(INDEX(Query_Source_View!$T:$T,MATCH(ROW()-14,Query_Source_View!$Z:$Z,0)),"")</f>
        <v>AA</v>
      </c>
      <c r="L132" s="2" t="n">
        <f aca="false">IFERROR(INDEX(Query_Source_View!$U:$U,MATCH(ROW()-14,Query_Source_View!$Z:$Z,0)),"")</f>
        <v>0</v>
      </c>
      <c r="M132" s="2" t="n">
        <f aca="false">IFERROR(INDEX(Query_Source_View!$V:$V,MATCH(ROW()-14,Query_Source_View!$Z:$Z,0)),"")</f>
        <v>0</v>
      </c>
      <c r="N132" s="2" t="str">
        <f aca="false">IFERROR(INDEX(Query_Source_View!$W:$W,MATCH(ROW()-14,Query_Source_View!$Z:$Z,0)),"")</f>
        <v>Needs Review</v>
      </c>
      <c r="O132" s="2" t="str">
        <f aca="false">IFERROR(INDEX(Query_Source_View!$X:$X,MATCH(ROW()-14,Query_Source_View!$Z:$Z,0)),"")</f>
        <v>https://sensuallogic.com/artistcolordata</v>
      </c>
    </row>
    <row r="133" customFormat="false" ht="23.85" hidden="false" customHeight="false" outlineLevel="0" collapsed="false">
      <c r="A133" s="2" t="str">
        <f aca="false">IFERROR(INDEX(Query_Source_View!$A:$A,MATCH(ROW()-14,Query_Source_View!$Z:$Z,0)),"")</f>
        <v>PNT000096</v>
      </c>
      <c r="B133" s="2" t="str">
        <f aca="false">IFERROR(INDEX(Query_Source_View!$D:$D,MATCH(ROW()-14,Query_Source_View!$Z:$Z,0)),"")</f>
        <v>Winsor And Newton</v>
      </c>
      <c r="C133" s="2" t="str">
        <f aca="false">IFERROR(INDEX(Query_Source_View!$F:$F,MATCH(ROW()-14,Query_Source_View!$Z:$Z,0)),"")</f>
        <v>Gouache</v>
      </c>
      <c r="D133" s="2" t="str">
        <f aca="false">IFERROR(INDEX(Query_Source_View!$H:$H,MATCH(ROW()-14,Query_Source_View!$Z:$Z,0)),"")</f>
        <v>Designers Gouache</v>
      </c>
      <c r="E133" s="2" t="str">
        <f aca="false">IFERROR(INDEX(Query_Source_View!$J:$J,MATCH(ROW()-14,Query_Source_View!$Z:$Z,0)),"")</f>
        <v>Raw Sienna</v>
      </c>
      <c r="F133" s="2" t="str">
        <f aca="false">IFERROR(INDEX(Query_Source_View!$L:$L,MATCH(ROW()-14,Query_Source_View!$Z:$Z,0)),"")</f>
        <v>Orange</v>
      </c>
      <c r="G133" s="2" t="str">
        <f aca="false">IFERROR(INDEX(Query_Source_View!$N:$N,MATCH(ROW()-14,Query_Source_View!$Z:$Z,0)),"")</f>
        <v>PR101</v>
      </c>
      <c r="H133" s="2" t="n">
        <f aca="false">IFERROR(INDEX(Query_Source_View!$P:$P,MATCH(ROW()-14,Query_Source_View!$Z:$Z,0)),"")</f>
        <v>3</v>
      </c>
      <c r="I133" s="2" t="str">
        <f aca="false">IFERROR(INDEX(Query_Source_View!$Q:$Q,MATCH(ROW()-14,Query_Source_View!$Z:$Z,0)),"")</f>
        <v>No</v>
      </c>
      <c r="J133" s="2" t="n">
        <f aca="false">IFERROR(INDEX(Query_Source_View!$R:$R,MATCH(ROW()-14,Query_Source_View!$Z:$Z,0)),"")</f>
        <v>0</v>
      </c>
      <c r="K133" s="2" t="str">
        <f aca="false">IFERROR(INDEX(Query_Source_View!$T:$T,MATCH(ROW()-14,Query_Source_View!$Z:$Z,0)),"")</f>
        <v>AA</v>
      </c>
      <c r="L133" s="2" t="n">
        <f aca="false">IFERROR(INDEX(Query_Source_View!$U:$U,MATCH(ROW()-14,Query_Source_View!$Z:$Z,0)),"")</f>
        <v>0</v>
      </c>
      <c r="M133" s="2" t="n">
        <f aca="false">IFERROR(INDEX(Query_Source_View!$V:$V,MATCH(ROW()-14,Query_Source_View!$Z:$Z,0)),"")</f>
        <v>0</v>
      </c>
      <c r="N133" s="2" t="str">
        <f aca="false">IFERROR(INDEX(Query_Source_View!$W:$W,MATCH(ROW()-14,Query_Source_View!$Z:$Z,0)),"")</f>
        <v>Needs Review</v>
      </c>
      <c r="O133" s="2" t="str">
        <f aca="false">IFERROR(INDEX(Query_Source_View!$X:$X,MATCH(ROW()-14,Query_Source_View!$Z:$Z,0)),"")</f>
        <v>https://sensuallogic.com/artistcolordata</v>
      </c>
    </row>
    <row r="134" customFormat="false" ht="23.85" hidden="false" customHeight="false" outlineLevel="0" collapsed="false">
      <c r="A134" s="2" t="str">
        <f aca="false">IFERROR(INDEX(Query_Source_View!$A:$A,MATCH(ROW()-14,Query_Source_View!$Z:$Z,0)),"")</f>
        <v>PNT000096</v>
      </c>
      <c r="B134" s="2" t="str">
        <f aca="false">IFERROR(INDEX(Query_Source_View!$D:$D,MATCH(ROW()-14,Query_Source_View!$Z:$Z,0)),"")</f>
        <v>Winsor And Newton</v>
      </c>
      <c r="C134" s="2" t="str">
        <f aca="false">IFERROR(INDEX(Query_Source_View!$F:$F,MATCH(ROW()-14,Query_Source_View!$Z:$Z,0)),"")</f>
        <v>Gouache</v>
      </c>
      <c r="D134" s="2" t="str">
        <f aca="false">IFERROR(INDEX(Query_Source_View!$H:$H,MATCH(ROW()-14,Query_Source_View!$Z:$Z,0)),"")</f>
        <v>Designers Gouache</v>
      </c>
      <c r="E134" s="2" t="str">
        <f aca="false">IFERROR(INDEX(Query_Source_View!$J:$J,MATCH(ROW()-14,Query_Source_View!$Z:$Z,0)),"")</f>
        <v>Raw Sienna</v>
      </c>
      <c r="F134" s="2" t="str">
        <f aca="false">IFERROR(INDEX(Query_Source_View!$L:$L,MATCH(ROW()-14,Query_Source_View!$Z:$Z,0)),"")</f>
        <v>Orange</v>
      </c>
      <c r="G134" s="2" t="str">
        <f aca="false">IFERROR(INDEX(Query_Source_View!$N:$N,MATCH(ROW()-14,Query_Source_View!$Z:$Z,0)),"")</f>
        <v>PY65</v>
      </c>
      <c r="H134" s="2" t="n">
        <f aca="false">IFERROR(INDEX(Query_Source_View!$P:$P,MATCH(ROW()-14,Query_Source_View!$Z:$Z,0)),"")</f>
        <v>3</v>
      </c>
      <c r="I134" s="2" t="str">
        <f aca="false">IFERROR(INDEX(Query_Source_View!$Q:$Q,MATCH(ROW()-14,Query_Source_View!$Z:$Z,0)),"")</f>
        <v>No</v>
      </c>
      <c r="J134" s="2" t="n">
        <f aca="false">IFERROR(INDEX(Query_Source_View!$R:$R,MATCH(ROW()-14,Query_Source_View!$Z:$Z,0)),"")</f>
        <v>0</v>
      </c>
      <c r="K134" s="2" t="str">
        <f aca="false">IFERROR(INDEX(Query_Source_View!$T:$T,MATCH(ROW()-14,Query_Source_View!$Z:$Z,0)),"")</f>
        <v>AA</v>
      </c>
      <c r="L134" s="2" t="n">
        <f aca="false">IFERROR(INDEX(Query_Source_View!$U:$U,MATCH(ROW()-14,Query_Source_View!$Z:$Z,0)),"")</f>
        <v>0</v>
      </c>
      <c r="M134" s="2" t="n">
        <f aca="false">IFERROR(INDEX(Query_Source_View!$V:$V,MATCH(ROW()-14,Query_Source_View!$Z:$Z,0)),"")</f>
        <v>0</v>
      </c>
      <c r="N134" s="2" t="str">
        <f aca="false">IFERROR(INDEX(Query_Source_View!$W:$W,MATCH(ROW()-14,Query_Source_View!$Z:$Z,0)),"")</f>
        <v>Needs Review</v>
      </c>
      <c r="O134" s="2" t="str">
        <f aca="false">IFERROR(INDEX(Query_Source_View!$X:$X,MATCH(ROW()-14,Query_Source_View!$Z:$Z,0)),"")</f>
        <v>https://sensuallogic.com/artistcolordata</v>
      </c>
    </row>
    <row r="135" customFormat="false" ht="23.85" hidden="false" customHeight="false" outlineLevel="0" collapsed="false">
      <c r="A135" s="2" t="str">
        <f aca="false">IFERROR(INDEX(Query_Source_View!$A:$A,MATCH(ROW()-14,Query_Source_View!$Z:$Z,0)),"")</f>
        <v>PNT000097</v>
      </c>
      <c r="B135" s="2" t="str">
        <f aca="false">IFERROR(INDEX(Query_Source_View!$D:$D,MATCH(ROW()-14,Query_Source_View!$Z:$Z,0)),"")</f>
        <v>Winsor And Newton</v>
      </c>
      <c r="C135" s="2" t="str">
        <f aca="false">IFERROR(INDEX(Query_Source_View!$F:$F,MATCH(ROW()-14,Query_Source_View!$Z:$Z,0)),"")</f>
        <v>Gouache</v>
      </c>
      <c r="D135" s="2" t="str">
        <f aca="false">IFERROR(INDEX(Query_Source_View!$H:$H,MATCH(ROW()-14,Query_Source_View!$Z:$Z,0)),"")</f>
        <v>Designers Gouache</v>
      </c>
      <c r="E135" s="2" t="str">
        <f aca="false">IFERROR(INDEX(Query_Source_View!$J:$J,MATCH(ROW()-14,Query_Source_View!$Z:$Z,0)),"")</f>
        <v>Raw Umber</v>
      </c>
      <c r="F135" s="2" t="str">
        <f aca="false">IFERROR(INDEX(Query_Source_View!$L:$L,MATCH(ROW()-14,Query_Source_View!$Z:$Z,0)),"")</f>
        <v>Earth</v>
      </c>
      <c r="G135" s="2" t="str">
        <f aca="false">IFERROR(INDEX(Query_Source_View!$N:$N,MATCH(ROW()-14,Query_Source_View!$Z:$Z,0)),"")</f>
        <v>PY42</v>
      </c>
      <c r="H135" s="2" t="n">
        <f aca="false">IFERROR(INDEX(Query_Source_View!$P:$P,MATCH(ROW()-14,Query_Source_View!$Z:$Z,0)),"")</f>
        <v>2</v>
      </c>
      <c r="I135" s="2" t="str">
        <f aca="false">IFERROR(INDEX(Query_Source_View!$Q:$Q,MATCH(ROW()-14,Query_Source_View!$Z:$Z,0)),"")</f>
        <v>No</v>
      </c>
      <c r="J135" s="2" t="n">
        <f aca="false">IFERROR(INDEX(Query_Source_View!$R:$R,MATCH(ROW()-14,Query_Source_View!$Z:$Z,0)),"")</f>
        <v>0</v>
      </c>
      <c r="K135" s="2" t="str">
        <f aca="false">IFERROR(INDEX(Query_Source_View!$T:$T,MATCH(ROW()-14,Query_Source_View!$Z:$Z,0)),"")</f>
        <v>AA</v>
      </c>
      <c r="L135" s="2" t="n">
        <f aca="false">IFERROR(INDEX(Query_Source_View!$U:$U,MATCH(ROW()-14,Query_Source_View!$Z:$Z,0)),"")</f>
        <v>0</v>
      </c>
      <c r="M135" s="2" t="n">
        <f aca="false">IFERROR(INDEX(Query_Source_View!$V:$V,MATCH(ROW()-14,Query_Source_View!$Z:$Z,0)),"")</f>
        <v>0</v>
      </c>
      <c r="N135" s="2" t="str">
        <f aca="false">IFERROR(INDEX(Query_Source_View!$W:$W,MATCH(ROW()-14,Query_Source_View!$Z:$Z,0)),"")</f>
        <v>Needs Review</v>
      </c>
      <c r="O135" s="2" t="str">
        <f aca="false">IFERROR(INDEX(Query_Source_View!$X:$X,MATCH(ROW()-14,Query_Source_View!$Z:$Z,0)),"")</f>
        <v>https://sensuallogic.com/artistcolordata</v>
      </c>
    </row>
    <row r="136" customFormat="false" ht="23.85" hidden="false" customHeight="false" outlineLevel="0" collapsed="false">
      <c r="A136" s="2" t="str">
        <f aca="false">IFERROR(INDEX(Query_Source_View!$A:$A,MATCH(ROW()-14,Query_Source_View!$Z:$Z,0)),"")</f>
        <v>PNT000097</v>
      </c>
      <c r="B136" s="2" t="str">
        <f aca="false">IFERROR(INDEX(Query_Source_View!$D:$D,MATCH(ROW()-14,Query_Source_View!$Z:$Z,0)),"")</f>
        <v>Winsor And Newton</v>
      </c>
      <c r="C136" s="2" t="str">
        <f aca="false">IFERROR(INDEX(Query_Source_View!$F:$F,MATCH(ROW()-14,Query_Source_View!$Z:$Z,0)),"")</f>
        <v>Gouache</v>
      </c>
      <c r="D136" s="2" t="str">
        <f aca="false">IFERROR(INDEX(Query_Source_View!$H:$H,MATCH(ROW()-14,Query_Source_View!$Z:$Z,0)),"")</f>
        <v>Designers Gouache</v>
      </c>
      <c r="E136" s="2" t="str">
        <f aca="false">IFERROR(INDEX(Query_Source_View!$J:$J,MATCH(ROW()-14,Query_Source_View!$Z:$Z,0)),"")</f>
        <v>Raw Umber</v>
      </c>
      <c r="F136" s="2" t="str">
        <f aca="false">IFERROR(INDEX(Query_Source_View!$L:$L,MATCH(ROW()-14,Query_Source_View!$Z:$Z,0)),"")</f>
        <v>Earth</v>
      </c>
      <c r="G136" s="2" t="str">
        <f aca="false">IFERROR(INDEX(Query_Source_View!$N:$N,MATCH(ROW()-14,Query_Source_View!$Z:$Z,0)),"")</f>
        <v>PBr7</v>
      </c>
      <c r="H136" s="2" t="n">
        <f aca="false">IFERROR(INDEX(Query_Source_View!$P:$P,MATCH(ROW()-14,Query_Source_View!$Z:$Z,0)),"")</f>
        <v>2</v>
      </c>
      <c r="I136" s="2" t="str">
        <f aca="false">IFERROR(INDEX(Query_Source_View!$Q:$Q,MATCH(ROW()-14,Query_Source_View!$Z:$Z,0)),"")</f>
        <v>No</v>
      </c>
      <c r="J136" s="2" t="n">
        <f aca="false">IFERROR(INDEX(Query_Source_View!$R:$R,MATCH(ROW()-14,Query_Source_View!$Z:$Z,0)),"")</f>
        <v>0</v>
      </c>
      <c r="K136" s="2" t="str">
        <f aca="false">IFERROR(INDEX(Query_Source_View!$T:$T,MATCH(ROW()-14,Query_Source_View!$Z:$Z,0)),"")</f>
        <v>AA</v>
      </c>
      <c r="L136" s="2" t="n">
        <f aca="false">IFERROR(INDEX(Query_Source_View!$U:$U,MATCH(ROW()-14,Query_Source_View!$Z:$Z,0)),"")</f>
        <v>0</v>
      </c>
      <c r="M136" s="2" t="n">
        <f aca="false">IFERROR(INDEX(Query_Source_View!$V:$V,MATCH(ROW()-14,Query_Source_View!$Z:$Z,0)),"")</f>
        <v>0</v>
      </c>
      <c r="N136" s="2" t="str">
        <f aca="false">IFERROR(INDEX(Query_Source_View!$W:$W,MATCH(ROW()-14,Query_Source_View!$Z:$Z,0)),"")</f>
        <v>Needs Review</v>
      </c>
      <c r="O136" s="2" t="str">
        <f aca="false">IFERROR(INDEX(Query_Source_View!$X:$X,MATCH(ROW()-14,Query_Source_View!$Z:$Z,0)),"")</f>
        <v>https://sensuallogic.com/artistcolordata</v>
      </c>
    </row>
    <row r="137" customFormat="false" ht="23.85" hidden="false" customHeight="false" outlineLevel="0" collapsed="false">
      <c r="A137" s="2" t="str">
        <f aca="false">IFERROR(INDEX(Query_Source_View!$A:$A,MATCH(ROW()-14,Query_Source_View!$Z:$Z,0)),"")</f>
        <v>PNT000098</v>
      </c>
      <c r="B137" s="2" t="str">
        <f aca="false">IFERROR(INDEX(Query_Source_View!$D:$D,MATCH(ROW()-14,Query_Source_View!$Z:$Z,0)),"")</f>
        <v>Winsor And Newton</v>
      </c>
      <c r="C137" s="2" t="str">
        <f aca="false">IFERROR(INDEX(Query_Source_View!$F:$F,MATCH(ROW()-14,Query_Source_View!$Z:$Z,0)),"")</f>
        <v>Gouache</v>
      </c>
      <c r="D137" s="2" t="str">
        <f aca="false">IFERROR(INDEX(Query_Source_View!$H:$H,MATCH(ROW()-14,Query_Source_View!$Z:$Z,0)),"")</f>
        <v>Designers Gouache</v>
      </c>
      <c r="E137" s="2" t="str">
        <f aca="false">IFERROR(INDEX(Query_Source_View!$J:$J,MATCH(ROW()-14,Query_Source_View!$Z:$Z,0)),"")</f>
        <v>Red Ochre</v>
      </c>
      <c r="F137" s="2" t="str">
        <f aca="false">IFERROR(INDEX(Query_Source_View!$L:$L,MATCH(ROW()-14,Query_Source_View!$Z:$Z,0)),"")</f>
        <v>Yellow</v>
      </c>
      <c r="G137" s="2" t="str">
        <f aca="false">IFERROR(INDEX(Query_Source_View!$N:$N,MATCH(ROW()-14,Query_Source_View!$Z:$Z,0)),"")</f>
        <v>PR101</v>
      </c>
      <c r="H137" s="2" t="n">
        <f aca="false">IFERROR(INDEX(Query_Source_View!$P:$P,MATCH(ROW()-14,Query_Source_View!$Z:$Z,0)),"")</f>
        <v>2</v>
      </c>
      <c r="I137" s="2" t="str">
        <f aca="false">IFERROR(INDEX(Query_Source_View!$Q:$Q,MATCH(ROW()-14,Query_Source_View!$Z:$Z,0)),"")</f>
        <v>No</v>
      </c>
      <c r="J137" s="2" t="n">
        <f aca="false">IFERROR(INDEX(Query_Source_View!$R:$R,MATCH(ROW()-14,Query_Source_View!$Z:$Z,0)),"")</f>
        <v>0</v>
      </c>
      <c r="K137" s="2" t="str">
        <f aca="false">IFERROR(INDEX(Query_Source_View!$T:$T,MATCH(ROW()-14,Query_Source_View!$Z:$Z,0)),"")</f>
        <v>A</v>
      </c>
      <c r="L137" s="2" t="n">
        <f aca="false">IFERROR(INDEX(Query_Source_View!$U:$U,MATCH(ROW()-14,Query_Source_View!$Z:$Z,0)),"")</f>
        <v>0</v>
      </c>
      <c r="M137" s="2" t="n">
        <f aca="false">IFERROR(INDEX(Query_Source_View!$V:$V,MATCH(ROW()-14,Query_Source_View!$Z:$Z,0)),"")</f>
        <v>0</v>
      </c>
      <c r="N137" s="2" t="str">
        <f aca="false">IFERROR(INDEX(Query_Source_View!$W:$W,MATCH(ROW()-14,Query_Source_View!$Z:$Z,0)),"")</f>
        <v>Needs Review</v>
      </c>
      <c r="O137" s="2" t="str">
        <f aca="false">IFERROR(INDEX(Query_Source_View!$X:$X,MATCH(ROW()-14,Query_Source_View!$Z:$Z,0)),"")</f>
        <v>https://sensuallogic.com/artistcolordata</v>
      </c>
    </row>
    <row r="138" customFormat="false" ht="23.85" hidden="false" customHeight="false" outlineLevel="0" collapsed="false">
      <c r="A138" s="2" t="str">
        <f aca="false">IFERROR(INDEX(Query_Source_View!$A:$A,MATCH(ROW()-14,Query_Source_View!$Z:$Z,0)),"")</f>
        <v>PNT000098</v>
      </c>
      <c r="B138" s="2" t="str">
        <f aca="false">IFERROR(INDEX(Query_Source_View!$D:$D,MATCH(ROW()-14,Query_Source_View!$Z:$Z,0)),"")</f>
        <v>Winsor And Newton</v>
      </c>
      <c r="C138" s="2" t="str">
        <f aca="false">IFERROR(INDEX(Query_Source_View!$F:$F,MATCH(ROW()-14,Query_Source_View!$Z:$Z,0)),"")</f>
        <v>Gouache</v>
      </c>
      <c r="D138" s="2" t="str">
        <f aca="false">IFERROR(INDEX(Query_Source_View!$H:$H,MATCH(ROW()-14,Query_Source_View!$Z:$Z,0)),"")</f>
        <v>Designers Gouache</v>
      </c>
      <c r="E138" s="2" t="str">
        <f aca="false">IFERROR(INDEX(Query_Source_View!$J:$J,MATCH(ROW()-14,Query_Source_View!$Z:$Z,0)),"")</f>
        <v>Red Ochre</v>
      </c>
      <c r="F138" s="2" t="str">
        <f aca="false">IFERROR(INDEX(Query_Source_View!$L:$L,MATCH(ROW()-14,Query_Source_View!$Z:$Z,0)),"")</f>
        <v>Yellow</v>
      </c>
      <c r="G138" s="2" t="str">
        <f aca="false">IFERROR(INDEX(Query_Source_View!$N:$N,MATCH(ROW()-14,Query_Source_View!$Z:$Z,0)),"")</f>
        <v>PV19</v>
      </c>
      <c r="H138" s="2" t="n">
        <f aca="false">IFERROR(INDEX(Query_Source_View!$P:$P,MATCH(ROW()-14,Query_Source_View!$Z:$Z,0)),"")</f>
        <v>2</v>
      </c>
      <c r="I138" s="2" t="str">
        <f aca="false">IFERROR(INDEX(Query_Source_View!$Q:$Q,MATCH(ROW()-14,Query_Source_View!$Z:$Z,0)),"")</f>
        <v>No</v>
      </c>
      <c r="J138" s="2" t="n">
        <f aca="false">IFERROR(INDEX(Query_Source_View!$R:$R,MATCH(ROW()-14,Query_Source_View!$Z:$Z,0)),"")</f>
        <v>0</v>
      </c>
      <c r="K138" s="2" t="str">
        <f aca="false">IFERROR(INDEX(Query_Source_View!$T:$T,MATCH(ROW()-14,Query_Source_View!$Z:$Z,0)),"")</f>
        <v>A</v>
      </c>
      <c r="L138" s="2" t="n">
        <f aca="false">IFERROR(INDEX(Query_Source_View!$U:$U,MATCH(ROW()-14,Query_Source_View!$Z:$Z,0)),"")</f>
        <v>0</v>
      </c>
      <c r="M138" s="2" t="n">
        <f aca="false">IFERROR(INDEX(Query_Source_View!$V:$V,MATCH(ROW()-14,Query_Source_View!$Z:$Z,0)),"")</f>
        <v>0</v>
      </c>
      <c r="N138" s="2" t="str">
        <f aca="false">IFERROR(INDEX(Query_Source_View!$W:$W,MATCH(ROW()-14,Query_Source_View!$Z:$Z,0)),"")</f>
        <v>Needs Review</v>
      </c>
      <c r="O138" s="2" t="str">
        <f aca="false">IFERROR(INDEX(Query_Source_View!$X:$X,MATCH(ROW()-14,Query_Source_View!$Z:$Z,0)),"")</f>
        <v>https://sensuallogic.com/artistcolordata</v>
      </c>
    </row>
    <row r="139" customFormat="false" ht="23.85" hidden="false" customHeight="false" outlineLevel="0" collapsed="false">
      <c r="A139" s="2" t="str">
        <f aca="false">IFERROR(INDEX(Query_Source_View!$A:$A,MATCH(ROW()-14,Query_Source_View!$Z:$Z,0)),"")</f>
        <v>PNT000099</v>
      </c>
      <c r="B139" s="2" t="str">
        <f aca="false">IFERROR(INDEX(Query_Source_View!$D:$D,MATCH(ROW()-14,Query_Source_View!$Z:$Z,0)),"")</f>
        <v>Winsor And Newton</v>
      </c>
      <c r="C139" s="2" t="str">
        <f aca="false">IFERROR(INDEX(Query_Source_View!$F:$F,MATCH(ROW()-14,Query_Source_View!$Z:$Z,0)),"")</f>
        <v>Gouache</v>
      </c>
      <c r="D139" s="2" t="str">
        <f aca="false">IFERROR(INDEX(Query_Source_View!$H:$H,MATCH(ROW()-14,Query_Source_View!$Z:$Z,0)),"")</f>
        <v>Designers Gouache</v>
      </c>
      <c r="E139" s="2" t="str">
        <f aca="false">IFERROR(INDEX(Query_Source_View!$J:$J,MATCH(ROW()-14,Query_Source_View!$Z:$Z,0)),"")</f>
        <v>Rose Tyrien</v>
      </c>
      <c r="F139" s="2" t="str">
        <f aca="false">IFERROR(INDEX(Query_Source_View!$L:$L,MATCH(ROW()-14,Query_Source_View!$Z:$Z,0)),"")</f>
        <v>Red</v>
      </c>
      <c r="G139" s="2" t="str">
        <f aca="false">IFERROR(INDEX(Query_Source_View!$N:$N,MATCH(ROW()-14,Query_Source_View!$Z:$Z,0)),"")</f>
        <v>PR173</v>
      </c>
      <c r="H139" s="2" t="n">
        <f aca="false">IFERROR(INDEX(Query_Source_View!$P:$P,MATCH(ROW()-14,Query_Source_View!$Z:$Z,0)),"")</f>
        <v>1</v>
      </c>
      <c r="I139" s="2" t="str">
        <f aca="false">IFERROR(INDEX(Query_Source_View!$Q:$Q,MATCH(ROW()-14,Query_Source_View!$Z:$Z,0)),"")</f>
        <v>Yes</v>
      </c>
      <c r="J139" s="2" t="n">
        <f aca="false">IFERROR(INDEX(Query_Source_View!$R:$R,MATCH(ROW()-14,Query_Source_View!$Z:$Z,0)),"")</f>
        <v>0</v>
      </c>
      <c r="K139" s="2" t="str">
        <f aca="false">IFERROR(INDEX(Query_Source_View!$T:$T,MATCH(ROW()-14,Query_Source_View!$Z:$Z,0)),"")</f>
        <v>C</v>
      </c>
      <c r="L139" s="2" t="n">
        <f aca="false">IFERROR(INDEX(Query_Source_View!$U:$U,MATCH(ROW()-14,Query_Source_View!$Z:$Z,0)),"")</f>
        <v>0</v>
      </c>
      <c r="M139" s="2" t="n">
        <f aca="false">IFERROR(INDEX(Query_Source_View!$V:$V,MATCH(ROW()-14,Query_Source_View!$Z:$Z,0)),"")</f>
        <v>0</v>
      </c>
      <c r="N139" s="2" t="str">
        <f aca="false">IFERROR(INDEX(Query_Source_View!$W:$W,MATCH(ROW()-14,Query_Source_View!$Z:$Z,0)),"")</f>
        <v>Needs Review</v>
      </c>
      <c r="O139" s="2" t="str">
        <f aca="false">IFERROR(INDEX(Query_Source_View!$X:$X,MATCH(ROW()-14,Query_Source_View!$Z:$Z,0)),"")</f>
        <v>https://sensuallogic.com/artistcolordata</v>
      </c>
    </row>
    <row r="140" customFormat="false" ht="23.85" hidden="false" customHeight="false" outlineLevel="0" collapsed="false">
      <c r="A140" s="2" t="str">
        <f aca="false">IFERROR(INDEX(Query_Source_View!$A:$A,MATCH(ROW()-14,Query_Source_View!$Z:$Z,0)),"")</f>
        <v>PNT000100</v>
      </c>
      <c r="B140" s="2" t="str">
        <f aca="false">IFERROR(INDEX(Query_Source_View!$D:$D,MATCH(ROW()-14,Query_Source_View!$Z:$Z,0)),"")</f>
        <v>Winsor And Newton</v>
      </c>
      <c r="C140" s="2" t="str">
        <f aca="false">IFERROR(INDEX(Query_Source_View!$F:$F,MATCH(ROW()-14,Query_Source_View!$Z:$Z,0)),"")</f>
        <v>Gouache</v>
      </c>
      <c r="D140" s="2" t="str">
        <f aca="false">IFERROR(INDEX(Query_Source_View!$H:$H,MATCH(ROW()-14,Query_Source_View!$Z:$Z,0)),"")</f>
        <v>Designers Gouache</v>
      </c>
      <c r="E140" s="2" t="str">
        <f aca="false">IFERROR(INDEX(Query_Source_View!$J:$J,MATCH(ROW()-14,Query_Source_View!$Z:$Z,0)),"")</f>
        <v>Spectrum Red</v>
      </c>
      <c r="F140" s="2" t="str">
        <f aca="false">IFERROR(INDEX(Query_Source_View!$L:$L,MATCH(ROW()-14,Query_Source_View!$Z:$Z,0)),"")</f>
        <v>Red</v>
      </c>
      <c r="G140" s="2" t="str">
        <f aca="false">IFERROR(INDEX(Query_Source_View!$N:$N,MATCH(ROW()-14,Query_Source_View!$Z:$Z,0)),"")</f>
        <v>PR170</v>
      </c>
      <c r="H140" s="2" t="n">
        <f aca="false">IFERROR(INDEX(Query_Source_View!$P:$P,MATCH(ROW()-14,Query_Source_View!$Z:$Z,0)),"")</f>
        <v>2</v>
      </c>
      <c r="I140" s="2" t="str">
        <f aca="false">IFERROR(INDEX(Query_Source_View!$Q:$Q,MATCH(ROW()-14,Query_Source_View!$Z:$Z,0)),"")</f>
        <v>No</v>
      </c>
      <c r="J140" s="2" t="n">
        <f aca="false">IFERROR(INDEX(Query_Source_View!$R:$R,MATCH(ROW()-14,Query_Source_View!$Z:$Z,0)),"")</f>
        <v>0</v>
      </c>
      <c r="K140" s="2" t="str">
        <f aca="false">IFERROR(INDEX(Query_Source_View!$T:$T,MATCH(ROW()-14,Query_Source_View!$Z:$Z,0)),"")</f>
        <v>A</v>
      </c>
      <c r="L140" s="2" t="n">
        <f aca="false">IFERROR(INDEX(Query_Source_View!$U:$U,MATCH(ROW()-14,Query_Source_View!$Z:$Z,0)),"")</f>
        <v>0</v>
      </c>
      <c r="M140" s="2" t="n">
        <f aca="false">IFERROR(INDEX(Query_Source_View!$V:$V,MATCH(ROW()-14,Query_Source_View!$Z:$Z,0)),"")</f>
        <v>0</v>
      </c>
      <c r="N140" s="2" t="str">
        <f aca="false">IFERROR(INDEX(Query_Source_View!$W:$W,MATCH(ROW()-14,Query_Source_View!$Z:$Z,0)),"")</f>
        <v>Needs Review</v>
      </c>
      <c r="O140" s="2" t="str">
        <f aca="false">IFERROR(INDEX(Query_Source_View!$X:$X,MATCH(ROW()-14,Query_Source_View!$Z:$Z,0)),"")</f>
        <v>https://sensuallogic.com/artistcolordata</v>
      </c>
    </row>
    <row r="141" customFormat="false" ht="23.85" hidden="false" customHeight="false" outlineLevel="0" collapsed="false">
      <c r="A141" s="2" t="str">
        <f aca="false">IFERROR(INDEX(Query_Source_View!$A:$A,MATCH(ROW()-14,Query_Source_View!$Z:$Z,0)),"")</f>
        <v>PNT000100</v>
      </c>
      <c r="B141" s="2" t="str">
        <f aca="false">IFERROR(INDEX(Query_Source_View!$D:$D,MATCH(ROW()-14,Query_Source_View!$Z:$Z,0)),"")</f>
        <v>Winsor And Newton</v>
      </c>
      <c r="C141" s="2" t="str">
        <f aca="false">IFERROR(INDEX(Query_Source_View!$F:$F,MATCH(ROW()-14,Query_Source_View!$Z:$Z,0)),"")</f>
        <v>Gouache</v>
      </c>
      <c r="D141" s="2" t="str">
        <f aca="false">IFERROR(INDEX(Query_Source_View!$H:$H,MATCH(ROW()-14,Query_Source_View!$Z:$Z,0)),"")</f>
        <v>Designers Gouache</v>
      </c>
      <c r="E141" s="2" t="str">
        <f aca="false">IFERROR(INDEX(Query_Source_View!$J:$J,MATCH(ROW()-14,Query_Source_View!$Z:$Z,0)),"")</f>
        <v>Spectrum Red</v>
      </c>
      <c r="F141" s="2" t="str">
        <f aca="false">IFERROR(INDEX(Query_Source_View!$L:$L,MATCH(ROW()-14,Query_Source_View!$Z:$Z,0)),"")</f>
        <v>Red</v>
      </c>
      <c r="G141" s="2" t="str">
        <f aca="false">IFERROR(INDEX(Query_Source_View!$N:$N,MATCH(ROW()-14,Query_Source_View!$Z:$Z,0)),"")</f>
        <v>PBr25</v>
      </c>
      <c r="H141" s="2" t="n">
        <f aca="false">IFERROR(INDEX(Query_Source_View!$P:$P,MATCH(ROW()-14,Query_Source_View!$Z:$Z,0)),"")</f>
        <v>2</v>
      </c>
      <c r="I141" s="2" t="str">
        <f aca="false">IFERROR(INDEX(Query_Source_View!$Q:$Q,MATCH(ROW()-14,Query_Source_View!$Z:$Z,0)),"")</f>
        <v>No</v>
      </c>
      <c r="J141" s="2" t="n">
        <f aca="false">IFERROR(INDEX(Query_Source_View!$R:$R,MATCH(ROW()-14,Query_Source_View!$Z:$Z,0)),"")</f>
        <v>0</v>
      </c>
      <c r="K141" s="2" t="str">
        <f aca="false">IFERROR(INDEX(Query_Source_View!$T:$T,MATCH(ROW()-14,Query_Source_View!$Z:$Z,0)),"")</f>
        <v>A</v>
      </c>
      <c r="L141" s="2" t="n">
        <f aca="false">IFERROR(INDEX(Query_Source_View!$U:$U,MATCH(ROW()-14,Query_Source_View!$Z:$Z,0)),"")</f>
        <v>0</v>
      </c>
      <c r="M141" s="2" t="n">
        <f aca="false">IFERROR(INDEX(Query_Source_View!$V:$V,MATCH(ROW()-14,Query_Source_View!$Z:$Z,0)),"")</f>
        <v>0</v>
      </c>
      <c r="N141" s="2" t="str">
        <f aca="false">IFERROR(INDEX(Query_Source_View!$W:$W,MATCH(ROW()-14,Query_Source_View!$Z:$Z,0)),"")</f>
        <v>Needs Review</v>
      </c>
      <c r="O141" s="2" t="str">
        <f aca="false">IFERROR(INDEX(Query_Source_View!$X:$X,MATCH(ROW()-14,Query_Source_View!$Z:$Z,0)),"")</f>
        <v>https://sensuallogic.com/artistcolordata</v>
      </c>
    </row>
    <row r="142" customFormat="false" ht="23.85" hidden="false" customHeight="false" outlineLevel="0" collapsed="false">
      <c r="A142" s="2" t="str">
        <f aca="false">IFERROR(INDEX(Query_Source_View!$A:$A,MATCH(ROW()-14,Query_Source_View!$Z:$Z,0)),"")</f>
        <v>PNT000101</v>
      </c>
      <c r="B142" s="2" t="str">
        <f aca="false">IFERROR(INDEX(Query_Source_View!$D:$D,MATCH(ROW()-14,Query_Source_View!$Z:$Z,0)),"")</f>
        <v>Winsor And Newton</v>
      </c>
      <c r="C142" s="2" t="str">
        <f aca="false">IFERROR(INDEX(Query_Source_View!$F:$F,MATCH(ROW()-14,Query_Source_View!$Z:$Z,0)),"")</f>
        <v>Gouache</v>
      </c>
      <c r="D142" s="2" t="str">
        <f aca="false">IFERROR(INDEX(Query_Source_View!$H:$H,MATCH(ROW()-14,Query_Source_View!$Z:$Z,0)),"")</f>
        <v>Designers Gouache</v>
      </c>
      <c r="E142" s="2" t="str">
        <f aca="false">IFERROR(INDEX(Query_Source_View!$J:$J,MATCH(ROW()-14,Query_Source_View!$Z:$Z,0)),"")</f>
        <v>Spectrum Violet</v>
      </c>
      <c r="F142" s="2" t="str">
        <f aca="false">IFERROR(INDEX(Query_Source_View!$L:$L,MATCH(ROW()-14,Query_Source_View!$Z:$Z,0)),"")</f>
        <v>Violet</v>
      </c>
      <c r="G142" s="2" t="str">
        <f aca="false">IFERROR(INDEX(Query_Source_View!$N:$N,MATCH(ROW()-14,Query_Source_View!$Z:$Z,0)),"")</f>
        <v>PV3</v>
      </c>
      <c r="H142" s="2" t="n">
        <f aca="false">IFERROR(INDEX(Query_Source_View!$P:$P,MATCH(ROW()-14,Query_Source_View!$Z:$Z,0)),"")</f>
        <v>1</v>
      </c>
      <c r="I142" s="2" t="str">
        <f aca="false">IFERROR(INDEX(Query_Source_View!$Q:$Q,MATCH(ROW()-14,Query_Source_View!$Z:$Z,0)),"")</f>
        <v>Yes</v>
      </c>
      <c r="J142" s="2" t="n">
        <f aca="false">IFERROR(INDEX(Query_Source_View!$R:$R,MATCH(ROW()-14,Query_Source_View!$Z:$Z,0)),"")</f>
        <v>0</v>
      </c>
      <c r="K142" s="2" t="str">
        <f aca="false">IFERROR(INDEX(Query_Source_View!$T:$T,MATCH(ROW()-14,Query_Source_View!$Z:$Z,0)),"")</f>
        <v>B</v>
      </c>
      <c r="L142" s="2" t="n">
        <f aca="false">IFERROR(INDEX(Query_Source_View!$U:$U,MATCH(ROW()-14,Query_Source_View!$Z:$Z,0)),"")</f>
        <v>0</v>
      </c>
      <c r="M142" s="2" t="n">
        <f aca="false">IFERROR(INDEX(Query_Source_View!$V:$V,MATCH(ROW()-14,Query_Source_View!$Z:$Z,0)),"")</f>
        <v>0</v>
      </c>
      <c r="N142" s="2" t="str">
        <f aca="false">IFERROR(INDEX(Query_Source_View!$W:$W,MATCH(ROW()-14,Query_Source_View!$Z:$Z,0)),"")</f>
        <v>Needs Review</v>
      </c>
      <c r="O142" s="2" t="str">
        <f aca="false">IFERROR(INDEX(Query_Source_View!$X:$X,MATCH(ROW()-14,Query_Source_View!$Z:$Z,0)),"")</f>
        <v>https://sensuallogic.com/artistcolordata</v>
      </c>
    </row>
    <row r="143" customFormat="false" ht="23.85" hidden="false" customHeight="false" outlineLevel="0" collapsed="false">
      <c r="A143" s="2" t="str">
        <f aca="false">IFERROR(INDEX(Query_Source_View!$A:$A,MATCH(ROW()-14,Query_Source_View!$Z:$Z,0)),"")</f>
        <v>PNT000102</v>
      </c>
      <c r="B143" s="2" t="str">
        <f aca="false">IFERROR(INDEX(Query_Source_View!$D:$D,MATCH(ROW()-14,Query_Source_View!$Z:$Z,0)),"")</f>
        <v>Winsor And Newton</v>
      </c>
      <c r="C143" s="2" t="str">
        <f aca="false">IFERROR(INDEX(Query_Source_View!$F:$F,MATCH(ROW()-14,Query_Source_View!$Z:$Z,0)),"")</f>
        <v>Gouache</v>
      </c>
      <c r="D143" s="2" t="str">
        <f aca="false">IFERROR(INDEX(Query_Source_View!$H:$H,MATCH(ROW()-14,Query_Source_View!$Z:$Z,0)),"")</f>
        <v>Designers Gouache</v>
      </c>
      <c r="E143" s="2" t="str">
        <f aca="false">IFERROR(INDEX(Query_Source_View!$J:$J,MATCH(ROW()-14,Query_Source_View!$Z:$Z,0)),"")</f>
        <v>Ultramarine</v>
      </c>
      <c r="F143" s="2" t="str">
        <f aca="false">IFERROR(INDEX(Query_Source_View!$L:$L,MATCH(ROW()-14,Query_Source_View!$Z:$Z,0)),"")</f>
        <v>Blue</v>
      </c>
      <c r="G143" s="2" t="str">
        <f aca="false">IFERROR(INDEX(Query_Source_View!$N:$N,MATCH(ROW()-14,Query_Source_View!$Z:$Z,0)),"")</f>
        <v>PB29</v>
      </c>
      <c r="H143" s="2" t="n">
        <f aca="false">IFERROR(INDEX(Query_Source_View!$P:$P,MATCH(ROW()-14,Query_Source_View!$Z:$Z,0)),"")</f>
        <v>1</v>
      </c>
      <c r="I143" s="2" t="str">
        <f aca="false">IFERROR(INDEX(Query_Source_View!$Q:$Q,MATCH(ROW()-14,Query_Source_View!$Z:$Z,0)),"")</f>
        <v>Yes</v>
      </c>
      <c r="J143" s="2" t="n">
        <f aca="false">IFERROR(INDEX(Query_Source_View!$R:$R,MATCH(ROW()-14,Query_Source_View!$Z:$Z,0)),"")</f>
        <v>0</v>
      </c>
      <c r="K143" s="2" t="str">
        <f aca="false">IFERROR(INDEX(Query_Source_View!$T:$T,MATCH(ROW()-14,Query_Source_View!$Z:$Z,0)),"")</f>
        <v>A</v>
      </c>
      <c r="L143" s="2" t="n">
        <f aca="false">IFERROR(INDEX(Query_Source_View!$U:$U,MATCH(ROW()-14,Query_Source_View!$Z:$Z,0)),"")</f>
        <v>0</v>
      </c>
      <c r="M143" s="2" t="n">
        <f aca="false">IFERROR(INDEX(Query_Source_View!$V:$V,MATCH(ROW()-14,Query_Source_View!$Z:$Z,0)),"")</f>
        <v>0</v>
      </c>
      <c r="N143" s="2" t="str">
        <f aca="false">IFERROR(INDEX(Query_Source_View!$W:$W,MATCH(ROW()-14,Query_Source_View!$Z:$Z,0)),"")</f>
        <v>Needs Review</v>
      </c>
      <c r="O143" s="2" t="str">
        <f aca="false">IFERROR(INDEX(Query_Source_View!$X:$X,MATCH(ROW()-14,Query_Source_View!$Z:$Z,0)),"")</f>
        <v>https://sensuallogic.com/artistcolordata</v>
      </c>
    </row>
    <row r="144" customFormat="false" ht="23.85" hidden="false" customHeight="false" outlineLevel="0" collapsed="false">
      <c r="A144" s="2" t="str">
        <f aca="false">IFERROR(INDEX(Query_Source_View!$A:$A,MATCH(ROW()-14,Query_Source_View!$Z:$Z,0)),"")</f>
        <v>PNT000103</v>
      </c>
      <c r="B144" s="2" t="str">
        <f aca="false">IFERROR(INDEX(Query_Source_View!$D:$D,MATCH(ROW()-14,Query_Source_View!$Z:$Z,0)),"")</f>
        <v>Winsor And Newton</v>
      </c>
      <c r="C144" s="2" t="str">
        <f aca="false">IFERROR(INDEX(Query_Source_View!$F:$F,MATCH(ROW()-14,Query_Source_View!$Z:$Z,0)),"")</f>
        <v>Gouache</v>
      </c>
      <c r="D144" s="2" t="str">
        <f aca="false">IFERROR(INDEX(Query_Source_View!$H:$H,MATCH(ROW()-14,Query_Source_View!$Z:$Z,0)),"")</f>
        <v>Designers Gouache</v>
      </c>
      <c r="E144" s="2" t="str">
        <f aca="false">IFERROR(INDEX(Query_Source_View!$J:$J,MATCH(ROW()-14,Query_Source_View!$Z:$Z,0)),"")</f>
        <v>Ultramarine Green Shade</v>
      </c>
      <c r="F144" s="2" t="str">
        <f aca="false">IFERROR(INDEX(Query_Source_View!$L:$L,MATCH(ROW()-14,Query_Source_View!$Z:$Z,0)),"")</f>
        <v>Blue</v>
      </c>
      <c r="G144" s="2" t="str">
        <f aca="false">IFERROR(INDEX(Query_Source_View!$N:$N,MATCH(ROW()-14,Query_Source_View!$Z:$Z,0)),"")</f>
        <v>PB29</v>
      </c>
      <c r="H144" s="2" t="n">
        <f aca="false">IFERROR(INDEX(Query_Source_View!$P:$P,MATCH(ROW()-14,Query_Source_View!$Z:$Z,0)),"")</f>
        <v>1</v>
      </c>
      <c r="I144" s="2" t="str">
        <f aca="false">IFERROR(INDEX(Query_Source_View!$Q:$Q,MATCH(ROW()-14,Query_Source_View!$Z:$Z,0)),"")</f>
        <v>Yes</v>
      </c>
      <c r="J144" s="2" t="n">
        <f aca="false">IFERROR(INDEX(Query_Source_View!$R:$R,MATCH(ROW()-14,Query_Source_View!$Z:$Z,0)),"")</f>
        <v>0</v>
      </c>
      <c r="K144" s="2" t="str">
        <f aca="false">IFERROR(INDEX(Query_Source_View!$T:$T,MATCH(ROW()-14,Query_Source_View!$Z:$Z,0)),"")</f>
        <v>A</v>
      </c>
      <c r="L144" s="2" t="n">
        <f aca="false">IFERROR(INDEX(Query_Source_View!$U:$U,MATCH(ROW()-14,Query_Source_View!$Z:$Z,0)),"")</f>
        <v>0</v>
      </c>
      <c r="M144" s="2" t="n">
        <f aca="false">IFERROR(INDEX(Query_Source_View!$V:$V,MATCH(ROW()-14,Query_Source_View!$Z:$Z,0)),"")</f>
        <v>0</v>
      </c>
      <c r="N144" s="2" t="str">
        <f aca="false">IFERROR(INDEX(Query_Source_View!$W:$W,MATCH(ROW()-14,Query_Source_View!$Z:$Z,0)),"")</f>
        <v>Needs Review</v>
      </c>
      <c r="O144" s="2" t="str">
        <f aca="false">IFERROR(INDEX(Query_Source_View!$X:$X,MATCH(ROW()-14,Query_Source_View!$Z:$Z,0)),"")</f>
        <v>https://sensuallogic.com/artistcolordata</v>
      </c>
    </row>
    <row r="145" customFormat="false" ht="23.85" hidden="false" customHeight="false" outlineLevel="0" collapsed="false">
      <c r="A145" s="2" t="str">
        <f aca="false">IFERROR(INDEX(Query_Source_View!$A:$A,MATCH(ROW()-14,Query_Source_View!$Z:$Z,0)),"")</f>
        <v>PNT000104</v>
      </c>
      <c r="B145" s="2" t="str">
        <f aca="false">IFERROR(INDEX(Query_Source_View!$D:$D,MATCH(ROW()-14,Query_Source_View!$Z:$Z,0)),"")</f>
        <v>Winsor And Newton</v>
      </c>
      <c r="C145" s="2" t="str">
        <f aca="false">IFERROR(INDEX(Query_Source_View!$F:$F,MATCH(ROW()-14,Query_Source_View!$Z:$Z,0)),"")</f>
        <v>Gouache</v>
      </c>
      <c r="D145" s="2" t="str">
        <f aca="false">IFERROR(INDEX(Query_Source_View!$H:$H,MATCH(ROW()-14,Query_Source_View!$Z:$Z,0)),"")</f>
        <v>Designers Gouache</v>
      </c>
      <c r="E145" s="2" t="str">
        <f aca="false">IFERROR(INDEX(Query_Source_View!$J:$J,MATCH(ROW()-14,Query_Source_View!$Z:$Z,0)),"")</f>
        <v>Viridian</v>
      </c>
      <c r="F145" s="2" t="str">
        <f aca="false">IFERROR(INDEX(Query_Source_View!$L:$L,MATCH(ROW()-14,Query_Source_View!$Z:$Z,0)),"")</f>
        <v>Green</v>
      </c>
      <c r="G145" s="2" t="str">
        <f aca="false">IFERROR(INDEX(Query_Source_View!$N:$N,MATCH(ROW()-14,Query_Source_View!$Z:$Z,0)),"")</f>
        <v>PG18</v>
      </c>
      <c r="H145" s="2" t="n">
        <f aca="false">IFERROR(INDEX(Query_Source_View!$P:$P,MATCH(ROW()-14,Query_Source_View!$Z:$Z,0)),"")</f>
        <v>1</v>
      </c>
      <c r="I145" s="2" t="str">
        <f aca="false">IFERROR(INDEX(Query_Source_View!$Q:$Q,MATCH(ROW()-14,Query_Source_View!$Z:$Z,0)),"")</f>
        <v>Yes</v>
      </c>
      <c r="J145" s="2" t="n">
        <f aca="false">IFERROR(INDEX(Query_Source_View!$R:$R,MATCH(ROW()-14,Query_Source_View!$Z:$Z,0)),"")</f>
        <v>0</v>
      </c>
      <c r="K145" s="2" t="str">
        <f aca="false">IFERROR(INDEX(Query_Source_View!$T:$T,MATCH(ROW()-14,Query_Source_View!$Z:$Z,0)),"")</f>
        <v>AA</v>
      </c>
      <c r="L145" s="2" t="n">
        <f aca="false">IFERROR(INDEX(Query_Source_View!$U:$U,MATCH(ROW()-14,Query_Source_View!$Z:$Z,0)),"")</f>
        <v>0</v>
      </c>
      <c r="M145" s="2" t="n">
        <f aca="false">IFERROR(INDEX(Query_Source_View!$V:$V,MATCH(ROW()-14,Query_Source_View!$Z:$Z,0)),"")</f>
        <v>0</v>
      </c>
      <c r="N145" s="2" t="str">
        <f aca="false">IFERROR(INDEX(Query_Source_View!$W:$W,MATCH(ROW()-14,Query_Source_View!$Z:$Z,0)),"")</f>
        <v>Needs Review</v>
      </c>
      <c r="O145" s="2" t="str">
        <f aca="false">IFERROR(INDEX(Query_Source_View!$X:$X,MATCH(ROW()-14,Query_Source_View!$Z:$Z,0)),"")</f>
        <v>https://sensuallogic.com/artistcolordata</v>
      </c>
    </row>
    <row r="146" customFormat="false" ht="23.85" hidden="false" customHeight="false" outlineLevel="0" collapsed="false">
      <c r="A146" s="2" t="str">
        <f aca="false">IFERROR(INDEX(Query_Source_View!$A:$A,MATCH(ROW()-14,Query_Source_View!$Z:$Z,0)),"")</f>
        <v>PNT000105</v>
      </c>
      <c r="B146" s="2" t="str">
        <f aca="false">IFERROR(INDEX(Query_Source_View!$D:$D,MATCH(ROW()-14,Query_Source_View!$Z:$Z,0)),"")</f>
        <v>Winsor And Newton</v>
      </c>
      <c r="C146" s="2" t="str">
        <f aca="false">IFERROR(INDEX(Query_Source_View!$F:$F,MATCH(ROW()-14,Query_Source_View!$Z:$Z,0)),"")</f>
        <v>Gouache</v>
      </c>
      <c r="D146" s="2" t="str">
        <f aca="false">IFERROR(INDEX(Query_Source_View!$H:$H,MATCH(ROW()-14,Query_Source_View!$Z:$Z,0)),"")</f>
        <v>Designers Gouache</v>
      </c>
      <c r="E146" s="2" t="str">
        <f aca="false">IFERROR(INDEX(Query_Source_View!$J:$J,MATCH(ROW()-14,Query_Source_View!$Z:$Z,0)),"")</f>
        <v>Winsor Blue</v>
      </c>
      <c r="F146" s="2" t="str">
        <f aca="false">IFERROR(INDEX(Query_Source_View!$L:$L,MATCH(ROW()-14,Query_Source_View!$Z:$Z,0)),"")</f>
        <v>Blue</v>
      </c>
      <c r="G146" s="2" t="str">
        <f aca="false">IFERROR(INDEX(Query_Source_View!$N:$N,MATCH(ROW()-14,Query_Source_View!$Z:$Z,0)),"")</f>
        <v>PB15</v>
      </c>
      <c r="H146" s="2" t="n">
        <f aca="false">IFERROR(INDEX(Query_Source_View!$P:$P,MATCH(ROW()-14,Query_Source_View!$Z:$Z,0)),"")</f>
        <v>1</v>
      </c>
      <c r="I146" s="2" t="str">
        <f aca="false">IFERROR(INDEX(Query_Source_View!$Q:$Q,MATCH(ROW()-14,Query_Source_View!$Z:$Z,0)),"")</f>
        <v>Yes</v>
      </c>
      <c r="J146" s="2" t="n">
        <f aca="false">IFERROR(INDEX(Query_Source_View!$R:$R,MATCH(ROW()-14,Query_Source_View!$Z:$Z,0)),"")</f>
        <v>0</v>
      </c>
      <c r="K146" s="2" t="str">
        <f aca="false">IFERROR(INDEX(Query_Source_View!$T:$T,MATCH(ROW()-14,Query_Source_View!$Z:$Z,0)),"")</f>
        <v>A</v>
      </c>
      <c r="L146" s="2" t="n">
        <f aca="false">IFERROR(INDEX(Query_Source_View!$U:$U,MATCH(ROW()-14,Query_Source_View!$Z:$Z,0)),"")</f>
        <v>0</v>
      </c>
      <c r="M146" s="2" t="n">
        <f aca="false">IFERROR(INDEX(Query_Source_View!$V:$V,MATCH(ROW()-14,Query_Source_View!$Z:$Z,0)),"")</f>
        <v>0</v>
      </c>
      <c r="N146" s="2" t="str">
        <f aca="false">IFERROR(INDEX(Query_Source_View!$W:$W,MATCH(ROW()-14,Query_Source_View!$Z:$Z,0)),"")</f>
        <v>Needs Review</v>
      </c>
      <c r="O146" s="2" t="str">
        <f aca="false">IFERROR(INDEX(Query_Source_View!$X:$X,MATCH(ROW()-14,Query_Source_View!$Z:$Z,0)),"")</f>
        <v>https://sensuallogic.com/artistcolordata</v>
      </c>
    </row>
    <row r="147" customFormat="false" ht="23.85" hidden="false" customHeight="false" outlineLevel="0" collapsed="false">
      <c r="A147" s="2" t="str">
        <f aca="false">IFERROR(INDEX(Query_Source_View!$A:$A,MATCH(ROW()-14,Query_Source_View!$Z:$Z,0)),"")</f>
        <v>PNT000106</v>
      </c>
      <c r="B147" s="2" t="str">
        <f aca="false">IFERROR(INDEX(Query_Source_View!$D:$D,MATCH(ROW()-14,Query_Source_View!$Z:$Z,0)),"")</f>
        <v>Winsor And Newton</v>
      </c>
      <c r="C147" s="2" t="str">
        <f aca="false">IFERROR(INDEX(Query_Source_View!$F:$F,MATCH(ROW()-14,Query_Source_View!$Z:$Z,0)),"")</f>
        <v>Gouache</v>
      </c>
      <c r="D147" s="2" t="str">
        <f aca="false">IFERROR(INDEX(Query_Source_View!$H:$H,MATCH(ROW()-14,Query_Source_View!$Z:$Z,0)),"")</f>
        <v>Designers Gouache</v>
      </c>
      <c r="E147" s="2" t="str">
        <f aca="false">IFERROR(INDEX(Query_Source_View!$J:$J,MATCH(ROW()-14,Query_Source_View!$Z:$Z,0)),"")</f>
        <v>Winsor Green</v>
      </c>
      <c r="F147" s="2" t="str">
        <f aca="false">IFERROR(INDEX(Query_Source_View!$L:$L,MATCH(ROW()-14,Query_Source_View!$Z:$Z,0)),"")</f>
        <v>Green</v>
      </c>
      <c r="G147" s="2" t="str">
        <f aca="false">IFERROR(INDEX(Query_Source_View!$N:$N,MATCH(ROW()-14,Query_Source_View!$Z:$Z,0)),"")</f>
        <v>PG7</v>
      </c>
      <c r="H147" s="2" t="n">
        <f aca="false">IFERROR(INDEX(Query_Source_View!$P:$P,MATCH(ROW()-14,Query_Source_View!$Z:$Z,0)),"")</f>
        <v>1</v>
      </c>
      <c r="I147" s="2" t="str">
        <f aca="false">IFERROR(INDEX(Query_Source_View!$Q:$Q,MATCH(ROW()-14,Query_Source_View!$Z:$Z,0)),"")</f>
        <v>Yes</v>
      </c>
      <c r="J147" s="2" t="n">
        <f aca="false">IFERROR(INDEX(Query_Source_View!$R:$R,MATCH(ROW()-14,Query_Source_View!$Z:$Z,0)),"")</f>
        <v>0</v>
      </c>
      <c r="K147" s="2" t="str">
        <f aca="false">IFERROR(INDEX(Query_Source_View!$T:$T,MATCH(ROW()-14,Query_Source_View!$Z:$Z,0)),"")</f>
        <v>A</v>
      </c>
      <c r="L147" s="2" t="n">
        <f aca="false">IFERROR(INDEX(Query_Source_View!$U:$U,MATCH(ROW()-14,Query_Source_View!$Z:$Z,0)),"")</f>
        <v>0</v>
      </c>
      <c r="M147" s="2" t="n">
        <f aca="false">IFERROR(INDEX(Query_Source_View!$V:$V,MATCH(ROW()-14,Query_Source_View!$Z:$Z,0)),"")</f>
        <v>0</v>
      </c>
      <c r="N147" s="2" t="str">
        <f aca="false">IFERROR(INDEX(Query_Source_View!$W:$W,MATCH(ROW()-14,Query_Source_View!$Z:$Z,0)),"")</f>
        <v>Needs Review</v>
      </c>
      <c r="O147" s="2" t="str">
        <f aca="false">IFERROR(INDEX(Query_Source_View!$X:$X,MATCH(ROW()-14,Query_Source_View!$Z:$Z,0)),"")</f>
        <v>https://sensuallogic.com/artistcolordata</v>
      </c>
    </row>
    <row r="148" customFormat="false" ht="23.85" hidden="false" customHeight="false" outlineLevel="0" collapsed="false">
      <c r="A148" s="2" t="str">
        <f aca="false">IFERROR(INDEX(Query_Source_View!$A:$A,MATCH(ROW()-14,Query_Source_View!$Z:$Z,0)),"")</f>
        <v>PNT000107</v>
      </c>
      <c r="B148" s="2" t="str">
        <f aca="false">IFERROR(INDEX(Query_Source_View!$D:$D,MATCH(ROW()-14,Query_Source_View!$Z:$Z,0)),"")</f>
        <v>Winsor And Newton</v>
      </c>
      <c r="C148" s="2" t="str">
        <f aca="false">IFERROR(INDEX(Query_Source_View!$F:$F,MATCH(ROW()-14,Query_Source_View!$Z:$Z,0)),"")</f>
        <v>Gouache</v>
      </c>
      <c r="D148" s="2" t="str">
        <f aca="false">IFERROR(INDEX(Query_Source_View!$H:$H,MATCH(ROW()-14,Query_Source_View!$Z:$Z,0)),"")</f>
        <v>Designers Gouache</v>
      </c>
      <c r="E148" s="2" t="str">
        <f aca="false">IFERROR(INDEX(Query_Source_View!$J:$J,MATCH(ROW()-14,Query_Source_View!$Z:$Z,0)),"")</f>
        <v>Winsor Violet (Dioxazine)</v>
      </c>
      <c r="F148" s="2" t="str">
        <f aca="false">IFERROR(INDEX(Query_Source_View!$L:$L,MATCH(ROW()-14,Query_Source_View!$Z:$Z,0)),"")</f>
        <v>Violet</v>
      </c>
      <c r="G148" s="2" t="str">
        <f aca="false">IFERROR(INDEX(Query_Source_View!$N:$N,MATCH(ROW()-14,Query_Source_View!$Z:$Z,0)),"")</f>
        <v>PV23</v>
      </c>
      <c r="H148" s="2" t="n">
        <f aca="false">IFERROR(INDEX(Query_Source_View!$P:$P,MATCH(ROW()-14,Query_Source_View!$Z:$Z,0)),"")</f>
        <v>1</v>
      </c>
      <c r="I148" s="2" t="str">
        <f aca="false">IFERROR(INDEX(Query_Source_View!$Q:$Q,MATCH(ROW()-14,Query_Source_View!$Z:$Z,0)),"")</f>
        <v>Yes</v>
      </c>
      <c r="J148" s="2" t="n">
        <f aca="false">IFERROR(INDEX(Query_Source_View!$R:$R,MATCH(ROW()-14,Query_Source_View!$Z:$Z,0)),"")</f>
        <v>0</v>
      </c>
      <c r="K148" s="2" t="str">
        <f aca="false">IFERROR(INDEX(Query_Source_View!$T:$T,MATCH(ROW()-14,Query_Source_View!$Z:$Z,0)),"")</f>
        <v>A</v>
      </c>
      <c r="L148" s="2" t="n">
        <f aca="false">IFERROR(INDEX(Query_Source_View!$U:$U,MATCH(ROW()-14,Query_Source_View!$Z:$Z,0)),"")</f>
        <v>0</v>
      </c>
      <c r="M148" s="2" t="n">
        <f aca="false">IFERROR(INDEX(Query_Source_View!$V:$V,MATCH(ROW()-14,Query_Source_View!$Z:$Z,0)),"")</f>
        <v>0</v>
      </c>
      <c r="N148" s="2" t="str">
        <f aca="false">IFERROR(INDEX(Query_Source_View!$W:$W,MATCH(ROW()-14,Query_Source_View!$Z:$Z,0)),"")</f>
        <v>Needs Review</v>
      </c>
      <c r="O148" s="2" t="str">
        <f aca="false">IFERROR(INDEX(Query_Source_View!$X:$X,MATCH(ROW()-14,Query_Source_View!$Z:$Z,0)),"")</f>
        <v>https://sensuallogic.com/artistcolordata</v>
      </c>
    </row>
    <row r="149" customFormat="false" ht="23.85" hidden="false" customHeight="false" outlineLevel="0" collapsed="false">
      <c r="A149" s="2" t="str">
        <f aca="false">IFERROR(INDEX(Query_Source_View!$A:$A,MATCH(ROW()-14,Query_Source_View!$Z:$Z,0)),"")</f>
        <v>PNT000108</v>
      </c>
      <c r="B149" s="2" t="str">
        <f aca="false">IFERROR(INDEX(Query_Source_View!$D:$D,MATCH(ROW()-14,Query_Source_View!$Z:$Z,0)),"")</f>
        <v>Winsor And Newton</v>
      </c>
      <c r="C149" s="2" t="str">
        <f aca="false">IFERROR(INDEX(Query_Source_View!$F:$F,MATCH(ROW()-14,Query_Source_View!$Z:$Z,0)),"")</f>
        <v>Gouache</v>
      </c>
      <c r="D149" s="2" t="str">
        <f aca="false">IFERROR(INDEX(Query_Source_View!$H:$H,MATCH(ROW()-14,Query_Source_View!$Z:$Z,0)),"")</f>
        <v>Designers Gouache</v>
      </c>
      <c r="E149" s="2" t="str">
        <f aca="false">IFERROR(INDEX(Query_Source_View!$J:$J,MATCH(ROW()-14,Query_Source_View!$Z:$Z,0)),"")</f>
        <v>Yellow Ochre</v>
      </c>
      <c r="F149" s="2" t="str">
        <f aca="false">IFERROR(INDEX(Query_Source_View!$L:$L,MATCH(ROW()-14,Query_Source_View!$Z:$Z,0)),"")</f>
        <v>Yellow</v>
      </c>
      <c r="G149" s="2" t="str">
        <f aca="false">IFERROR(INDEX(Query_Source_View!$N:$N,MATCH(ROW()-14,Query_Source_View!$Z:$Z,0)),"")</f>
        <v>PY42</v>
      </c>
      <c r="H149" s="2" t="n">
        <f aca="false">IFERROR(INDEX(Query_Source_View!$P:$P,MATCH(ROW()-14,Query_Source_View!$Z:$Z,0)),"")</f>
        <v>1</v>
      </c>
      <c r="I149" s="2" t="str">
        <f aca="false">IFERROR(INDEX(Query_Source_View!$Q:$Q,MATCH(ROW()-14,Query_Source_View!$Z:$Z,0)),"")</f>
        <v>Yes</v>
      </c>
      <c r="J149" s="2" t="n">
        <f aca="false">IFERROR(INDEX(Query_Source_View!$R:$R,MATCH(ROW()-14,Query_Source_View!$Z:$Z,0)),"")</f>
        <v>0</v>
      </c>
      <c r="K149" s="2" t="str">
        <f aca="false">IFERROR(INDEX(Query_Source_View!$T:$T,MATCH(ROW()-14,Query_Source_View!$Z:$Z,0)),"")</f>
        <v>AA</v>
      </c>
      <c r="L149" s="2" t="n">
        <f aca="false">IFERROR(INDEX(Query_Source_View!$U:$U,MATCH(ROW()-14,Query_Source_View!$Z:$Z,0)),"")</f>
        <v>0</v>
      </c>
      <c r="M149" s="2" t="n">
        <f aca="false">IFERROR(INDEX(Query_Source_View!$V:$V,MATCH(ROW()-14,Query_Source_View!$Z:$Z,0)),"")</f>
        <v>0</v>
      </c>
      <c r="N149" s="2" t="str">
        <f aca="false">IFERROR(INDEX(Query_Source_View!$W:$W,MATCH(ROW()-14,Query_Source_View!$Z:$Z,0)),"")</f>
        <v>Needs Review</v>
      </c>
      <c r="O149" s="2" t="str">
        <f aca="false">IFERROR(INDEX(Query_Source_View!$X:$X,MATCH(ROW()-14,Query_Source_View!$Z:$Z,0)),"")</f>
        <v>https://sensuallogic.com/artistcolordata</v>
      </c>
    </row>
    <row r="150" customFormat="false" ht="23.85" hidden="false" customHeight="false" outlineLevel="0" collapsed="false">
      <c r="A150" s="2" t="str">
        <f aca="false">IFERROR(INDEX(Query_Source_View!$A:$A,MATCH(ROW()-14,Query_Source_View!$Z:$Z,0)),"")</f>
        <v>PNT000109</v>
      </c>
      <c r="B150" s="2" t="str">
        <f aca="false">IFERROR(INDEX(Query_Source_View!$D:$D,MATCH(ROW()-14,Query_Source_View!$Z:$Z,0)),"")</f>
        <v>Winsor And Newton</v>
      </c>
      <c r="C150" s="2" t="str">
        <f aca="false">IFERROR(INDEX(Query_Source_View!$F:$F,MATCH(ROW()-14,Query_Source_View!$Z:$Z,0)),"")</f>
        <v>Gouache</v>
      </c>
      <c r="D150" s="2" t="str">
        <f aca="false">IFERROR(INDEX(Query_Source_View!$H:$H,MATCH(ROW()-14,Query_Source_View!$Z:$Z,0)),"")</f>
        <v>Designers Gouache</v>
      </c>
      <c r="E150" s="2" t="str">
        <f aca="false">IFERROR(INDEX(Query_Source_View!$J:$J,MATCH(ROW()-14,Query_Source_View!$Z:$Z,0)),"")</f>
        <v>Zinc White</v>
      </c>
      <c r="F150" s="2" t="str">
        <f aca="false">IFERROR(INDEX(Query_Source_View!$L:$L,MATCH(ROW()-14,Query_Source_View!$Z:$Z,0)),"")</f>
        <v>White</v>
      </c>
      <c r="G150" s="2" t="str">
        <f aca="false">IFERROR(INDEX(Query_Source_View!$N:$N,MATCH(ROW()-14,Query_Source_View!$Z:$Z,0)),"")</f>
        <v>PW5</v>
      </c>
      <c r="H150" s="2" t="n">
        <f aca="false">IFERROR(INDEX(Query_Source_View!$P:$P,MATCH(ROW()-14,Query_Source_View!$Z:$Z,0)),"")</f>
        <v>1</v>
      </c>
      <c r="I150" s="2" t="str">
        <f aca="false">IFERROR(INDEX(Query_Source_View!$Q:$Q,MATCH(ROW()-14,Query_Source_View!$Z:$Z,0)),"")</f>
        <v>Yes</v>
      </c>
      <c r="J150" s="2" t="n">
        <f aca="false">IFERROR(INDEX(Query_Source_View!$R:$R,MATCH(ROW()-14,Query_Source_View!$Z:$Z,0)),"")</f>
        <v>0</v>
      </c>
      <c r="K150" s="2" t="str">
        <f aca="false">IFERROR(INDEX(Query_Source_View!$T:$T,MATCH(ROW()-14,Query_Source_View!$Z:$Z,0)),"")</f>
        <v>A</v>
      </c>
      <c r="L150" s="2" t="n">
        <f aca="false">IFERROR(INDEX(Query_Source_View!$U:$U,MATCH(ROW()-14,Query_Source_View!$Z:$Z,0)),"")</f>
        <v>0</v>
      </c>
      <c r="M150" s="2" t="n">
        <f aca="false">IFERROR(INDEX(Query_Source_View!$V:$V,MATCH(ROW()-14,Query_Source_View!$Z:$Z,0)),"")</f>
        <v>0</v>
      </c>
      <c r="N150" s="2" t="str">
        <f aca="false">IFERROR(INDEX(Query_Source_View!$W:$W,MATCH(ROW()-14,Query_Source_View!$Z:$Z,0)),"")</f>
        <v>Needs Review</v>
      </c>
      <c r="O150" s="2" t="str">
        <f aca="false">IFERROR(INDEX(Query_Source_View!$X:$X,MATCH(ROW()-14,Query_Source_View!$Z:$Z,0)),"")</f>
        <v>https://sensuallogic.com/artistcolordata</v>
      </c>
    </row>
    <row r="151" customFormat="false" ht="23.85" hidden="false" customHeight="false" outlineLevel="0" collapsed="false">
      <c r="A151" s="2" t="str">
        <f aca="false">IFERROR(INDEX(Query_Source_View!$A:$A,MATCH(ROW()-14,Query_Source_View!$Z:$Z,0)),"")</f>
        <v>PNT000110</v>
      </c>
      <c r="B151" s="2" t="str">
        <f aca="false">IFERROR(INDEX(Query_Source_View!$D:$D,MATCH(ROW()-14,Query_Source_View!$Z:$Z,0)),"")</f>
        <v>Winsor And Newton</v>
      </c>
      <c r="C151" s="2" t="str">
        <f aca="false">IFERROR(INDEX(Query_Source_View!$F:$F,MATCH(ROW()-14,Query_Source_View!$Z:$Z,0)),"")</f>
        <v>Acrylic</v>
      </c>
      <c r="D151" s="2" t="str">
        <f aca="false">IFERROR(INDEX(Query_Source_View!$H:$H,MATCH(ROW()-14,Query_Source_View!$Z:$Z,0)),"")</f>
        <v>Galeria Acrylic</v>
      </c>
      <c r="E151" s="2" t="str">
        <f aca="false">IFERROR(INDEX(Query_Source_View!$J:$J,MATCH(ROW()-14,Query_Source_View!$Z:$Z,0)),"")</f>
        <v>Buff Titanium</v>
      </c>
      <c r="F151" s="2" t="str">
        <f aca="false">IFERROR(INDEX(Query_Source_View!$L:$L,MATCH(ROW()-14,Query_Source_View!$Z:$Z,0)),"")</f>
        <v>White</v>
      </c>
      <c r="G151" s="2" t="str">
        <f aca="false">IFERROR(INDEX(Query_Source_View!$N:$N,MATCH(ROW()-14,Query_Source_View!$Z:$Z,0)),"")</f>
        <v>PW6</v>
      </c>
      <c r="H151" s="2" t="n">
        <f aca="false">IFERROR(INDEX(Query_Source_View!$P:$P,MATCH(ROW()-14,Query_Source_View!$Z:$Z,0)),"")</f>
        <v>4</v>
      </c>
      <c r="I151" s="2" t="str">
        <f aca="false">IFERROR(INDEX(Query_Source_View!$Q:$Q,MATCH(ROW()-14,Query_Source_View!$Z:$Z,0)),"")</f>
        <v>No</v>
      </c>
      <c r="J151" s="2" t="n">
        <f aca="false">IFERROR(INDEX(Query_Source_View!$R:$R,MATCH(ROW()-14,Query_Source_View!$Z:$Z,0)),"")</f>
        <v>0</v>
      </c>
      <c r="K151" s="2" t="str">
        <f aca="false">IFERROR(INDEX(Query_Source_View!$T:$T,MATCH(ROW()-14,Query_Source_View!$Z:$Z,0)),"")</f>
        <v>AA</v>
      </c>
      <c r="L151" s="2" t="n">
        <f aca="false">IFERROR(INDEX(Query_Source_View!$U:$U,MATCH(ROW()-14,Query_Source_View!$Z:$Z,0)),"")</f>
        <v>0</v>
      </c>
      <c r="M151" s="2" t="n">
        <f aca="false">IFERROR(INDEX(Query_Source_View!$V:$V,MATCH(ROW()-14,Query_Source_View!$Z:$Z,0)),"")</f>
        <v>0</v>
      </c>
      <c r="N151" s="2" t="str">
        <f aca="false">IFERROR(INDEX(Query_Source_View!$W:$W,MATCH(ROW()-14,Query_Source_View!$Z:$Z,0)),"")</f>
        <v>Needs Review</v>
      </c>
      <c r="O151" s="2" t="str">
        <f aca="false">IFERROR(INDEX(Query_Source_View!$X:$X,MATCH(ROW()-14,Query_Source_View!$Z:$Z,0)),"")</f>
        <v>https://sensuallogic.com/artistcolordata</v>
      </c>
    </row>
    <row r="152" customFormat="false" ht="23.85" hidden="false" customHeight="false" outlineLevel="0" collapsed="false">
      <c r="A152" s="2" t="str">
        <f aca="false">IFERROR(INDEX(Query_Source_View!$A:$A,MATCH(ROW()-14,Query_Source_View!$Z:$Z,0)),"")</f>
        <v>PNT000110</v>
      </c>
      <c r="B152" s="2" t="str">
        <f aca="false">IFERROR(INDEX(Query_Source_View!$D:$D,MATCH(ROW()-14,Query_Source_View!$Z:$Z,0)),"")</f>
        <v>Winsor And Newton</v>
      </c>
      <c r="C152" s="2" t="str">
        <f aca="false">IFERROR(INDEX(Query_Source_View!$F:$F,MATCH(ROW()-14,Query_Source_View!$Z:$Z,0)),"")</f>
        <v>Acrylic</v>
      </c>
      <c r="D152" s="2" t="str">
        <f aca="false">IFERROR(INDEX(Query_Source_View!$H:$H,MATCH(ROW()-14,Query_Source_View!$Z:$Z,0)),"")</f>
        <v>Galeria Acrylic</v>
      </c>
      <c r="E152" s="2" t="str">
        <f aca="false">IFERROR(INDEX(Query_Source_View!$J:$J,MATCH(ROW()-14,Query_Source_View!$Z:$Z,0)),"")</f>
        <v>Buff Titanium</v>
      </c>
      <c r="F152" s="2" t="str">
        <f aca="false">IFERROR(INDEX(Query_Source_View!$L:$L,MATCH(ROW()-14,Query_Source_View!$Z:$Z,0)),"")</f>
        <v>White</v>
      </c>
      <c r="G152" s="2" t="str">
        <f aca="false">IFERROR(INDEX(Query_Source_View!$N:$N,MATCH(ROW()-14,Query_Source_View!$Z:$Z,0)),"")</f>
        <v>PY42</v>
      </c>
      <c r="H152" s="2" t="n">
        <f aca="false">IFERROR(INDEX(Query_Source_View!$P:$P,MATCH(ROW()-14,Query_Source_View!$Z:$Z,0)),"")</f>
        <v>4</v>
      </c>
      <c r="I152" s="2" t="str">
        <f aca="false">IFERROR(INDEX(Query_Source_View!$Q:$Q,MATCH(ROW()-14,Query_Source_View!$Z:$Z,0)),"")</f>
        <v>No</v>
      </c>
      <c r="J152" s="2" t="n">
        <f aca="false">IFERROR(INDEX(Query_Source_View!$R:$R,MATCH(ROW()-14,Query_Source_View!$Z:$Z,0)),"")</f>
        <v>0</v>
      </c>
      <c r="K152" s="2" t="str">
        <f aca="false">IFERROR(INDEX(Query_Source_View!$T:$T,MATCH(ROW()-14,Query_Source_View!$Z:$Z,0)),"")</f>
        <v>AA</v>
      </c>
      <c r="L152" s="2" t="n">
        <f aca="false">IFERROR(INDEX(Query_Source_View!$U:$U,MATCH(ROW()-14,Query_Source_View!$Z:$Z,0)),"")</f>
        <v>0</v>
      </c>
      <c r="M152" s="2" t="n">
        <f aca="false">IFERROR(INDEX(Query_Source_View!$V:$V,MATCH(ROW()-14,Query_Source_View!$Z:$Z,0)),"")</f>
        <v>0</v>
      </c>
      <c r="N152" s="2" t="str">
        <f aca="false">IFERROR(INDEX(Query_Source_View!$W:$W,MATCH(ROW()-14,Query_Source_View!$Z:$Z,0)),"")</f>
        <v>Needs Review</v>
      </c>
      <c r="O152" s="2" t="str">
        <f aca="false">IFERROR(INDEX(Query_Source_View!$X:$X,MATCH(ROW()-14,Query_Source_View!$Z:$Z,0)),"")</f>
        <v>https://sensuallogic.com/artistcolordata</v>
      </c>
    </row>
    <row r="153" customFormat="false" ht="23.85" hidden="false" customHeight="false" outlineLevel="0" collapsed="false">
      <c r="A153" s="2" t="str">
        <f aca="false">IFERROR(INDEX(Query_Source_View!$A:$A,MATCH(ROW()-14,Query_Source_View!$Z:$Z,0)),"")</f>
        <v>PNT000110</v>
      </c>
      <c r="B153" s="2" t="str">
        <f aca="false">IFERROR(INDEX(Query_Source_View!$D:$D,MATCH(ROW()-14,Query_Source_View!$Z:$Z,0)),"")</f>
        <v>Winsor And Newton</v>
      </c>
      <c r="C153" s="2" t="str">
        <f aca="false">IFERROR(INDEX(Query_Source_View!$F:$F,MATCH(ROW()-14,Query_Source_View!$Z:$Z,0)),"")</f>
        <v>Acrylic</v>
      </c>
      <c r="D153" s="2" t="str">
        <f aca="false">IFERROR(INDEX(Query_Source_View!$H:$H,MATCH(ROW()-14,Query_Source_View!$Z:$Z,0)),"")</f>
        <v>Galeria Acrylic</v>
      </c>
      <c r="E153" s="2" t="str">
        <f aca="false">IFERROR(INDEX(Query_Source_View!$J:$J,MATCH(ROW()-14,Query_Source_View!$Z:$Z,0)),"")</f>
        <v>Buff Titanium</v>
      </c>
      <c r="F153" s="2" t="str">
        <f aca="false">IFERROR(INDEX(Query_Source_View!$L:$L,MATCH(ROW()-14,Query_Source_View!$Z:$Z,0)),"")</f>
        <v>White</v>
      </c>
      <c r="G153" s="2" t="str">
        <f aca="false">IFERROR(INDEX(Query_Source_View!$N:$N,MATCH(ROW()-14,Query_Source_View!$Z:$Z,0)),"")</f>
        <v>PR101</v>
      </c>
      <c r="H153" s="2" t="n">
        <f aca="false">IFERROR(INDEX(Query_Source_View!$P:$P,MATCH(ROW()-14,Query_Source_View!$Z:$Z,0)),"")</f>
        <v>4</v>
      </c>
      <c r="I153" s="2" t="str">
        <f aca="false">IFERROR(INDEX(Query_Source_View!$Q:$Q,MATCH(ROW()-14,Query_Source_View!$Z:$Z,0)),"")</f>
        <v>No</v>
      </c>
      <c r="J153" s="2" t="n">
        <f aca="false">IFERROR(INDEX(Query_Source_View!$R:$R,MATCH(ROW()-14,Query_Source_View!$Z:$Z,0)),"")</f>
        <v>0</v>
      </c>
      <c r="K153" s="2" t="str">
        <f aca="false">IFERROR(INDEX(Query_Source_View!$T:$T,MATCH(ROW()-14,Query_Source_View!$Z:$Z,0)),"")</f>
        <v>AA</v>
      </c>
      <c r="L153" s="2" t="n">
        <f aca="false">IFERROR(INDEX(Query_Source_View!$U:$U,MATCH(ROW()-14,Query_Source_View!$Z:$Z,0)),"")</f>
        <v>0</v>
      </c>
      <c r="M153" s="2" t="n">
        <f aca="false">IFERROR(INDEX(Query_Source_View!$V:$V,MATCH(ROW()-14,Query_Source_View!$Z:$Z,0)),"")</f>
        <v>0</v>
      </c>
      <c r="N153" s="2" t="str">
        <f aca="false">IFERROR(INDEX(Query_Source_View!$W:$W,MATCH(ROW()-14,Query_Source_View!$Z:$Z,0)),"")</f>
        <v>Needs Review</v>
      </c>
      <c r="O153" s="2" t="str">
        <f aca="false">IFERROR(INDEX(Query_Source_View!$X:$X,MATCH(ROW()-14,Query_Source_View!$Z:$Z,0)),"")</f>
        <v>https://sensuallogic.com/artistcolordata</v>
      </c>
    </row>
    <row r="154" customFormat="false" ht="23.85" hidden="false" customHeight="false" outlineLevel="0" collapsed="false">
      <c r="A154" s="2" t="str">
        <f aca="false">IFERROR(INDEX(Query_Source_View!$A:$A,MATCH(ROW()-14,Query_Source_View!$Z:$Z,0)),"")</f>
        <v>PNT000110</v>
      </c>
      <c r="B154" s="2" t="str">
        <f aca="false">IFERROR(INDEX(Query_Source_View!$D:$D,MATCH(ROW()-14,Query_Source_View!$Z:$Z,0)),"")</f>
        <v>Winsor And Newton</v>
      </c>
      <c r="C154" s="2" t="str">
        <f aca="false">IFERROR(INDEX(Query_Source_View!$F:$F,MATCH(ROW()-14,Query_Source_View!$Z:$Z,0)),"")</f>
        <v>Acrylic</v>
      </c>
      <c r="D154" s="2" t="str">
        <f aca="false">IFERROR(INDEX(Query_Source_View!$H:$H,MATCH(ROW()-14,Query_Source_View!$Z:$Z,0)),"")</f>
        <v>Galeria Acrylic</v>
      </c>
      <c r="E154" s="2" t="str">
        <f aca="false">IFERROR(INDEX(Query_Source_View!$J:$J,MATCH(ROW()-14,Query_Source_View!$Z:$Z,0)),"")</f>
        <v>Buff Titanium</v>
      </c>
      <c r="F154" s="2" t="str">
        <f aca="false">IFERROR(INDEX(Query_Source_View!$L:$L,MATCH(ROW()-14,Query_Source_View!$Z:$Z,0)),"")</f>
        <v>White</v>
      </c>
      <c r="G154" s="2" t="str">
        <f aca="false">IFERROR(INDEX(Query_Source_View!$N:$N,MATCH(ROW()-14,Query_Source_View!$Z:$Z,0)),"")</f>
        <v>PBk11</v>
      </c>
      <c r="H154" s="2" t="n">
        <f aca="false">IFERROR(INDEX(Query_Source_View!$P:$P,MATCH(ROW()-14,Query_Source_View!$Z:$Z,0)),"")</f>
        <v>4</v>
      </c>
      <c r="I154" s="2" t="str">
        <f aca="false">IFERROR(INDEX(Query_Source_View!$Q:$Q,MATCH(ROW()-14,Query_Source_View!$Z:$Z,0)),"")</f>
        <v>No</v>
      </c>
      <c r="J154" s="2" t="n">
        <f aca="false">IFERROR(INDEX(Query_Source_View!$R:$R,MATCH(ROW()-14,Query_Source_View!$Z:$Z,0)),"")</f>
        <v>0</v>
      </c>
      <c r="K154" s="2" t="str">
        <f aca="false">IFERROR(INDEX(Query_Source_View!$T:$T,MATCH(ROW()-14,Query_Source_View!$Z:$Z,0)),"")</f>
        <v>AA</v>
      </c>
      <c r="L154" s="2" t="n">
        <f aca="false">IFERROR(INDEX(Query_Source_View!$U:$U,MATCH(ROW()-14,Query_Source_View!$Z:$Z,0)),"")</f>
        <v>0</v>
      </c>
      <c r="M154" s="2" t="n">
        <f aca="false">IFERROR(INDEX(Query_Source_View!$V:$V,MATCH(ROW()-14,Query_Source_View!$Z:$Z,0)),"")</f>
        <v>0</v>
      </c>
      <c r="N154" s="2" t="str">
        <f aca="false">IFERROR(INDEX(Query_Source_View!$W:$W,MATCH(ROW()-14,Query_Source_View!$Z:$Z,0)),"")</f>
        <v>Needs Review</v>
      </c>
      <c r="O154" s="2" t="str">
        <f aca="false">IFERROR(INDEX(Query_Source_View!$X:$X,MATCH(ROW()-14,Query_Source_View!$Z:$Z,0)),"")</f>
        <v>https://sensuallogic.com/artistcolordata</v>
      </c>
    </row>
    <row r="155" customFormat="false" ht="23.85" hidden="false" customHeight="false" outlineLevel="0" collapsed="false">
      <c r="A155" s="2" t="str">
        <f aca="false">IFERROR(INDEX(Query_Source_View!$A:$A,MATCH(ROW()-14,Query_Source_View!$Z:$Z,0)),"")</f>
        <v>PNT000111</v>
      </c>
      <c r="B155" s="2" t="str">
        <f aca="false">IFERROR(INDEX(Query_Source_View!$D:$D,MATCH(ROW()-14,Query_Source_View!$Z:$Z,0)),"")</f>
        <v>Winsor And Newton</v>
      </c>
      <c r="C155" s="2" t="str">
        <f aca="false">IFERROR(INDEX(Query_Source_View!$F:$F,MATCH(ROW()-14,Query_Source_View!$Z:$Z,0)),"")</f>
        <v>Acrylic</v>
      </c>
      <c r="D155" s="2" t="str">
        <f aca="false">IFERROR(INDEX(Query_Source_View!$H:$H,MATCH(ROW()-14,Query_Source_View!$Z:$Z,0)),"")</f>
        <v>Galeria Acrylic</v>
      </c>
      <c r="E155" s="2" t="str">
        <f aca="false">IFERROR(INDEX(Query_Source_View!$J:$J,MATCH(ROW()-14,Query_Source_View!$Z:$Z,0)),"")</f>
        <v>Burnt Sienna</v>
      </c>
      <c r="F155" s="2" t="str">
        <f aca="false">IFERROR(INDEX(Query_Source_View!$L:$L,MATCH(ROW()-14,Query_Source_View!$Z:$Z,0)),"")</f>
        <v>Orange</v>
      </c>
      <c r="G155" s="2" t="str">
        <f aca="false">IFERROR(INDEX(Query_Source_View!$N:$N,MATCH(ROW()-14,Query_Source_View!$Z:$Z,0)),"")</f>
        <v>PR101</v>
      </c>
      <c r="H155" s="2" t="n">
        <f aca="false">IFERROR(INDEX(Query_Source_View!$P:$P,MATCH(ROW()-14,Query_Source_View!$Z:$Z,0)),"")</f>
        <v>3</v>
      </c>
      <c r="I155" s="2" t="str">
        <f aca="false">IFERROR(INDEX(Query_Source_View!$Q:$Q,MATCH(ROW()-14,Query_Source_View!$Z:$Z,0)),"")</f>
        <v>No</v>
      </c>
      <c r="J155" s="2" t="n">
        <f aca="false">IFERROR(INDEX(Query_Source_View!$R:$R,MATCH(ROW()-14,Query_Source_View!$Z:$Z,0)),"")</f>
        <v>0</v>
      </c>
      <c r="K155" s="2" t="str">
        <f aca="false">IFERROR(INDEX(Query_Source_View!$T:$T,MATCH(ROW()-14,Query_Source_View!$Z:$Z,0)),"")</f>
        <v>AA</v>
      </c>
      <c r="L155" s="2" t="n">
        <f aca="false">IFERROR(INDEX(Query_Source_View!$U:$U,MATCH(ROW()-14,Query_Source_View!$Z:$Z,0)),"")</f>
        <v>0</v>
      </c>
      <c r="M155" s="2" t="n">
        <f aca="false">IFERROR(INDEX(Query_Source_View!$V:$V,MATCH(ROW()-14,Query_Source_View!$Z:$Z,0)),"")</f>
        <v>0</v>
      </c>
      <c r="N155" s="2" t="str">
        <f aca="false">IFERROR(INDEX(Query_Source_View!$W:$W,MATCH(ROW()-14,Query_Source_View!$Z:$Z,0)),"")</f>
        <v>Needs Review</v>
      </c>
      <c r="O155" s="2" t="str">
        <f aca="false">IFERROR(INDEX(Query_Source_View!$X:$X,MATCH(ROW()-14,Query_Source_View!$Z:$Z,0)),"")</f>
        <v>https://sensuallogic.com/artistcolordata</v>
      </c>
    </row>
    <row r="156" customFormat="false" ht="23.85" hidden="false" customHeight="false" outlineLevel="0" collapsed="false">
      <c r="A156" s="2" t="str">
        <f aca="false">IFERROR(INDEX(Query_Source_View!$A:$A,MATCH(ROW()-14,Query_Source_View!$Z:$Z,0)),"")</f>
        <v>PNT000111</v>
      </c>
      <c r="B156" s="2" t="str">
        <f aca="false">IFERROR(INDEX(Query_Source_View!$D:$D,MATCH(ROW()-14,Query_Source_View!$Z:$Z,0)),"")</f>
        <v>Winsor And Newton</v>
      </c>
      <c r="C156" s="2" t="str">
        <f aca="false">IFERROR(INDEX(Query_Source_View!$F:$F,MATCH(ROW()-14,Query_Source_View!$Z:$Z,0)),"")</f>
        <v>Acrylic</v>
      </c>
      <c r="D156" s="2" t="str">
        <f aca="false">IFERROR(INDEX(Query_Source_View!$H:$H,MATCH(ROW()-14,Query_Source_View!$Z:$Z,0)),"")</f>
        <v>Galeria Acrylic</v>
      </c>
      <c r="E156" s="2" t="str">
        <f aca="false">IFERROR(INDEX(Query_Source_View!$J:$J,MATCH(ROW()-14,Query_Source_View!$Z:$Z,0)),"")</f>
        <v>Burnt Sienna</v>
      </c>
      <c r="F156" s="2" t="str">
        <f aca="false">IFERROR(INDEX(Query_Source_View!$L:$L,MATCH(ROW()-14,Query_Source_View!$Z:$Z,0)),"")</f>
        <v>Orange</v>
      </c>
      <c r="G156" s="2" t="str">
        <f aca="false">IFERROR(INDEX(Query_Source_View!$N:$N,MATCH(ROW()-14,Query_Source_View!$Z:$Z,0)),"")</f>
        <v>PY42</v>
      </c>
      <c r="H156" s="2" t="n">
        <f aca="false">IFERROR(INDEX(Query_Source_View!$P:$P,MATCH(ROW()-14,Query_Source_View!$Z:$Z,0)),"")</f>
        <v>3</v>
      </c>
      <c r="I156" s="2" t="str">
        <f aca="false">IFERROR(INDEX(Query_Source_View!$Q:$Q,MATCH(ROW()-14,Query_Source_View!$Z:$Z,0)),"")</f>
        <v>No</v>
      </c>
      <c r="J156" s="2" t="n">
        <f aca="false">IFERROR(INDEX(Query_Source_View!$R:$R,MATCH(ROW()-14,Query_Source_View!$Z:$Z,0)),"")</f>
        <v>0</v>
      </c>
      <c r="K156" s="2" t="str">
        <f aca="false">IFERROR(INDEX(Query_Source_View!$T:$T,MATCH(ROW()-14,Query_Source_View!$Z:$Z,0)),"")</f>
        <v>AA</v>
      </c>
      <c r="L156" s="2" t="n">
        <f aca="false">IFERROR(INDEX(Query_Source_View!$U:$U,MATCH(ROW()-14,Query_Source_View!$Z:$Z,0)),"")</f>
        <v>0</v>
      </c>
      <c r="M156" s="2" t="n">
        <f aca="false">IFERROR(INDEX(Query_Source_View!$V:$V,MATCH(ROW()-14,Query_Source_View!$Z:$Z,0)),"")</f>
        <v>0</v>
      </c>
      <c r="N156" s="2" t="str">
        <f aca="false">IFERROR(INDEX(Query_Source_View!$W:$W,MATCH(ROW()-14,Query_Source_View!$Z:$Z,0)),"")</f>
        <v>Needs Review</v>
      </c>
      <c r="O156" s="2" t="str">
        <f aca="false">IFERROR(INDEX(Query_Source_View!$X:$X,MATCH(ROW()-14,Query_Source_View!$Z:$Z,0)),"")</f>
        <v>https://sensuallogic.com/artistcolordata</v>
      </c>
    </row>
    <row r="157" customFormat="false" ht="23.85" hidden="false" customHeight="false" outlineLevel="0" collapsed="false">
      <c r="A157" s="2" t="str">
        <f aca="false">IFERROR(INDEX(Query_Source_View!$A:$A,MATCH(ROW()-14,Query_Source_View!$Z:$Z,0)),"")</f>
        <v>PNT000111</v>
      </c>
      <c r="B157" s="2" t="str">
        <f aca="false">IFERROR(INDEX(Query_Source_View!$D:$D,MATCH(ROW()-14,Query_Source_View!$Z:$Z,0)),"")</f>
        <v>Winsor And Newton</v>
      </c>
      <c r="C157" s="2" t="str">
        <f aca="false">IFERROR(INDEX(Query_Source_View!$F:$F,MATCH(ROW()-14,Query_Source_View!$Z:$Z,0)),"")</f>
        <v>Acrylic</v>
      </c>
      <c r="D157" s="2" t="str">
        <f aca="false">IFERROR(INDEX(Query_Source_View!$H:$H,MATCH(ROW()-14,Query_Source_View!$Z:$Z,0)),"")</f>
        <v>Galeria Acrylic</v>
      </c>
      <c r="E157" s="2" t="str">
        <f aca="false">IFERROR(INDEX(Query_Source_View!$J:$J,MATCH(ROW()-14,Query_Source_View!$Z:$Z,0)),"")</f>
        <v>Burnt Sienna</v>
      </c>
      <c r="F157" s="2" t="str">
        <f aca="false">IFERROR(INDEX(Query_Source_View!$L:$L,MATCH(ROW()-14,Query_Source_View!$Z:$Z,0)),"")</f>
        <v>Orange</v>
      </c>
      <c r="G157" s="2" t="str">
        <f aca="false">IFERROR(INDEX(Query_Source_View!$N:$N,MATCH(ROW()-14,Query_Source_View!$Z:$Z,0)),"")</f>
        <v>PBk11</v>
      </c>
      <c r="H157" s="2" t="n">
        <f aca="false">IFERROR(INDEX(Query_Source_View!$P:$P,MATCH(ROW()-14,Query_Source_View!$Z:$Z,0)),"")</f>
        <v>3</v>
      </c>
      <c r="I157" s="2" t="str">
        <f aca="false">IFERROR(INDEX(Query_Source_View!$Q:$Q,MATCH(ROW()-14,Query_Source_View!$Z:$Z,0)),"")</f>
        <v>No</v>
      </c>
      <c r="J157" s="2" t="n">
        <f aca="false">IFERROR(INDEX(Query_Source_View!$R:$R,MATCH(ROW()-14,Query_Source_View!$Z:$Z,0)),"")</f>
        <v>0</v>
      </c>
      <c r="K157" s="2" t="str">
        <f aca="false">IFERROR(INDEX(Query_Source_View!$T:$T,MATCH(ROW()-14,Query_Source_View!$Z:$Z,0)),"")</f>
        <v>AA</v>
      </c>
      <c r="L157" s="2" t="n">
        <f aca="false">IFERROR(INDEX(Query_Source_View!$U:$U,MATCH(ROW()-14,Query_Source_View!$Z:$Z,0)),"")</f>
        <v>0</v>
      </c>
      <c r="M157" s="2" t="n">
        <f aca="false">IFERROR(INDEX(Query_Source_View!$V:$V,MATCH(ROW()-14,Query_Source_View!$Z:$Z,0)),"")</f>
        <v>0</v>
      </c>
      <c r="N157" s="2" t="str">
        <f aca="false">IFERROR(INDEX(Query_Source_View!$W:$W,MATCH(ROW()-14,Query_Source_View!$Z:$Z,0)),"")</f>
        <v>Needs Review</v>
      </c>
      <c r="O157" s="2" t="str">
        <f aca="false">IFERROR(INDEX(Query_Source_View!$X:$X,MATCH(ROW()-14,Query_Source_View!$Z:$Z,0)),"")</f>
        <v>https://sensuallogic.com/artistcolordata</v>
      </c>
    </row>
    <row r="158" customFormat="false" ht="23.85" hidden="false" customHeight="false" outlineLevel="0" collapsed="false">
      <c r="A158" s="2" t="str">
        <f aca="false">IFERROR(INDEX(Query_Source_View!$A:$A,MATCH(ROW()-14,Query_Source_View!$Z:$Z,0)),"")</f>
        <v>PNT000112</v>
      </c>
      <c r="B158" s="2" t="str">
        <f aca="false">IFERROR(INDEX(Query_Source_View!$D:$D,MATCH(ROW()-14,Query_Source_View!$Z:$Z,0)),"")</f>
        <v>Winsor And Newton</v>
      </c>
      <c r="C158" s="2" t="str">
        <f aca="false">IFERROR(INDEX(Query_Source_View!$F:$F,MATCH(ROW()-14,Query_Source_View!$Z:$Z,0)),"")</f>
        <v>Acrylic</v>
      </c>
      <c r="D158" s="2" t="str">
        <f aca="false">IFERROR(INDEX(Query_Source_View!$H:$H,MATCH(ROW()-14,Query_Source_View!$Z:$Z,0)),"")</f>
        <v>Galeria Acrylic</v>
      </c>
      <c r="E158" s="2" t="str">
        <f aca="false">IFERROR(INDEX(Query_Source_View!$J:$J,MATCH(ROW()-14,Query_Source_View!$Z:$Z,0)),"")</f>
        <v>Burnt Umber</v>
      </c>
      <c r="F158" s="2" t="str">
        <f aca="false">IFERROR(INDEX(Query_Source_View!$L:$L,MATCH(ROW()-14,Query_Source_View!$Z:$Z,0)),"")</f>
        <v>Earth</v>
      </c>
      <c r="G158" s="2" t="str">
        <f aca="false">IFERROR(INDEX(Query_Source_View!$N:$N,MATCH(ROW()-14,Query_Source_View!$Z:$Z,0)),"")</f>
        <v>PBr7</v>
      </c>
      <c r="H158" s="2" t="n">
        <f aca="false">IFERROR(INDEX(Query_Source_View!$P:$P,MATCH(ROW()-14,Query_Source_View!$Z:$Z,0)),"")</f>
        <v>1</v>
      </c>
      <c r="I158" s="2" t="str">
        <f aca="false">IFERROR(INDEX(Query_Source_View!$Q:$Q,MATCH(ROW()-14,Query_Source_View!$Z:$Z,0)),"")</f>
        <v>Yes</v>
      </c>
      <c r="J158" s="2" t="n">
        <f aca="false">IFERROR(INDEX(Query_Source_View!$R:$R,MATCH(ROW()-14,Query_Source_View!$Z:$Z,0)),"")</f>
        <v>0</v>
      </c>
      <c r="K158" s="2" t="str">
        <f aca="false">IFERROR(INDEX(Query_Source_View!$T:$T,MATCH(ROW()-14,Query_Source_View!$Z:$Z,0)),"")</f>
        <v>AA</v>
      </c>
      <c r="L158" s="2" t="n">
        <f aca="false">IFERROR(INDEX(Query_Source_View!$U:$U,MATCH(ROW()-14,Query_Source_View!$Z:$Z,0)),"")</f>
        <v>0</v>
      </c>
      <c r="M158" s="2" t="n">
        <f aca="false">IFERROR(INDEX(Query_Source_View!$V:$V,MATCH(ROW()-14,Query_Source_View!$Z:$Z,0)),"")</f>
        <v>0</v>
      </c>
      <c r="N158" s="2" t="str">
        <f aca="false">IFERROR(INDEX(Query_Source_View!$W:$W,MATCH(ROW()-14,Query_Source_View!$Z:$Z,0)),"")</f>
        <v>Needs Review</v>
      </c>
      <c r="O158" s="2" t="str">
        <f aca="false">IFERROR(INDEX(Query_Source_View!$X:$X,MATCH(ROW()-14,Query_Source_View!$Z:$Z,0)),"")</f>
        <v>https://sensuallogic.com/artistcolordata</v>
      </c>
    </row>
    <row r="159" customFormat="false" ht="23.85" hidden="false" customHeight="false" outlineLevel="0" collapsed="false">
      <c r="A159" s="2" t="str">
        <f aca="false">IFERROR(INDEX(Query_Source_View!$A:$A,MATCH(ROW()-14,Query_Source_View!$Z:$Z,0)),"")</f>
        <v>PNT000113</v>
      </c>
      <c r="B159" s="2" t="str">
        <f aca="false">IFERROR(INDEX(Query_Source_View!$D:$D,MATCH(ROW()-14,Query_Source_View!$Z:$Z,0)),"")</f>
        <v>Winsor And Newton</v>
      </c>
      <c r="C159" s="2" t="str">
        <f aca="false">IFERROR(INDEX(Query_Source_View!$F:$F,MATCH(ROW()-14,Query_Source_View!$Z:$Z,0)),"")</f>
        <v>Acrylic</v>
      </c>
      <c r="D159" s="2" t="str">
        <f aca="false">IFERROR(INDEX(Query_Source_View!$H:$H,MATCH(ROW()-14,Query_Source_View!$Z:$Z,0)),"")</f>
        <v>Galeria Acrylic</v>
      </c>
      <c r="E159" s="2" t="str">
        <f aca="false">IFERROR(INDEX(Query_Source_View!$J:$J,MATCH(ROW()-14,Query_Source_View!$Z:$Z,0)),"")</f>
        <v>Cadmium Red Hue</v>
      </c>
      <c r="F159" s="2" t="str">
        <f aca="false">IFERROR(INDEX(Query_Source_View!$L:$L,MATCH(ROW()-14,Query_Source_View!$Z:$Z,0)),"")</f>
        <v>Red</v>
      </c>
      <c r="G159" s="2" t="str">
        <f aca="false">IFERROR(INDEX(Query_Source_View!$N:$N,MATCH(ROW()-14,Query_Source_View!$Z:$Z,0)),"")</f>
        <v>PR112</v>
      </c>
      <c r="H159" s="2" t="n">
        <f aca="false">IFERROR(INDEX(Query_Source_View!$P:$P,MATCH(ROW()-14,Query_Source_View!$Z:$Z,0)),"")</f>
        <v>1</v>
      </c>
      <c r="I159" s="2" t="str">
        <f aca="false">IFERROR(INDEX(Query_Source_View!$Q:$Q,MATCH(ROW()-14,Query_Source_View!$Z:$Z,0)),"")</f>
        <v>Yes</v>
      </c>
      <c r="J159" s="2" t="n">
        <f aca="false">IFERROR(INDEX(Query_Source_View!$R:$R,MATCH(ROW()-14,Query_Source_View!$Z:$Z,0)),"")</f>
        <v>0</v>
      </c>
      <c r="K159" s="2" t="str">
        <f aca="false">IFERROR(INDEX(Query_Source_View!$T:$T,MATCH(ROW()-14,Query_Source_View!$Z:$Z,0)),"")</f>
        <v>A</v>
      </c>
      <c r="L159" s="2" t="n">
        <f aca="false">IFERROR(INDEX(Query_Source_View!$U:$U,MATCH(ROW()-14,Query_Source_View!$Z:$Z,0)),"")</f>
        <v>0</v>
      </c>
      <c r="M159" s="2" t="n">
        <f aca="false">IFERROR(INDEX(Query_Source_View!$V:$V,MATCH(ROW()-14,Query_Source_View!$Z:$Z,0)),"")</f>
        <v>0</v>
      </c>
      <c r="N159" s="2" t="str">
        <f aca="false">IFERROR(INDEX(Query_Source_View!$W:$W,MATCH(ROW()-14,Query_Source_View!$Z:$Z,0)),"")</f>
        <v>Needs Review</v>
      </c>
      <c r="O159" s="2" t="str">
        <f aca="false">IFERROR(INDEX(Query_Source_View!$X:$X,MATCH(ROW()-14,Query_Source_View!$Z:$Z,0)),"")</f>
        <v>https://sensuallogic.com/artistcolordata</v>
      </c>
    </row>
    <row r="160" customFormat="false" ht="23.85" hidden="false" customHeight="false" outlineLevel="0" collapsed="false">
      <c r="A160" s="2" t="str">
        <f aca="false">IFERROR(INDEX(Query_Source_View!$A:$A,MATCH(ROW()-14,Query_Source_View!$Z:$Z,0)),"")</f>
        <v>PNT000114</v>
      </c>
      <c r="B160" s="2" t="str">
        <f aca="false">IFERROR(INDEX(Query_Source_View!$D:$D,MATCH(ROW()-14,Query_Source_View!$Z:$Z,0)),"")</f>
        <v>Winsor And Newton</v>
      </c>
      <c r="C160" s="2" t="str">
        <f aca="false">IFERROR(INDEX(Query_Source_View!$F:$F,MATCH(ROW()-14,Query_Source_View!$Z:$Z,0)),"")</f>
        <v>Acrylic</v>
      </c>
      <c r="D160" s="2" t="str">
        <f aca="false">IFERROR(INDEX(Query_Source_View!$H:$H,MATCH(ROW()-14,Query_Source_View!$Z:$Z,0)),"")</f>
        <v>Galeria Acrylic</v>
      </c>
      <c r="E160" s="2" t="str">
        <f aca="false">IFERROR(INDEX(Query_Source_View!$J:$J,MATCH(ROW()-14,Query_Source_View!$Z:$Z,0)),"")</f>
        <v>Cadmium Yellow Deep Hue</v>
      </c>
      <c r="F160" s="2" t="str">
        <f aca="false">IFERROR(INDEX(Query_Source_View!$L:$L,MATCH(ROW()-14,Query_Source_View!$Z:$Z,0)),"")</f>
        <v>Yellow</v>
      </c>
      <c r="G160" s="2" t="str">
        <f aca="false">IFERROR(INDEX(Query_Source_View!$N:$N,MATCH(ROW()-14,Query_Source_View!$Z:$Z,0)),"")</f>
        <v>PY65</v>
      </c>
      <c r="H160" s="2" t="n">
        <f aca="false">IFERROR(INDEX(Query_Source_View!$P:$P,MATCH(ROW()-14,Query_Source_View!$Z:$Z,0)),"")</f>
        <v>1</v>
      </c>
      <c r="I160" s="2" t="str">
        <f aca="false">IFERROR(INDEX(Query_Source_View!$Q:$Q,MATCH(ROW()-14,Query_Source_View!$Z:$Z,0)),"")</f>
        <v>Yes</v>
      </c>
      <c r="J160" s="2" t="n">
        <f aca="false">IFERROR(INDEX(Query_Source_View!$R:$R,MATCH(ROW()-14,Query_Source_View!$Z:$Z,0)),"")</f>
        <v>0</v>
      </c>
      <c r="K160" s="2" t="str">
        <f aca="false">IFERROR(INDEX(Query_Source_View!$T:$T,MATCH(ROW()-14,Query_Source_View!$Z:$Z,0)),"")</f>
        <v>A</v>
      </c>
      <c r="L160" s="2" t="n">
        <f aca="false">IFERROR(INDEX(Query_Source_View!$U:$U,MATCH(ROW()-14,Query_Source_View!$Z:$Z,0)),"")</f>
        <v>0</v>
      </c>
      <c r="M160" s="2" t="n">
        <f aca="false">IFERROR(INDEX(Query_Source_View!$V:$V,MATCH(ROW()-14,Query_Source_View!$Z:$Z,0)),"")</f>
        <v>0</v>
      </c>
      <c r="N160" s="2" t="str">
        <f aca="false">IFERROR(INDEX(Query_Source_View!$W:$W,MATCH(ROW()-14,Query_Source_View!$Z:$Z,0)),"")</f>
        <v>Needs Review</v>
      </c>
      <c r="O160" s="2" t="str">
        <f aca="false">IFERROR(INDEX(Query_Source_View!$X:$X,MATCH(ROW()-14,Query_Source_View!$Z:$Z,0)),"")</f>
        <v>https://sensuallogic.com/artistcolordata</v>
      </c>
    </row>
    <row r="161" customFormat="false" ht="23.85" hidden="false" customHeight="false" outlineLevel="0" collapsed="false">
      <c r="A161" s="2" t="str">
        <f aca="false">IFERROR(INDEX(Query_Source_View!$A:$A,MATCH(ROW()-14,Query_Source_View!$Z:$Z,0)),"")</f>
        <v>PNT000115</v>
      </c>
      <c r="B161" s="2" t="str">
        <f aca="false">IFERROR(INDEX(Query_Source_View!$D:$D,MATCH(ROW()-14,Query_Source_View!$Z:$Z,0)),"")</f>
        <v>Winsor And Newton</v>
      </c>
      <c r="C161" s="2" t="str">
        <f aca="false">IFERROR(INDEX(Query_Source_View!$F:$F,MATCH(ROW()-14,Query_Source_View!$Z:$Z,0)),"")</f>
        <v>Acrylic</v>
      </c>
      <c r="D161" s="2" t="str">
        <f aca="false">IFERROR(INDEX(Query_Source_View!$H:$H,MATCH(ROW()-14,Query_Source_View!$Z:$Z,0)),"")</f>
        <v>Galeria Acrylic</v>
      </c>
      <c r="E161" s="2" t="str">
        <f aca="false">IFERROR(INDEX(Query_Source_View!$J:$J,MATCH(ROW()-14,Query_Source_View!$Z:$Z,0)),"")</f>
        <v>Cadmium Yellow Medium Hue</v>
      </c>
      <c r="F161" s="2" t="str">
        <f aca="false">IFERROR(INDEX(Query_Source_View!$L:$L,MATCH(ROW()-14,Query_Source_View!$Z:$Z,0)),"")</f>
        <v>Yellow</v>
      </c>
      <c r="G161" s="2" t="str">
        <f aca="false">IFERROR(INDEX(Query_Source_View!$N:$N,MATCH(ROW()-14,Query_Source_View!$Z:$Z,0)),"")</f>
        <v>PY73</v>
      </c>
      <c r="H161" s="2" t="n">
        <f aca="false">IFERROR(INDEX(Query_Source_View!$P:$P,MATCH(ROW()-14,Query_Source_View!$Z:$Z,0)),"")</f>
        <v>2</v>
      </c>
      <c r="I161" s="2" t="str">
        <f aca="false">IFERROR(INDEX(Query_Source_View!$Q:$Q,MATCH(ROW()-14,Query_Source_View!$Z:$Z,0)),"")</f>
        <v>No</v>
      </c>
      <c r="J161" s="2" t="n">
        <f aca="false">IFERROR(INDEX(Query_Source_View!$R:$R,MATCH(ROW()-14,Query_Source_View!$Z:$Z,0)),"")</f>
        <v>0</v>
      </c>
      <c r="K161" s="2" t="str">
        <f aca="false">IFERROR(INDEX(Query_Source_View!$T:$T,MATCH(ROW()-14,Query_Source_View!$Z:$Z,0)),"")</f>
        <v>A</v>
      </c>
      <c r="L161" s="2" t="n">
        <f aca="false">IFERROR(INDEX(Query_Source_View!$U:$U,MATCH(ROW()-14,Query_Source_View!$Z:$Z,0)),"")</f>
        <v>0</v>
      </c>
      <c r="M161" s="2" t="n">
        <f aca="false">IFERROR(INDEX(Query_Source_View!$V:$V,MATCH(ROW()-14,Query_Source_View!$Z:$Z,0)),"")</f>
        <v>0</v>
      </c>
      <c r="N161" s="2" t="str">
        <f aca="false">IFERROR(INDEX(Query_Source_View!$W:$W,MATCH(ROW()-14,Query_Source_View!$Z:$Z,0)),"")</f>
        <v>Needs Review</v>
      </c>
      <c r="O161" s="2" t="str">
        <f aca="false">IFERROR(INDEX(Query_Source_View!$X:$X,MATCH(ROW()-14,Query_Source_View!$Z:$Z,0)),"")</f>
        <v>https://sensuallogic.com/artistcolordata</v>
      </c>
    </row>
    <row r="162" customFormat="false" ht="23.85" hidden="false" customHeight="false" outlineLevel="0" collapsed="false">
      <c r="A162" s="2" t="str">
        <f aca="false">IFERROR(INDEX(Query_Source_View!$A:$A,MATCH(ROW()-14,Query_Source_View!$Z:$Z,0)),"")</f>
        <v>PNT000115</v>
      </c>
      <c r="B162" s="2" t="str">
        <f aca="false">IFERROR(INDEX(Query_Source_View!$D:$D,MATCH(ROW()-14,Query_Source_View!$Z:$Z,0)),"")</f>
        <v>Winsor And Newton</v>
      </c>
      <c r="C162" s="2" t="str">
        <f aca="false">IFERROR(INDEX(Query_Source_View!$F:$F,MATCH(ROW()-14,Query_Source_View!$Z:$Z,0)),"")</f>
        <v>Acrylic</v>
      </c>
      <c r="D162" s="2" t="str">
        <f aca="false">IFERROR(INDEX(Query_Source_View!$H:$H,MATCH(ROW()-14,Query_Source_View!$Z:$Z,0)),"")</f>
        <v>Galeria Acrylic</v>
      </c>
      <c r="E162" s="2" t="str">
        <f aca="false">IFERROR(INDEX(Query_Source_View!$J:$J,MATCH(ROW()-14,Query_Source_View!$Z:$Z,0)),"")</f>
        <v>Cadmium Yellow Medium Hue</v>
      </c>
      <c r="F162" s="2" t="str">
        <f aca="false">IFERROR(INDEX(Query_Source_View!$L:$L,MATCH(ROW()-14,Query_Source_View!$Z:$Z,0)),"")</f>
        <v>Yellow</v>
      </c>
      <c r="G162" s="2" t="str">
        <f aca="false">IFERROR(INDEX(Query_Source_View!$N:$N,MATCH(ROW()-14,Query_Source_View!$Z:$Z,0)),"")</f>
        <v>PY83</v>
      </c>
      <c r="H162" s="2" t="n">
        <f aca="false">IFERROR(INDEX(Query_Source_View!$P:$P,MATCH(ROW()-14,Query_Source_View!$Z:$Z,0)),"")</f>
        <v>2</v>
      </c>
      <c r="I162" s="2" t="str">
        <f aca="false">IFERROR(INDEX(Query_Source_View!$Q:$Q,MATCH(ROW()-14,Query_Source_View!$Z:$Z,0)),"")</f>
        <v>No</v>
      </c>
      <c r="J162" s="2" t="n">
        <f aca="false">IFERROR(INDEX(Query_Source_View!$R:$R,MATCH(ROW()-14,Query_Source_View!$Z:$Z,0)),"")</f>
        <v>0</v>
      </c>
      <c r="K162" s="2" t="str">
        <f aca="false">IFERROR(INDEX(Query_Source_View!$T:$T,MATCH(ROW()-14,Query_Source_View!$Z:$Z,0)),"")</f>
        <v>A</v>
      </c>
      <c r="L162" s="2" t="n">
        <f aca="false">IFERROR(INDEX(Query_Source_View!$U:$U,MATCH(ROW()-14,Query_Source_View!$Z:$Z,0)),"")</f>
        <v>0</v>
      </c>
      <c r="M162" s="2" t="n">
        <f aca="false">IFERROR(INDEX(Query_Source_View!$V:$V,MATCH(ROW()-14,Query_Source_View!$Z:$Z,0)),"")</f>
        <v>0</v>
      </c>
      <c r="N162" s="2" t="str">
        <f aca="false">IFERROR(INDEX(Query_Source_View!$W:$W,MATCH(ROW()-14,Query_Source_View!$Z:$Z,0)),"")</f>
        <v>Needs Review</v>
      </c>
      <c r="O162" s="2" t="str">
        <f aca="false">IFERROR(INDEX(Query_Source_View!$X:$X,MATCH(ROW()-14,Query_Source_View!$Z:$Z,0)),"")</f>
        <v>https://sensuallogic.com/artistcolordata</v>
      </c>
    </row>
    <row r="163" customFormat="false" ht="23.85" hidden="false" customHeight="false" outlineLevel="0" collapsed="false">
      <c r="A163" s="2" t="str">
        <f aca="false">IFERROR(INDEX(Query_Source_View!$A:$A,MATCH(ROW()-14,Query_Source_View!$Z:$Z,0)),"")</f>
        <v>PNT000116</v>
      </c>
      <c r="B163" s="2" t="str">
        <f aca="false">IFERROR(INDEX(Query_Source_View!$D:$D,MATCH(ROW()-14,Query_Source_View!$Z:$Z,0)),"")</f>
        <v>Winsor And Newton</v>
      </c>
      <c r="C163" s="2" t="str">
        <f aca="false">IFERROR(INDEX(Query_Source_View!$F:$F,MATCH(ROW()-14,Query_Source_View!$Z:$Z,0)),"")</f>
        <v>Acrylic</v>
      </c>
      <c r="D163" s="2" t="str">
        <f aca="false">IFERROR(INDEX(Query_Source_View!$H:$H,MATCH(ROW()-14,Query_Source_View!$Z:$Z,0)),"")</f>
        <v>Galeria Acrylic</v>
      </c>
      <c r="E163" s="2" t="str">
        <f aca="false">IFERROR(INDEX(Query_Source_View!$J:$J,MATCH(ROW()-14,Query_Source_View!$Z:$Z,0)),"")</f>
        <v>Cobalt Blue</v>
      </c>
      <c r="F163" s="2" t="str">
        <f aca="false">IFERROR(INDEX(Query_Source_View!$L:$L,MATCH(ROW()-14,Query_Source_View!$Z:$Z,0)),"")</f>
        <v>Blue</v>
      </c>
      <c r="G163" s="2" t="str">
        <f aca="false">IFERROR(INDEX(Query_Source_View!$N:$N,MATCH(ROW()-14,Query_Source_View!$Z:$Z,0)),"")</f>
        <v>Not Provided</v>
      </c>
      <c r="H163" s="2" t="n">
        <f aca="false">IFERROR(INDEX(Query_Source_View!$P:$P,MATCH(ROW()-14,Query_Source_View!$Z:$Z,0)),"")</f>
        <v>0</v>
      </c>
      <c r="I163" s="2" t="str">
        <f aca="false">IFERROR(INDEX(Query_Source_View!$Q:$Q,MATCH(ROW()-14,Query_Source_View!$Z:$Z,0)),"")</f>
        <v>Unknown</v>
      </c>
      <c r="J163" s="2" t="n">
        <f aca="false">IFERROR(INDEX(Query_Source_View!$R:$R,MATCH(ROW()-14,Query_Source_View!$Z:$Z,0)),"")</f>
        <v>0</v>
      </c>
      <c r="K163" s="2" t="str">
        <f aca="false">IFERROR(INDEX(Query_Source_View!$T:$T,MATCH(ROW()-14,Query_Source_View!$Z:$Z,0)),"")</f>
        <v>AA</v>
      </c>
      <c r="L163" s="2" t="n">
        <f aca="false">IFERROR(INDEX(Query_Source_View!$U:$U,MATCH(ROW()-14,Query_Source_View!$Z:$Z,0)),"")</f>
        <v>0</v>
      </c>
      <c r="M163" s="2" t="n">
        <f aca="false">IFERROR(INDEX(Query_Source_View!$V:$V,MATCH(ROW()-14,Query_Source_View!$Z:$Z,0)),"")</f>
        <v>0</v>
      </c>
      <c r="N163" s="2" t="str">
        <f aca="false">IFERROR(INDEX(Query_Source_View!$W:$W,MATCH(ROW()-14,Query_Source_View!$Z:$Z,0)),"")</f>
        <v>Needs Review</v>
      </c>
      <c r="O163" s="2" t="str">
        <f aca="false">IFERROR(INDEX(Query_Source_View!$X:$X,MATCH(ROW()-14,Query_Source_View!$Z:$Z,0)),"")</f>
        <v>https://sensuallogic.com/artistcolordata</v>
      </c>
    </row>
    <row r="164" customFormat="false" ht="23.85" hidden="false" customHeight="false" outlineLevel="0" collapsed="false">
      <c r="A164" s="2" t="str">
        <f aca="false">IFERROR(INDEX(Query_Source_View!$A:$A,MATCH(ROW()-14,Query_Source_View!$Z:$Z,0)),"")</f>
        <v>PNT000117</v>
      </c>
      <c r="B164" s="2" t="str">
        <f aca="false">IFERROR(INDEX(Query_Source_View!$D:$D,MATCH(ROW()-14,Query_Source_View!$Z:$Z,0)),"")</f>
        <v>Winsor And Newton</v>
      </c>
      <c r="C164" s="2" t="str">
        <f aca="false">IFERROR(INDEX(Query_Source_View!$F:$F,MATCH(ROW()-14,Query_Source_View!$Z:$Z,0)),"")</f>
        <v>Acrylic</v>
      </c>
      <c r="D164" s="2" t="str">
        <f aca="false">IFERROR(INDEX(Query_Source_View!$H:$H,MATCH(ROW()-14,Query_Source_View!$Z:$Z,0)),"")</f>
        <v>Galeria Acrylic</v>
      </c>
      <c r="E164" s="2" t="str">
        <f aca="false">IFERROR(INDEX(Query_Source_View!$J:$J,MATCH(ROW()-14,Query_Source_View!$Z:$Z,0)),"")</f>
        <v>Crimson</v>
      </c>
      <c r="F164" s="2" t="str">
        <f aca="false">IFERROR(INDEX(Query_Source_View!$L:$L,MATCH(ROW()-14,Query_Source_View!$Z:$Z,0)),"")</f>
        <v>Red</v>
      </c>
      <c r="G164" s="2" t="str">
        <f aca="false">IFERROR(INDEX(Query_Source_View!$N:$N,MATCH(ROW()-14,Query_Source_View!$Z:$Z,0)),"")</f>
        <v>PR170</v>
      </c>
      <c r="H164" s="2" t="n">
        <f aca="false">IFERROR(INDEX(Query_Source_View!$P:$P,MATCH(ROW()-14,Query_Source_View!$Z:$Z,0)),"")</f>
        <v>1</v>
      </c>
      <c r="I164" s="2" t="str">
        <f aca="false">IFERROR(INDEX(Query_Source_View!$Q:$Q,MATCH(ROW()-14,Query_Source_View!$Z:$Z,0)),"")</f>
        <v>Yes</v>
      </c>
      <c r="J164" s="2" t="n">
        <f aca="false">IFERROR(INDEX(Query_Source_View!$R:$R,MATCH(ROW()-14,Query_Source_View!$Z:$Z,0)),"")</f>
        <v>0</v>
      </c>
      <c r="K164" s="2" t="str">
        <f aca="false">IFERROR(INDEX(Query_Source_View!$T:$T,MATCH(ROW()-14,Query_Source_View!$Z:$Z,0)),"")</f>
        <v>A</v>
      </c>
      <c r="L164" s="2" t="n">
        <f aca="false">IFERROR(INDEX(Query_Source_View!$U:$U,MATCH(ROW()-14,Query_Source_View!$Z:$Z,0)),"")</f>
        <v>0</v>
      </c>
      <c r="M164" s="2" t="n">
        <f aca="false">IFERROR(INDEX(Query_Source_View!$V:$V,MATCH(ROW()-14,Query_Source_View!$Z:$Z,0)),"")</f>
        <v>0</v>
      </c>
      <c r="N164" s="2" t="str">
        <f aca="false">IFERROR(INDEX(Query_Source_View!$W:$W,MATCH(ROW()-14,Query_Source_View!$Z:$Z,0)),"")</f>
        <v>Needs Review</v>
      </c>
      <c r="O164" s="2" t="str">
        <f aca="false">IFERROR(INDEX(Query_Source_View!$X:$X,MATCH(ROW()-14,Query_Source_View!$Z:$Z,0)),"")</f>
        <v>https://sensuallogic.com/artistcolordata</v>
      </c>
    </row>
    <row r="165" customFormat="false" ht="23.85" hidden="false" customHeight="false" outlineLevel="0" collapsed="false">
      <c r="A165" s="2" t="str">
        <f aca="false">IFERROR(INDEX(Query_Source_View!$A:$A,MATCH(ROW()-14,Query_Source_View!$Z:$Z,0)),"")</f>
        <v>PNT000118</v>
      </c>
      <c r="B165" s="2" t="str">
        <f aca="false">IFERROR(INDEX(Query_Source_View!$D:$D,MATCH(ROW()-14,Query_Source_View!$Z:$Z,0)),"")</f>
        <v>Winsor And Newton</v>
      </c>
      <c r="C165" s="2" t="str">
        <f aca="false">IFERROR(INDEX(Query_Source_View!$F:$F,MATCH(ROW()-14,Query_Source_View!$Z:$Z,0)),"")</f>
        <v>Acrylic</v>
      </c>
      <c r="D165" s="2" t="str">
        <f aca="false">IFERROR(INDEX(Query_Source_View!$H:$H,MATCH(ROW()-14,Query_Source_View!$Z:$Z,0)),"")</f>
        <v>Galeria Acrylic</v>
      </c>
      <c r="E165" s="2" t="str">
        <f aca="false">IFERROR(INDEX(Query_Source_View!$J:$J,MATCH(ROW()-14,Query_Source_View!$Z:$Z,0)),"")</f>
        <v>Green Gold</v>
      </c>
      <c r="F165" s="2" t="str">
        <f aca="false">IFERROR(INDEX(Query_Source_View!$L:$L,MATCH(ROW()-14,Query_Source_View!$Z:$Z,0)),"")</f>
        <v>Yellow</v>
      </c>
      <c r="G165" s="2" t="str">
        <f aca="false">IFERROR(INDEX(Query_Source_View!$N:$N,MATCH(ROW()-14,Query_Source_View!$Z:$Z,0)),"")</f>
        <v>PY129</v>
      </c>
      <c r="H165" s="2" t="n">
        <f aca="false">IFERROR(INDEX(Query_Source_View!$P:$P,MATCH(ROW()-14,Query_Source_View!$Z:$Z,0)),"")</f>
        <v>1</v>
      </c>
      <c r="I165" s="2" t="str">
        <f aca="false">IFERROR(INDEX(Query_Source_View!$Q:$Q,MATCH(ROW()-14,Query_Source_View!$Z:$Z,0)),"")</f>
        <v>Yes</v>
      </c>
      <c r="J165" s="2" t="n">
        <f aca="false">IFERROR(INDEX(Query_Source_View!$R:$R,MATCH(ROW()-14,Query_Source_View!$Z:$Z,0)),"")</f>
        <v>0</v>
      </c>
      <c r="K165" s="2" t="str">
        <f aca="false">IFERROR(INDEX(Query_Source_View!$T:$T,MATCH(ROW()-14,Query_Source_View!$Z:$Z,0)),"")</f>
        <v>A</v>
      </c>
      <c r="L165" s="2" t="n">
        <f aca="false">IFERROR(INDEX(Query_Source_View!$U:$U,MATCH(ROW()-14,Query_Source_View!$Z:$Z,0)),"")</f>
        <v>0</v>
      </c>
      <c r="M165" s="2" t="n">
        <f aca="false">IFERROR(INDEX(Query_Source_View!$V:$V,MATCH(ROW()-14,Query_Source_View!$Z:$Z,0)),"")</f>
        <v>0</v>
      </c>
      <c r="N165" s="2" t="str">
        <f aca="false">IFERROR(INDEX(Query_Source_View!$W:$W,MATCH(ROW()-14,Query_Source_View!$Z:$Z,0)),"")</f>
        <v>Needs Review</v>
      </c>
      <c r="O165" s="2" t="str">
        <f aca="false">IFERROR(INDEX(Query_Source_View!$X:$X,MATCH(ROW()-14,Query_Source_View!$Z:$Z,0)),"")</f>
        <v>https://sensuallogic.com/artistcolordata</v>
      </c>
    </row>
    <row r="166" customFormat="false" ht="23.85" hidden="false" customHeight="false" outlineLevel="0" collapsed="false">
      <c r="A166" s="2" t="str">
        <f aca="false">IFERROR(INDEX(Query_Source_View!$A:$A,MATCH(ROW()-14,Query_Source_View!$Z:$Z,0)),"")</f>
        <v>PNT000119</v>
      </c>
      <c r="B166" s="2" t="str">
        <f aca="false">IFERROR(INDEX(Query_Source_View!$D:$D,MATCH(ROW()-14,Query_Source_View!$Z:$Z,0)),"")</f>
        <v>Winsor And Newton</v>
      </c>
      <c r="C166" s="2" t="str">
        <f aca="false">IFERROR(INDEX(Query_Source_View!$F:$F,MATCH(ROW()-14,Query_Source_View!$Z:$Z,0)),"")</f>
        <v>Acrylic</v>
      </c>
      <c r="D166" s="2" t="str">
        <f aca="false">IFERROR(INDEX(Query_Source_View!$H:$H,MATCH(ROW()-14,Query_Source_View!$Z:$Z,0)),"")</f>
        <v>Galeria Acrylic</v>
      </c>
      <c r="E166" s="2" t="str">
        <f aca="false">IFERROR(INDEX(Query_Source_View!$J:$J,MATCH(ROW()-14,Query_Source_View!$Z:$Z,0)),"")</f>
        <v>Hooker's Green</v>
      </c>
      <c r="F166" s="2" t="str">
        <f aca="false">IFERROR(INDEX(Query_Source_View!$L:$L,MATCH(ROW()-14,Query_Source_View!$Z:$Z,0)),"")</f>
        <v>Green</v>
      </c>
      <c r="G166" s="2" t="str">
        <f aca="false">IFERROR(INDEX(Query_Source_View!$N:$N,MATCH(ROW()-14,Query_Source_View!$Z:$Z,0)),"")</f>
        <v>PB15</v>
      </c>
      <c r="H166" s="2" t="n">
        <f aca="false">IFERROR(INDEX(Query_Source_View!$P:$P,MATCH(ROW()-14,Query_Source_View!$Z:$Z,0)),"")</f>
        <v>2</v>
      </c>
      <c r="I166" s="2" t="str">
        <f aca="false">IFERROR(INDEX(Query_Source_View!$Q:$Q,MATCH(ROW()-14,Query_Source_View!$Z:$Z,0)),"")</f>
        <v>No</v>
      </c>
      <c r="J166" s="2" t="n">
        <f aca="false">IFERROR(INDEX(Query_Source_View!$R:$R,MATCH(ROW()-14,Query_Source_View!$Z:$Z,0)),"")</f>
        <v>0</v>
      </c>
      <c r="K166" s="2" t="str">
        <f aca="false">IFERROR(INDEX(Query_Source_View!$T:$T,MATCH(ROW()-14,Query_Source_View!$Z:$Z,0)),"")</f>
        <v>AA</v>
      </c>
      <c r="L166" s="2" t="n">
        <f aca="false">IFERROR(INDEX(Query_Source_View!$U:$U,MATCH(ROW()-14,Query_Source_View!$Z:$Z,0)),"")</f>
        <v>0</v>
      </c>
      <c r="M166" s="2" t="n">
        <f aca="false">IFERROR(INDEX(Query_Source_View!$V:$V,MATCH(ROW()-14,Query_Source_View!$Z:$Z,0)),"")</f>
        <v>0</v>
      </c>
      <c r="N166" s="2" t="str">
        <f aca="false">IFERROR(INDEX(Query_Source_View!$W:$W,MATCH(ROW()-14,Query_Source_View!$Z:$Z,0)),"")</f>
        <v>Needs Review</v>
      </c>
      <c r="O166" s="2" t="str">
        <f aca="false">IFERROR(INDEX(Query_Source_View!$X:$X,MATCH(ROW()-14,Query_Source_View!$Z:$Z,0)),"")</f>
        <v>https://sensuallogic.com/artistcolordata</v>
      </c>
    </row>
    <row r="167" customFormat="false" ht="23.85" hidden="false" customHeight="false" outlineLevel="0" collapsed="false">
      <c r="A167" s="2" t="str">
        <f aca="false">IFERROR(INDEX(Query_Source_View!$A:$A,MATCH(ROW()-14,Query_Source_View!$Z:$Z,0)),"")</f>
        <v>PNT000119</v>
      </c>
      <c r="B167" s="2" t="str">
        <f aca="false">IFERROR(INDEX(Query_Source_View!$D:$D,MATCH(ROW()-14,Query_Source_View!$Z:$Z,0)),"")</f>
        <v>Winsor And Newton</v>
      </c>
      <c r="C167" s="2" t="str">
        <f aca="false">IFERROR(INDEX(Query_Source_View!$F:$F,MATCH(ROW()-14,Query_Source_View!$Z:$Z,0)),"")</f>
        <v>Acrylic</v>
      </c>
      <c r="D167" s="2" t="str">
        <f aca="false">IFERROR(INDEX(Query_Source_View!$H:$H,MATCH(ROW()-14,Query_Source_View!$Z:$Z,0)),"")</f>
        <v>Galeria Acrylic</v>
      </c>
      <c r="E167" s="2" t="str">
        <f aca="false">IFERROR(INDEX(Query_Source_View!$J:$J,MATCH(ROW()-14,Query_Source_View!$Z:$Z,0)),"")</f>
        <v>Hooker's Green</v>
      </c>
      <c r="F167" s="2" t="str">
        <f aca="false">IFERROR(INDEX(Query_Source_View!$L:$L,MATCH(ROW()-14,Query_Source_View!$Z:$Z,0)),"")</f>
        <v>Green</v>
      </c>
      <c r="G167" s="2" t="str">
        <f aca="false">IFERROR(INDEX(Query_Source_View!$N:$N,MATCH(ROW()-14,Query_Source_View!$Z:$Z,0)),"")</f>
        <v>PY83</v>
      </c>
      <c r="H167" s="2" t="n">
        <f aca="false">IFERROR(INDEX(Query_Source_View!$P:$P,MATCH(ROW()-14,Query_Source_View!$Z:$Z,0)),"")</f>
        <v>2</v>
      </c>
      <c r="I167" s="2" t="str">
        <f aca="false">IFERROR(INDEX(Query_Source_View!$Q:$Q,MATCH(ROW()-14,Query_Source_View!$Z:$Z,0)),"")</f>
        <v>No</v>
      </c>
      <c r="J167" s="2" t="n">
        <f aca="false">IFERROR(INDEX(Query_Source_View!$R:$R,MATCH(ROW()-14,Query_Source_View!$Z:$Z,0)),"")</f>
        <v>0</v>
      </c>
      <c r="K167" s="2" t="str">
        <f aca="false">IFERROR(INDEX(Query_Source_View!$T:$T,MATCH(ROW()-14,Query_Source_View!$Z:$Z,0)),"")</f>
        <v>AA</v>
      </c>
      <c r="L167" s="2" t="n">
        <f aca="false">IFERROR(INDEX(Query_Source_View!$U:$U,MATCH(ROW()-14,Query_Source_View!$Z:$Z,0)),"")</f>
        <v>0</v>
      </c>
      <c r="M167" s="2" t="n">
        <f aca="false">IFERROR(INDEX(Query_Source_View!$V:$V,MATCH(ROW()-14,Query_Source_View!$Z:$Z,0)),"")</f>
        <v>0</v>
      </c>
      <c r="N167" s="2" t="str">
        <f aca="false">IFERROR(INDEX(Query_Source_View!$W:$W,MATCH(ROW()-14,Query_Source_View!$Z:$Z,0)),"")</f>
        <v>Needs Review</v>
      </c>
      <c r="O167" s="2" t="str">
        <f aca="false">IFERROR(INDEX(Query_Source_View!$X:$X,MATCH(ROW()-14,Query_Source_View!$Z:$Z,0)),"")</f>
        <v>https://sensuallogic.com/artistcolordata</v>
      </c>
    </row>
    <row r="168" customFormat="false" ht="23.85" hidden="false" customHeight="false" outlineLevel="0" collapsed="false">
      <c r="A168" s="2" t="str">
        <f aca="false">IFERROR(INDEX(Query_Source_View!$A:$A,MATCH(ROW()-14,Query_Source_View!$Z:$Z,0)),"")</f>
        <v>PNT000120</v>
      </c>
      <c r="B168" s="2" t="str">
        <f aca="false">IFERROR(INDEX(Query_Source_View!$D:$D,MATCH(ROW()-14,Query_Source_View!$Z:$Z,0)),"")</f>
        <v>Winsor And Newton</v>
      </c>
      <c r="C168" s="2" t="str">
        <f aca="false">IFERROR(INDEX(Query_Source_View!$F:$F,MATCH(ROW()-14,Query_Source_View!$Z:$Z,0)),"")</f>
        <v>Acrylic</v>
      </c>
      <c r="D168" s="2" t="str">
        <f aca="false">IFERROR(INDEX(Query_Source_View!$H:$H,MATCH(ROW()-14,Query_Source_View!$Z:$Z,0)),"")</f>
        <v>Galeria Acrylic</v>
      </c>
      <c r="E168" s="2" t="str">
        <f aca="false">IFERROR(INDEX(Query_Source_View!$J:$J,MATCH(ROW()-14,Query_Source_View!$Z:$Z,0)),"")</f>
        <v>Ivory Black</v>
      </c>
      <c r="F168" s="2" t="str">
        <f aca="false">IFERROR(INDEX(Query_Source_View!$L:$L,MATCH(ROW()-14,Query_Source_View!$Z:$Z,0)),"")</f>
        <v>Black Or Gray</v>
      </c>
      <c r="G168" s="2" t="str">
        <f aca="false">IFERROR(INDEX(Query_Source_View!$N:$N,MATCH(ROW()-14,Query_Source_View!$Z:$Z,0)),"")</f>
        <v>PBk9</v>
      </c>
      <c r="H168" s="2" t="n">
        <f aca="false">IFERROR(INDEX(Query_Source_View!$P:$P,MATCH(ROW()-14,Query_Source_View!$Z:$Z,0)),"")</f>
        <v>1</v>
      </c>
      <c r="I168" s="2" t="str">
        <f aca="false">IFERROR(INDEX(Query_Source_View!$Q:$Q,MATCH(ROW()-14,Query_Source_View!$Z:$Z,0)),"")</f>
        <v>Yes</v>
      </c>
      <c r="J168" s="2" t="n">
        <f aca="false">IFERROR(INDEX(Query_Source_View!$R:$R,MATCH(ROW()-14,Query_Source_View!$Z:$Z,0)),"")</f>
        <v>0</v>
      </c>
      <c r="K168" s="2" t="str">
        <f aca="false">IFERROR(INDEX(Query_Source_View!$T:$T,MATCH(ROW()-14,Query_Source_View!$Z:$Z,0)),"")</f>
        <v>AA</v>
      </c>
      <c r="L168" s="2" t="n">
        <f aca="false">IFERROR(INDEX(Query_Source_View!$U:$U,MATCH(ROW()-14,Query_Source_View!$Z:$Z,0)),"")</f>
        <v>0</v>
      </c>
      <c r="M168" s="2" t="n">
        <f aca="false">IFERROR(INDEX(Query_Source_View!$V:$V,MATCH(ROW()-14,Query_Source_View!$Z:$Z,0)),"")</f>
        <v>0</v>
      </c>
      <c r="N168" s="2" t="str">
        <f aca="false">IFERROR(INDEX(Query_Source_View!$W:$W,MATCH(ROW()-14,Query_Source_View!$Z:$Z,0)),"")</f>
        <v>Needs Review</v>
      </c>
      <c r="O168" s="2" t="str">
        <f aca="false">IFERROR(INDEX(Query_Source_View!$X:$X,MATCH(ROW()-14,Query_Source_View!$Z:$Z,0)),"")</f>
        <v>https://sensuallogic.com/artistcolordata</v>
      </c>
    </row>
    <row r="169" customFormat="false" ht="23.85" hidden="false" customHeight="false" outlineLevel="0" collapsed="false">
      <c r="A169" s="2" t="str">
        <f aca="false">IFERROR(INDEX(Query_Source_View!$A:$A,MATCH(ROW()-14,Query_Source_View!$Z:$Z,0)),"")</f>
        <v>PNT000121</v>
      </c>
      <c r="B169" s="2" t="str">
        <f aca="false">IFERROR(INDEX(Query_Source_View!$D:$D,MATCH(ROW()-14,Query_Source_View!$Z:$Z,0)),"")</f>
        <v>Winsor And Newton</v>
      </c>
      <c r="C169" s="2" t="str">
        <f aca="false">IFERROR(INDEX(Query_Source_View!$F:$F,MATCH(ROW()-14,Query_Source_View!$Z:$Z,0)),"")</f>
        <v>Acrylic</v>
      </c>
      <c r="D169" s="2" t="str">
        <f aca="false">IFERROR(INDEX(Query_Source_View!$H:$H,MATCH(ROW()-14,Query_Source_View!$Z:$Z,0)),"")</f>
        <v>Galeria Acrylic</v>
      </c>
      <c r="E169" s="2" t="str">
        <f aca="false">IFERROR(INDEX(Query_Source_View!$J:$J,MATCH(ROW()-14,Query_Source_View!$Z:$Z,0)),"")</f>
        <v>Lamp Black</v>
      </c>
      <c r="F169" s="2" t="str">
        <f aca="false">IFERROR(INDEX(Query_Source_View!$L:$L,MATCH(ROW()-14,Query_Source_View!$Z:$Z,0)),"")</f>
        <v>Black Or Gray</v>
      </c>
      <c r="G169" s="2" t="str">
        <f aca="false">IFERROR(INDEX(Query_Source_View!$N:$N,MATCH(ROW()-14,Query_Source_View!$Z:$Z,0)),"")</f>
        <v>PBk6</v>
      </c>
      <c r="H169" s="2" t="n">
        <f aca="false">IFERROR(INDEX(Query_Source_View!$P:$P,MATCH(ROW()-14,Query_Source_View!$Z:$Z,0)),"")</f>
        <v>1</v>
      </c>
      <c r="I169" s="2" t="str">
        <f aca="false">IFERROR(INDEX(Query_Source_View!$Q:$Q,MATCH(ROW()-14,Query_Source_View!$Z:$Z,0)),"")</f>
        <v>Yes</v>
      </c>
      <c r="J169" s="2" t="n">
        <f aca="false">IFERROR(INDEX(Query_Source_View!$R:$R,MATCH(ROW()-14,Query_Source_View!$Z:$Z,0)),"")</f>
        <v>0</v>
      </c>
      <c r="K169" s="2" t="str">
        <f aca="false">IFERROR(INDEX(Query_Source_View!$T:$T,MATCH(ROW()-14,Query_Source_View!$Z:$Z,0)),"")</f>
        <v>AA</v>
      </c>
      <c r="L169" s="2" t="n">
        <f aca="false">IFERROR(INDEX(Query_Source_View!$U:$U,MATCH(ROW()-14,Query_Source_View!$Z:$Z,0)),"")</f>
        <v>0</v>
      </c>
      <c r="M169" s="2" t="n">
        <f aca="false">IFERROR(INDEX(Query_Source_View!$V:$V,MATCH(ROW()-14,Query_Source_View!$Z:$Z,0)),"")</f>
        <v>0</v>
      </c>
      <c r="N169" s="2" t="str">
        <f aca="false">IFERROR(INDEX(Query_Source_View!$W:$W,MATCH(ROW()-14,Query_Source_View!$Z:$Z,0)),"")</f>
        <v>Needs Review</v>
      </c>
      <c r="O169" s="2" t="str">
        <f aca="false">IFERROR(INDEX(Query_Source_View!$X:$X,MATCH(ROW()-14,Query_Source_View!$Z:$Z,0)),"")</f>
        <v>https://sensuallogic.com/artistcolordata</v>
      </c>
    </row>
    <row r="170" customFormat="false" ht="23.85" hidden="false" customHeight="false" outlineLevel="0" collapsed="false">
      <c r="A170" s="2" t="str">
        <f aca="false">IFERROR(INDEX(Query_Source_View!$A:$A,MATCH(ROW()-14,Query_Source_View!$Z:$Z,0)),"")</f>
        <v>PNT000122</v>
      </c>
      <c r="B170" s="2" t="str">
        <f aca="false">IFERROR(INDEX(Query_Source_View!$D:$D,MATCH(ROW()-14,Query_Source_View!$Z:$Z,0)),"")</f>
        <v>Winsor And Newton</v>
      </c>
      <c r="C170" s="2" t="str">
        <f aca="false">IFERROR(INDEX(Query_Source_View!$F:$F,MATCH(ROW()-14,Query_Source_View!$Z:$Z,0)),"")</f>
        <v>Acrylic</v>
      </c>
      <c r="D170" s="2" t="str">
        <f aca="false">IFERROR(INDEX(Query_Source_View!$H:$H,MATCH(ROW()-14,Query_Source_View!$Z:$Z,0)),"")</f>
        <v>Galeria Acrylic</v>
      </c>
      <c r="E170" s="2" t="str">
        <f aca="false">IFERROR(INDEX(Query_Source_View!$J:$J,MATCH(ROW()-14,Query_Source_View!$Z:$Z,0)),"")</f>
        <v>Lemon Yellow</v>
      </c>
      <c r="F170" s="2" t="str">
        <f aca="false">IFERROR(INDEX(Query_Source_View!$L:$L,MATCH(ROW()-14,Query_Source_View!$Z:$Z,0)),"")</f>
        <v>Yellow</v>
      </c>
      <c r="G170" s="2" t="str">
        <f aca="false">IFERROR(INDEX(Query_Source_View!$N:$N,MATCH(ROW()-14,Query_Source_View!$Z:$Z,0)),"")</f>
        <v>PY3</v>
      </c>
      <c r="H170" s="2" t="n">
        <f aca="false">IFERROR(INDEX(Query_Source_View!$P:$P,MATCH(ROW()-14,Query_Source_View!$Z:$Z,0)),"")</f>
        <v>1</v>
      </c>
      <c r="I170" s="2" t="str">
        <f aca="false">IFERROR(INDEX(Query_Source_View!$Q:$Q,MATCH(ROW()-14,Query_Source_View!$Z:$Z,0)),"")</f>
        <v>Yes</v>
      </c>
      <c r="J170" s="2" t="n">
        <f aca="false">IFERROR(INDEX(Query_Source_View!$R:$R,MATCH(ROW()-14,Query_Source_View!$Z:$Z,0)),"")</f>
        <v>0</v>
      </c>
      <c r="K170" s="2" t="str">
        <f aca="false">IFERROR(INDEX(Query_Source_View!$T:$T,MATCH(ROW()-14,Query_Source_View!$Z:$Z,0)),"")</f>
        <v>A</v>
      </c>
      <c r="L170" s="2" t="n">
        <f aca="false">IFERROR(INDEX(Query_Source_View!$U:$U,MATCH(ROW()-14,Query_Source_View!$Z:$Z,0)),"")</f>
        <v>0</v>
      </c>
      <c r="M170" s="2" t="n">
        <f aca="false">IFERROR(INDEX(Query_Source_View!$V:$V,MATCH(ROW()-14,Query_Source_View!$Z:$Z,0)),"")</f>
        <v>0</v>
      </c>
      <c r="N170" s="2" t="str">
        <f aca="false">IFERROR(INDEX(Query_Source_View!$W:$W,MATCH(ROW()-14,Query_Source_View!$Z:$Z,0)),"")</f>
        <v>Needs Review</v>
      </c>
      <c r="O170" s="2" t="str">
        <f aca="false">IFERROR(INDEX(Query_Source_View!$X:$X,MATCH(ROW()-14,Query_Source_View!$Z:$Z,0)),"")</f>
        <v>https://sensuallogic.com/artistcolordata</v>
      </c>
    </row>
    <row r="171" customFormat="false" ht="23.85" hidden="false" customHeight="false" outlineLevel="0" collapsed="false">
      <c r="A171" s="2" t="str">
        <f aca="false">IFERROR(INDEX(Query_Source_View!$A:$A,MATCH(ROW()-14,Query_Source_View!$Z:$Z,0)),"")</f>
        <v>PNT000123</v>
      </c>
      <c r="B171" s="2" t="str">
        <f aca="false">IFERROR(INDEX(Query_Source_View!$D:$D,MATCH(ROW()-14,Query_Source_View!$Z:$Z,0)),"")</f>
        <v>Winsor And Newton</v>
      </c>
      <c r="C171" s="2" t="str">
        <f aca="false">IFERROR(INDEX(Query_Source_View!$F:$F,MATCH(ROW()-14,Query_Source_View!$Z:$Z,0)),"")</f>
        <v>Acrylic</v>
      </c>
      <c r="D171" s="2" t="str">
        <f aca="false">IFERROR(INDEX(Query_Source_View!$H:$H,MATCH(ROW()-14,Query_Source_View!$Z:$Z,0)),"")</f>
        <v>Galeria Acrylic</v>
      </c>
      <c r="E171" s="2" t="str">
        <f aca="false">IFERROR(INDEX(Query_Source_View!$J:$J,MATCH(ROW()-14,Query_Source_View!$Z:$Z,0)),"")</f>
        <v>Mixing White</v>
      </c>
      <c r="F171" s="2" t="str">
        <f aca="false">IFERROR(INDEX(Query_Source_View!$L:$L,MATCH(ROW()-14,Query_Source_View!$Z:$Z,0)),"")</f>
        <v>White</v>
      </c>
      <c r="G171" s="2" t="str">
        <f aca="false">IFERROR(INDEX(Query_Source_View!$N:$N,MATCH(ROW()-14,Query_Source_View!$Z:$Z,0)),"")</f>
        <v>PW6</v>
      </c>
      <c r="H171" s="2" t="n">
        <f aca="false">IFERROR(INDEX(Query_Source_View!$P:$P,MATCH(ROW()-14,Query_Source_View!$Z:$Z,0)),"")</f>
        <v>1</v>
      </c>
      <c r="I171" s="2" t="str">
        <f aca="false">IFERROR(INDEX(Query_Source_View!$Q:$Q,MATCH(ROW()-14,Query_Source_View!$Z:$Z,0)),"")</f>
        <v>Yes</v>
      </c>
      <c r="J171" s="2" t="n">
        <f aca="false">IFERROR(INDEX(Query_Source_View!$R:$R,MATCH(ROW()-14,Query_Source_View!$Z:$Z,0)),"")</f>
        <v>0</v>
      </c>
      <c r="K171" s="2" t="str">
        <f aca="false">IFERROR(INDEX(Query_Source_View!$T:$T,MATCH(ROW()-14,Query_Source_View!$Z:$Z,0)),"")</f>
        <v>AA</v>
      </c>
      <c r="L171" s="2" t="n">
        <f aca="false">IFERROR(INDEX(Query_Source_View!$U:$U,MATCH(ROW()-14,Query_Source_View!$Z:$Z,0)),"")</f>
        <v>0</v>
      </c>
      <c r="M171" s="2" t="n">
        <f aca="false">IFERROR(INDEX(Query_Source_View!$V:$V,MATCH(ROW()-14,Query_Source_View!$Z:$Z,0)),"")</f>
        <v>0</v>
      </c>
      <c r="N171" s="2" t="str">
        <f aca="false">IFERROR(INDEX(Query_Source_View!$W:$W,MATCH(ROW()-14,Query_Source_View!$Z:$Z,0)),"")</f>
        <v>Needs Review</v>
      </c>
      <c r="O171" s="2" t="str">
        <f aca="false">IFERROR(INDEX(Query_Source_View!$X:$X,MATCH(ROW()-14,Query_Source_View!$Z:$Z,0)),"")</f>
        <v>https://sensuallogic.com/artistcolordata</v>
      </c>
    </row>
    <row r="172" customFormat="false" ht="23.85" hidden="false" customHeight="false" outlineLevel="0" collapsed="false">
      <c r="A172" s="2" t="str">
        <f aca="false">IFERROR(INDEX(Query_Source_View!$A:$A,MATCH(ROW()-14,Query_Source_View!$Z:$Z,0)),"")</f>
        <v>PNT000124</v>
      </c>
      <c r="B172" s="2" t="str">
        <f aca="false">IFERROR(INDEX(Query_Source_View!$D:$D,MATCH(ROW()-14,Query_Source_View!$Z:$Z,0)),"")</f>
        <v>Winsor And Newton</v>
      </c>
      <c r="C172" s="2" t="str">
        <f aca="false">IFERROR(INDEX(Query_Source_View!$F:$F,MATCH(ROW()-14,Query_Source_View!$Z:$Z,0)),"")</f>
        <v>Acrylic</v>
      </c>
      <c r="D172" s="2" t="str">
        <f aca="false">IFERROR(INDEX(Query_Source_View!$H:$H,MATCH(ROW()-14,Query_Source_View!$Z:$Z,0)),"")</f>
        <v>Galeria Acrylic</v>
      </c>
      <c r="E172" s="2" t="str">
        <f aca="false">IFERROR(INDEX(Query_Source_View!$J:$J,MATCH(ROW()-14,Query_Source_View!$Z:$Z,0)),"")</f>
        <v>Permanent Magenta</v>
      </c>
      <c r="F172" s="2" t="str">
        <f aca="false">IFERROR(INDEX(Query_Source_View!$L:$L,MATCH(ROW()-14,Query_Source_View!$Z:$Z,0)),"")</f>
        <v>Red</v>
      </c>
      <c r="G172" s="2" t="str">
        <f aca="false">IFERROR(INDEX(Query_Source_View!$N:$N,MATCH(ROW()-14,Query_Source_View!$Z:$Z,0)),"")</f>
        <v>PR122</v>
      </c>
      <c r="H172" s="2" t="n">
        <f aca="false">IFERROR(INDEX(Query_Source_View!$P:$P,MATCH(ROW()-14,Query_Source_View!$Z:$Z,0)),"")</f>
        <v>2</v>
      </c>
      <c r="I172" s="2" t="str">
        <f aca="false">IFERROR(INDEX(Query_Source_View!$Q:$Q,MATCH(ROW()-14,Query_Source_View!$Z:$Z,0)),"")</f>
        <v>No</v>
      </c>
      <c r="J172" s="2" t="n">
        <f aca="false">IFERROR(INDEX(Query_Source_View!$R:$R,MATCH(ROW()-14,Query_Source_View!$Z:$Z,0)),"")</f>
        <v>0</v>
      </c>
      <c r="K172" s="2" t="str">
        <f aca="false">IFERROR(INDEX(Query_Source_View!$T:$T,MATCH(ROW()-14,Query_Source_View!$Z:$Z,0)),"")</f>
        <v>A</v>
      </c>
      <c r="L172" s="2" t="n">
        <f aca="false">IFERROR(INDEX(Query_Source_View!$U:$U,MATCH(ROW()-14,Query_Source_View!$Z:$Z,0)),"")</f>
        <v>0</v>
      </c>
      <c r="M172" s="2" t="n">
        <f aca="false">IFERROR(INDEX(Query_Source_View!$V:$V,MATCH(ROW()-14,Query_Source_View!$Z:$Z,0)),"")</f>
        <v>0</v>
      </c>
      <c r="N172" s="2" t="str">
        <f aca="false">IFERROR(INDEX(Query_Source_View!$W:$W,MATCH(ROW()-14,Query_Source_View!$Z:$Z,0)),"")</f>
        <v>Needs Review</v>
      </c>
      <c r="O172" s="2" t="str">
        <f aca="false">IFERROR(INDEX(Query_Source_View!$X:$X,MATCH(ROW()-14,Query_Source_View!$Z:$Z,0)),"")</f>
        <v>https://sensuallogic.com/artistcolordata</v>
      </c>
    </row>
    <row r="173" customFormat="false" ht="23.85" hidden="false" customHeight="false" outlineLevel="0" collapsed="false">
      <c r="A173" s="2" t="str">
        <f aca="false">IFERROR(INDEX(Query_Source_View!$A:$A,MATCH(ROW()-14,Query_Source_View!$Z:$Z,0)),"")</f>
        <v>PNT000124</v>
      </c>
      <c r="B173" s="2" t="str">
        <f aca="false">IFERROR(INDEX(Query_Source_View!$D:$D,MATCH(ROW()-14,Query_Source_View!$Z:$Z,0)),"")</f>
        <v>Winsor And Newton</v>
      </c>
      <c r="C173" s="2" t="str">
        <f aca="false">IFERROR(INDEX(Query_Source_View!$F:$F,MATCH(ROW()-14,Query_Source_View!$Z:$Z,0)),"")</f>
        <v>Acrylic</v>
      </c>
      <c r="D173" s="2" t="str">
        <f aca="false">IFERROR(INDEX(Query_Source_View!$H:$H,MATCH(ROW()-14,Query_Source_View!$Z:$Z,0)),"")</f>
        <v>Galeria Acrylic</v>
      </c>
      <c r="E173" s="2" t="str">
        <f aca="false">IFERROR(INDEX(Query_Source_View!$J:$J,MATCH(ROW()-14,Query_Source_View!$Z:$Z,0)),"")</f>
        <v>Permanent Magenta</v>
      </c>
      <c r="F173" s="2" t="str">
        <f aca="false">IFERROR(INDEX(Query_Source_View!$L:$L,MATCH(ROW()-14,Query_Source_View!$Z:$Z,0)),"")</f>
        <v>Red</v>
      </c>
      <c r="G173" s="2" t="str">
        <f aca="false">IFERROR(INDEX(Query_Source_View!$N:$N,MATCH(ROW()-14,Query_Source_View!$Z:$Z,0)),"")</f>
        <v>PV19</v>
      </c>
      <c r="H173" s="2" t="n">
        <f aca="false">IFERROR(INDEX(Query_Source_View!$P:$P,MATCH(ROW()-14,Query_Source_View!$Z:$Z,0)),"")</f>
        <v>2</v>
      </c>
      <c r="I173" s="2" t="str">
        <f aca="false">IFERROR(INDEX(Query_Source_View!$Q:$Q,MATCH(ROW()-14,Query_Source_View!$Z:$Z,0)),"")</f>
        <v>No</v>
      </c>
      <c r="J173" s="2" t="n">
        <f aca="false">IFERROR(INDEX(Query_Source_View!$R:$R,MATCH(ROW()-14,Query_Source_View!$Z:$Z,0)),"")</f>
        <v>0</v>
      </c>
      <c r="K173" s="2" t="str">
        <f aca="false">IFERROR(INDEX(Query_Source_View!$T:$T,MATCH(ROW()-14,Query_Source_View!$Z:$Z,0)),"")</f>
        <v>A</v>
      </c>
      <c r="L173" s="2" t="n">
        <f aca="false">IFERROR(INDEX(Query_Source_View!$U:$U,MATCH(ROW()-14,Query_Source_View!$Z:$Z,0)),"")</f>
        <v>0</v>
      </c>
      <c r="M173" s="2" t="n">
        <f aca="false">IFERROR(INDEX(Query_Source_View!$V:$V,MATCH(ROW()-14,Query_Source_View!$Z:$Z,0)),"")</f>
        <v>0</v>
      </c>
      <c r="N173" s="2" t="str">
        <f aca="false">IFERROR(INDEX(Query_Source_View!$W:$W,MATCH(ROW()-14,Query_Source_View!$Z:$Z,0)),"")</f>
        <v>Needs Review</v>
      </c>
      <c r="O173" s="2" t="str">
        <f aca="false">IFERROR(INDEX(Query_Source_View!$X:$X,MATCH(ROW()-14,Query_Source_View!$Z:$Z,0)),"")</f>
        <v>https://sensuallogic.com/artistcolordata</v>
      </c>
    </row>
    <row r="174" customFormat="false" ht="23.85" hidden="false" customHeight="false" outlineLevel="0" collapsed="false">
      <c r="A174" s="2" t="str">
        <f aca="false">IFERROR(INDEX(Query_Source_View!$A:$A,MATCH(ROW()-14,Query_Source_View!$Z:$Z,0)),"")</f>
        <v>PNT000125</v>
      </c>
      <c r="B174" s="2" t="str">
        <f aca="false">IFERROR(INDEX(Query_Source_View!$D:$D,MATCH(ROW()-14,Query_Source_View!$Z:$Z,0)),"")</f>
        <v>Winsor And Newton</v>
      </c>
      <c r="C174" s="2" t="str">
        <f aca="false">IFERROR(INDEX(Query_Source_View!$F:$F,MATCH(ROW()-14,Query_Source_View!$Z:$Z,0)),"")</f>
        <v>Acrylic</v>
      </c>
      <c r="D174" s="2" t="str">
        <f aca="false">IFERROR(INDEX(Query_Source_View!$H:$H,MATCH(ROW()-14,Query_Source_View!$Z:$Z,0)),"")</f>
        <v>Galeria Acrylic</v>
      </c>
      <c r="E174" s="2" t="str">
        <f aca="false">IFERROR(INDEX(Query_Source_View!$J:$J,MATCH(ROW()-14,Query_Source_View!$Z:$Z,0)),"")</f>
        <v>Phthalo Green</v>
      </c>
      <c r="F174" s="2" t="str">
        <f aca="false">IFERROR(INDEX(Query_Source_View!$L:$L,MATCH(ROW()-14,Query_Source_View!$Z:$Z,0)),"")</f>
        <v>Green</v>
      </c>
      <c r="G174" s="2" t="str">
        <f aca="false">IFERROR(INDEX(Query_Source_View!$N:$N,MATCH(ROW()-14,Query_Source_View!$Z:$Z,0)),"")</f>
        <v>PG7</v>
      </c>
      <c r="H174" s="2" t="n">
        <f aca="false">IFERROR(INDEX(Query_Source_View!$P:$P,MATCH(ROW()-14,Query_Source_View!$Z:$Z,0)),"")</f>
        <v>1</v>
      </c>
      <c r="I174" s="2" t="str">
        <f aca="false">IFERROR(INDEX(Query_Source_View!$Q:$Q,MATCH(ROW()-14,Query_Source_View!$Z:$Z,0)),"")</f>
        <v>Yes</v>
      </c>
      <c r="J174" s="2" t="n">
        <f aca="false">IFERROR(INDEX(Query_Source_View!$R:$R,MATCH(ROW()-14,Query_Source_View!$Z:$Z,0)),"")</f>
        <v>0</v>
      </c>
      <c r="K174" s="2" t="str">
        <f aca="false">IFERROR(INDEX(Query_Source_View!$T:$T,MATCH(ROW()-14,Query_Source_View!$Z:$Z,0)),"")</f>
        <v>A</v>
      </c>
      <c r="L174" s="2" t="n">
        <f aca="false">IFERROR(INDEX(Query_Source_View!$U:$U,MATCH(ROW()-14,Query_Source_View!$Z:$Z,0)),"")</f>
        <v>0</v>
      </c>
      <c r="M174" s="2" t="n">
        <f aca="false">IFERROR(INDEX(Query_Source_View!$V:$V,MATCH(ROW()-14,Query_Source_View!$Z:$Z,0)),"")</f>
        <v>0</v>
      </c>
      <c r="N174" s="2" t="str">
        <f aca="false">IFERROR(INDEX(Query_Source_View!$W:$W,MATCH(ROW()-14,Query_Source_View!$Z:$Z,0)),"")</f>
        <v>Needs Review</v>
      </c>
      <c r="O174" s="2" t="str">
        <f aca="false">IFERROR(INDEX(Query_Source_View!$X:$X,MATCH(ROW()-14,Query_Source_View!$Z:$Z,0)),"")</f>
        <v>https://sensuallogic.com/artistcolordata</v>
      </c>
    </row>
    <row r="175" customFormat="false" ht="23.85" hidden="false" customHeight="false" outlineLevel="0" collapsed="false">
      <c r="A175" s="2" t="str">
        <f aca="false">IFERROR(INDEX(Query_Source_View!$A:$A,MATCH(ROW()-14,Query_Source_View!$Z:$Z,0)),"")</f>
        <v>PNT000126</v>
      </c>
      <c r="B175" s="2" t="str">
        <f aca="false">IFERROR(INDEX(Query_Source_View!$D:$D,MATCH(ROW()-14,Query_Source_View!$Z:$Z,0)),"")</f>
        <v>Winsor And Newton</v>
      </c>
      <c r="C175" s="2" t="str">
        <f aca="false">IFERROR(INDEX(Query_Source_View!$F:$F,MATCH(ROW()-14,Query_Source_View!$Z:$Z,0)),"")</f>
        <v>Acrylic</v>
      </c>
      <c r="D175" s="2" t="str">
        <f aca="false">IFERROR(INDEX(Query_Source_View!$H:$H,MATCH(ROW()-14,Query_Source_View!$Z:$Z,0)),"")</f>
        <v>Galeria Acrylic</v>
      </c>
      <c r="E175" s="2" t="str">
        <f aca="false">IFERROR(INDEX(Query_Source_View!$J:$J,MATCH(ROW()-14,Query_Source_View!$Z:$Z,0)),"")</f>
        <v>Process Magenta</v>
      </c>
      <c r="F175" s="2" t="str">
        <f aca="false">IFERROR(INDEX(Query_Source_View!$L:$L,MATCH(ROW()-14,Query_Source_View!$Z:$Z,0)),"")</f>
        <v>Red</v>
      </c>
      <c r="G175" s="2" t="str">
        <f aca="false">IFERROR(INDEX(Query_Source_View!$N:$N,MATCH(ROW()-14,Query_Source_View!$Z:$Z,0)),"")</f>
        <v>PV19</v>
      </c>
      <c r="H175" s="2" t="n">
        <f aca="false">IFERROR(INDEX(Query_Source_View!$P:$P,MATCH(ROW()-14,Query_Source_View!$Z:$Z,0)),"")</f>
        <v>1</v>
      </c>
      <c r="I175" s="2" t="str">
        <f aca="false">IFERROR(INDEX(Query_Source_View!$Q:$Q,MATCH(ROW()-14,Query_Source_View!$Z:$Z,0)),"")</f>
        <v>Yes</v>
      </c>
      <c r="J175" s="2" t="n">
        <f aca="false">IFERROR(INDEX(Query_Source_View!$R:$R,MATCH(ROW()-14,Query_Source_View!$Z:$Z,0)),"")</f>
        <v>0</v>
      </c>
      <c r="K175" s="2" t="str">
        <f aca="false">IFERROR(INDEX(Query_Source_View!$T:$T,MATCH(ROW()-14,Query_Source_View!$Z:$Z,0)),"")</f>
        <v>A</v>
      </c>
      <c r="L175" s="2" t="n">
        <f aca="false">IFERROR(INDEX(Query_Source_View!$U:$U,MATCH(ROW()-14,Query_Source_View!$Z:$Z,0)),"")</f>
        <v>0</v>
      </c>
      <c r="M175" s="2" t="n">
        <f aca="false">IFERROR(INDEX(Query_Source_View!$V:$V,MATCH(ROW()-14,Query_Source_View!$Z:$Z,0)),"")</f>
        <v>0</v>
      </c>
      <c r="N175" s="2" t="str">
        <f aca="false">IFERROR(INDEX(Query_Source_View!$W:$W,MATCH(ROW()-14,Query_Source_View!$Z:$Z,0)),"")</f>
        <v>Needs Review</v>
      </c>
      <c r="O175" s="2" t="str">
        <f aca="false">IFERROR(INDEX(Query_Source_View!$X:$X,MATCH(ROW()-14,Query_Source_View!$Z:$Z,0)),"")</f>
        <v>https://sensuallogic.com/artistcolordata</v>
      </c>
    </row>
    <row r="176" customFormat="false" ht="23.85" hidden="false" customHeight="false" outlineLevel="0" collapsed="false">
      <c r="A176" s="2" t="str">
        <f aca="false">IFERROR(INDEX(Query_Source_View!$A:$A,MATCH(ROW()-14,Query_Source_View!$Z:$Z,0)),"")</f>
        <v>PNT000127</v>
      </c>
      <c r="B176" s="2" t="str">
        <f aca="false">IFERROR(INDEX(Query_Source_View!$D:$D,MATCH(ROW()-14,Query_Source_View!$Z:$Z,0)),"")</f>
        <v>Winsor And Newton</v>
      </c>
      <c r="C176" s="2" t="str">
        <f aca="false">IFERROR(INDEX(Query_Source_View!$F:$F,MATCH(ROW()-14,Query_Source_View!$Z:$Z,0)),"")</f>
        <v>Acrylic</v>
      </c>
      <c r="D176" s="2" t="str">
        <f aca="false">IFERROR(INDEX(Query_Source_View!$H:$H,MATCH(ROW()-14,Query_Source_View!$Z:$Z,0)),"")</f>
        <v>Galeria Acrylic</v>
      </c>
      <c r="E176" s="2" t="str">
        <f aca="false">IFERROR(INDEX(Query_Source_View!$J:$J,MATCH(ROW()-14,Query_Source_View!$Z:$Z,0)),"")</f>
        <v>Process Cyan</v>
      </c>
      <c r="F176" s="2" t="str">
        <f aca="false">IFERROR(INDEX(Query_Source_View!$L:$L,MATCH(ROW()-14,Query_Source_View!$Z:$Z,0)),"")</f>
        <v>Blue</v>
      </c>
      <c r="G176" s="2" t="str">
        <f aca="false">IFERROR(INDEX(Query_Source_View!$N:$N,MATCH(ROW()-14,Query_Source_View!$Z:$Z,0)),"")</f>
        <v>PB15:3</v>
      </c>
      <c r="H176" s="2" t="n">
        <f aca="false">IFERROR(INDEX(Query_Source_View!$P:$P,MATCH(ROW()-14,Query_Source_View!$Z:$Z,0)),"")</f>
        <v>2</v>
      </c>
      <c r="I176" s="2" t="str">
        <f aca="false">IFERROR(INDEX(Query_Source_View!$Q:$Q,MATCH(ROW()-14,Query_Source_View!$Z:$Z,0)),"")</f>
        <v>No</v>
      </c>
      <c r="J176" s="2" t="n">
        <f aca="false">IFERROR(INDEX(Query_Source_View!$R:$R,MATCH(ROW()-14,Query_Source_View!$Z:$Z,0)),"")</f>
        <v>0</v>
      </c>
      <c r="K176" s="2" t="str">
        <f aca="false">IFERROR(INDEX(Query_Source_View!$T:$T,MATCH(ROW()-14,Query_Source_View!$Z:$Z,0)),"")</f>
        <v>A</v>
      </c>
      <c r="L176" s="2" t="n">
        <f aca="false">IFERROR(INDEX(Query_Source_View!$U:$U,MATCH(ROW()-14,Query_Source_View!$Z:$Z,0)),"")</f>
        <v>0</v>
      </c>
      <c r="M176" s="2" t="n">
        <f aca="false">IFERROR(INDEX(Query_Source_View!$V:$V,MATCH(ROW()-14,Query_Source_View!$Z:$Z,0)),"")</f>
        <v>0</v>
      </c>
      <c r="N176" s="2" t="str">
        <f aca="false">IFERROR(INDEX(Query_Source_View!$W:$W,MATCH(ROW()-14,Query_Source_View!$Z:$Z,0)),"")</f>
        <v>Needs Review</v>
      </c>
      <c r="O176" s="2" t="str">
        <f aca="false">IFERROR(INDEX(Query_Source_View!$X:$X,MATCH(ROW()-14,Query_Source_View!$Z:$Z,0)),"")</f>
        <v>https://sensuallogic.com/artistcolordata</v>
      </c>
    </row>
    <row r="177" customFormat="false" ht="23.85" hidden="false" customHeight="false" outlineLevel="0" collapsed="false">
      <c r="A177" s="2" t="str">
        <f aca="false">IFERROR(INDEX(Query_Source_View!$A:$A,MATCH(ROW()-14,Query_Source_View!$Z:$Z,0)),"")</f>
        <v>PNT000127</v>
      </c>
      <c r="B177" s="2" t="str">
        <f aca="false">IFERROR(INDEX(Query_Source_View!$D:$D,MATCH(ROW()-14,Query_Source_View!$Z:$Z,0)),"")</f>
        <v>Winsor And Newton</v>
      </c>
      <c r="C177" s="2" t="str">
        <f aca="false">IFERROR(INDEX(Query_Source_View!$F:$F,MATCH(ROW()-14,Query_Source_View!$Z:$Z,0)),"")</f>
        <v>Acrylic</v>
      </c>
      <c r="D177" s="2" t="str">
        <f aca="false">IFERROR(INDEX(Query_Source_View!$H:$H,MATCH(ROW()-14,Query_Source_View!$Z:$Z,0)),"")</f>
        <v>Galeria Acrylic</v>
      </c>
      <c r="E177" s="2" t="str">
        <f aca="false">IFERROR(INDEX(Query_Source_View!$J:$J,MATCH(ROW()-14,Query_Source_View!$Z:$Z,0)),"")</f>
        <v>Process Cyan</v>
      </c>
      <c r="F177" s="2" t="str">
        <f aca="false">IFERROR(INDEX(Query_Source_View!$L:$L,MATCH(ROW()-14,Query_Source_View!$Z:$Z,0)),"")</f>
        <v>Blue</v>
      </c>
      <c r="G177" s="2" t="str">
        <f aca="false">IFERROR(INDEX(Query_Source_View!$N:$N,MATCH(ROW()-14,Query_Source_View!$Z:$Z,0)),"")</f>
        <v>PW6</v>
      </c>
      <c r="H177" s="2" t="n">
        <f aca="false">IFERROR(INDEX(Query_Source_View!$P:$P,MATCH(ROW()-14,Query_Source_View!$Z:$Z,0)),"")</f>
        <v>2</v>
      </c>
      <c r="I177" s="2" t="str">
        <f aca="false">IFERROR(INDEX(Query_Source_View!$Q:$Q,MATCH(ROW()-14,Query_Source_View!$Z:$Z,0)),"")</f>
        <v>No</v>
      </c>
      <c r="J177" s="2" t="n">
        <f aca="false">IFERROR(INDEX(Query_Source_View!$R:$R,MATCH(ROW()-14,Query_Source_View!$Z:$Z,0)),"")</f>
        <v>0</v>
      </c>
      <c r="K177" s="2" t="str">
        <f aca="false">IFERROR(INDEX(Query_Source_View!$T:$T,MATCH(ROW()-14,Query_Source_View!$Z:$Z,0)),"")</f>
        <v>A</v>
      </c>
      <c r="L177" s="2" t="n">
        <f aca="false">IFERROR(INDEX(Query_Source_View!$U:$U,MATCH(ROW()-14,Query_Source_View!$Z:$Z,0)),"")</f>
        <v>0</v>
      </c>
      <c r="M177" s="2" t="n">
        <f aca="false">IFERROR(INDEX(Query_Source_View!$V:$V,MATCH(ROW()-14,Query_Source_View!$Z:$Z,0)),"")</f>
        <v>0</v>
      </c>
      <c r="N177" s="2" t="str">
        <f aca="false">IFERROR(INDEX(Query_Source_View!$W:$W,MATCH(ROW()-14,Query_Source_View!$Z:$Z,0)),"")</f>
        <v>Needs Review</v>
      </c>
      <c r="O177" s="2" t="str">
        <f aca="false">IFERROR(INDEX(Query_Source_View!$X:$X,MATCH(ROW()-14,Query_Source_View!$Z:$Z,0)),"")</f>
        <v>https://sensuallogic.com/artistcolordata</v>
      </c>
    </row>
    <row r="178" customFormat="false" ht="23.85" hidden="false" customHeight="false" outlineLevel="0" collapsed="false">
      <c r="A178" s="2" t="str">
        <f aca="false">IFERROR(INDEX(Query_Source_View!$A:$A,MATCH(ROW()-14,Query_Source_View!$Z:$Z,0)),"")</f>
        <v>PNT000128</v>
      </c>
      <c r="B178" s="2" t="str">
        <f aca="false">IFERROR(INDEX(Query_Source_View!$D:$D,MATCH(ROW()-14,Query_Source_View!$Z:$Z,0)),"")</f>
        <v>Winsor And Newton</v>
      </c>
      <c r="C178" s="2" t="str">
        <f aca="false">IFERROR(INDEX(Query_Source_View!$F:$F,MATCH(ROW()-14,Query_Source_View!$Z:$Z,0)),"")</f>
        <v>Acrylic</v>
      </c>
      <c r="D178" s="2" t="str">
        <f aca="false">IFERROR(INDEX(Query_Source_View!$H:$H,MATCH(ROW()-14,Query_Source_View!$Z:$Z,0)),"")</f>
        <v>Galeria Acrylic</v>
      </c>
      <c r="E178" s="2" t="str">
        <f aca="false">IFERROR(INDEX(Query_Source_View!$J:$J,MATCH(ROW()-14,Query_Source_View!$Z:$Z,0)),"")</f>
        <v>Process Yellow</v>
      </c>
      <c r="F178" s="2" t="str">
        <f aca="false">IFERROR(INDEX(Query_Source_View!$L:$L,MATCH(ROW()-14,Query_Source_View!$Z:$Z,0)),"")</f>
        <v>Yellow</v>
      </c>
      <c r="G178" s="2" t="str">
        <f aca="false">IFERROR(INDEX(Query_Source_View!$N:$N,MATCH(ROW()-14,Query_Source_View!$Z:$Z,0)),"")</f>
        <v>PY74</v>
      </c>
      <c r="H178" s="2" t="n">
        <f aca="false">IFERROR(INDEX(Query_Source_View!$P:$P,MATCH(ROW()-14,Query_Source_View!$Z:$Z,0)),"")</f>
        <v>1</v>
      </c>
      <c r="I178" s="2" t="str">
        <f aca="false">IFERROR(INDEX(Query_Source_View!$Q:$Q,MATCH(ROW()-14,Query_Source_View!$Z:$Z,0)),"")</f>
        <v>Yes</v>
      </c>
      <c r="J178" s="2" t="n">
        <f aca="false">IFERROR(INDEX(Query_Source_View!$R:$R,MATCH(ROW()-14,Query_Source_View!$Z:$Z,0)),"")</f>
        <v>0</v>
      </c>
      <c r="K178" s="2" t="str">
        <f aca="false">IFERROR(INDEX(Query_Source_View!$T:$T,MATCH(ROW()-14,Query_Source_View!$Z:$Z,0)),"")</f>
        <v>A</v>
      </c>
      <c r="L178" s="2" t="n">
        <f aca="false">IFERROR(INDEX(Query_Source_View!$U:$U,MATCH(ROW()-14,Query_Source_View!$Z:$Z,0)),"")</f>
        <v>0</v>
      </c>
      <c r="M178" s="2" t="n">
        <f aca="false">IFERROR(INDEX(Query_Source_View!$V:$V,MATCH(ROW()-14,Query_Source_View!$Z:$Z,0)),"")</f>
        <v>0</v>
      </c>
      <c r="N178" s="2" t="str">
        <f aca="false">IFERROR(INDEX(Query_Source_View!$W:$W,MATCH(ROW()-14,Query_Source_View!$Z:$Z,0)),"")</f>
        <v>Needs Review</v>
      </c>
      <c r="O178" s="2" t="str">
        <f aca="false">IFERROR(INDEX(Query_Source_View!$X:$X,MATCH(ROW()-14,Query_Source_View!$Z:$Z,0)),"")</f>
        <v>https://sensuallogic.com/artistcolordata</v>
      </c>
    </row>
    <row r="179" customFormat="false" ht="23.85" hidden="false" customHeight="false" outlineLevel="0" collapsed="false">
      <c r="A179" s="2" t="str">
        <f aca="false">IFERROR(INDEX(Query_Source_View!$A:$A,MATCH(ROW()-14,Query_Source_View!$Z:$Z,0)),"")</f>
        <v>PNT000129</v>
      </c>
      <c r="B179" s="2" t="str">
        <f aca="false">IFERROR(INDEX(Query_Source_View!$D:$D,MATCH(ROW()-14,Query_Source_View!$Z:$Z,0)),"")</f>
        <v>Winsor And Newton</v>
      </c>
      <c r="C179" s="2" t="str">
        <f aca="false">IFERROR(INDEX(Query_Source_View!$F:$F,MATCH(ROW()-14,Query_Source_View!$Z:$Z,0)),"")</f>
        <v>Acrylic</v>
      </c>
      <c r="D179" s="2" t="str">
        <f aca="false">IFERROR(INDEX(Query_Source_View!$H:$H,MATCH(ROW()-14,Query_Source_View!$Z:$Z,0)),"")</f>
        <v>Galeria Acrylic</v>
      </c>
      <c r="E179" s="2" t="str">
        <f aca="false">IFERROR(INDEX(Query_Source_View!$J:$J,MATCH(ROW()-14,Query_Source_View!$Z:$Z,0)),"")</f>
        <v>Prussian Blue Hue</v>
      </c>
      <c r="F179" s="2" t="str">
        <f aca="false">IFERROR(INDEX(Query_Source_View!$L:$L,MATCH(ROW()-14,Query_Source_View!$Z:$Z,0)),"")</f>
        <v>Blue</v>
      </c>
      <c r="G179" s="2" t="str">
        <f aca="false">IFERROR(INDEX(Query_Source_View!$N:$N,MATCH(ROW()-14,Query_Source_View!$Z:$Z,0)),"")</f>
        <v>PB29</v>
      </c>
      <c r="H179" s="2" t="n">
        <f aca="false">IFERROR(INDEX(Query_Source_View!$P:$P,MATCH(ROW()-14,Query_Source_View!$Z:$Z,0)),"")</f>
        <v>3</v>
      </c>
      <c r="I179" s="2" t="str">
        <f aca="false">IFERROR(INDEX(Query_Source_View!$Q:$Q,MATCH(ROW()-14,Query_Source_View!$Z:$Z,0)),"")</f>
        <v>No</v>
      </c>
      <c r="J179" s="2" t="n">
        <f aca="false">IFERROR(INDEX(Query_Source_View!$R:$R,MATCH(ROW()-14,Query_Source_View!$Z:$Z,0)),"")</f>
        <v>0</v>
      </c>
      <c r="K179" s="2" t="str">
        <f aca="false">IFERROR(INDEX(Query_Source_View!$T:$T,MATCH(ROW()-14,Query_Source_View!$Z:$Z,0)),"")</f>
        <v>A</v>
      </c>
      <c r="L179" s="2" t="n">
        <f aca="false">IFERROR(INDEX(Query_Source_View!$U:$U,MATCH(ROW()-14,Query_Source_View!$Z:$Z,0)),"")</f>
        <v>0</v>
      </c>
      <c r="M179" s="2" t="n">
        <f aca="false">IFERROR(INDEX(Query_Source_View!$V:$V,MATCH(ROW()-14,Query_Source_View!$Z:$Z,0)),"")</f>
        <v>0</v>
      </c>
      <c r="N179" s="2" t="str">
        <f aca="false">IFERROR(INDEX(Query_Source_View!$W:$W,MATCH(ROW()-14,Query_Source_View!$Z:$Z,0)),"")</f>
        <v>Needs Review</v>
      </c>
      <c r="O179" s="2" t="str">
        <f aca="false">IFERROR(INDEX(Query_Source_View!$X:$X,MATCH(ROW()-14,Query_Source_View!$Z:$Z,0)),"")</f>
        <v>https://sensuallogic.com/artistcolordata</v>
      </c>
    </row>
    <row r="180" customFormat="false" ht="23.85" hidden="false" customHeight="false" outlineLevel="0" collapsed="false">
      <c r="A180" s="2" t="str">
        <f aca="false">IFERROR(INDEX(Query_Source_View!$A:$A,MATCH(ROW()-14,Query_Source_View!$Z:$Z,0)),"")</f>
        <v>PNT000129</v>
      </c>
      <c r="B180" s="2" t="str">
        <f aca="false">IFERROR(INDEX(Query_Source_View!$D:$D,MATCH(ROW()-14,Query_Source_View!$Z:$Z,0)),"")</f>
        <v>Winsor And Newton</v>
      </c>
      <c r="C180" s="2" t="str">
        <f aca="false">IFERROR(INDEX(Query_Source_View!$F:$F,MATCH(ROW()-14,Query_Source_View!$Z:$Z,0)),"")</f>
        <v>Acrylic</v>
      </c>
      <c r="D180" s="2" t="str">
        <f aca="false">IFERROR(INDEX(Query_Source_View!$H:$H,MATCH(ROW()-14,Query_Source_View!$Z:$Z,0)),"")</f>
        <v>Galeria Acrylic</v>
      </c>
      <c r="E180" s="2" t="str">
        <f aca="false">IFERROR(INDEX(Query_Source_View!$J:$J,MATCH(ROW()-14,Query_Source_View!$Z:$Z,0)),"")</f>
        <v>Prussian Blue Hue</v>
      </c>
      <c r="F180" s="2" t="str">
        <f aca="false">IFERROR(INDEX(Query_Source_View!$L:$L,MATCH(ROW()-14,Query_Source_View!$Z:$Z,0)),"")</f>
        <v>Blue</v>
      </c>
      <c r="G180" s="2" t="str">
        <f aca="false">IFERROR(INDEX(Query_Source_View!$N:$N,MATCH(ROW()-14,Query_Source_View!$Z:$Z,0)),"")</f>
        <v>PB15:3</v>
      </c>
      <c r="H180" s="2" t="n">
        <f aca="false">IFERROR(INDEX(Query_Source_View!$P:$P,MATCH(ROW()-14,Query_Source_View!$Z:$Z,0)),"")</f>
        <v>3</v>
      </c>
      <c r="I180" s="2" t="str">
        <f aca="false">IFERROR(INDEX(Query_Source_View!$Q:$Q,MATCH(ROW()-14,Query_Source_View!$Z:$Z,0)),"")</f>
        <v>No</v>
      </c>
      <c r="J180" s="2" t="n">
        <f aca="false">IFERROR(INDEX(Query_Source_View!$R:$R,MATCH(ROW()-14,Query_Source_View!$Z:$Z,0)),"")</f>
        <v>0</v>
      </c>
      <c r="K180" s="2" t="str">
        <f aca="false">IFERROR(INDEX(Query_Source_View!$T:$T,MATCH(ROW()-14,Query_Source_View!$Z:$Z,0)),"")</f>
        <v>A</v>
      </c>
      <c r="L180" s="2" t="n">
        <f aca="false">IFERROR(INDEX(Query_Source_View!$U:$U,MATCH(ROW()-14,Query_Source_View!$Z:$Z,0)),"")</f>
        <v>0</v>
      </c>
      <c r="M180" s="2" t="n">
        <f aca="false">IFERROR(INDEX(Query_Source_View!$V:$V,MATCH(ROW()-14,Query_Source_View!$Z:$Z,0)),"")</f>
        <v>0</v>
      </c>
      <c r="N180" s="2" t="str">
        <f aca="false">IFERROR(INDEX(Query_Source_View!$W:$W,MATCH(ROW()-14,Query_Source_View!$Z:$Z,0)),"")</f>
        <v>Needs Review</v>
      </c>
      <c r="O180" s="2" t="str">
        <f aca="false">IFERROR(INDEX(Query_Source_View!$X:$X,MATCH(ROW()-14,Query_Source_View!$Z:$Z,0)),"")</f>
        <v>https://sensuallogic.com/artistcolordata</v>
      </c>
    </row>
    <row r="181" customFormat="false" ht="23.85" hidden="false" customHeight="false" outlineLevel="0" collapsed="false">
      <c r="A181" s="2" t="str">
        <f aca="false">IFERROR(INDEX(Query_Source_View!$A:$A,MATCH(ROW()-14,Query_Source_View!$Z:$Z,0)),"")</f>
        <v>PNT000129</v>
      </c>
      <c r="B181" s="2" t="str">
        <f aca="false">IFERROR(INDEX(Query_Source_View!$D:$D,MATCH(ROW()-14,Query_Source_View!$Z:$Z,0)),"")</f>
        <v>Winsor And Newton</v>
      </c>
      <c r="C181" s="2" t="str">
        <f aca="false">IFERROR(INDEX(Query_Source_View!$F:$F,MATCH(ROW()-14,Query_Source_View!$Z:$Z,0)),"")</f>
        <v>Acrylic</v>
      </c>
      <c r="D181" s="2" t="str">
        <f aca="false">IFERROR(INDEX(Query_Source_View!$H:$H,MATCH(ROW()-14,Query_Source_View!$Z:$Z,0)),"")</f>
        <v>Galeria Acrylic</v>
      </c>
      <c r="E181" s="2" t="str">
        <f aca="false">IFERROR(INDEX(Query_Source_View!$J:$J,MATCH(ROW()-14,Query_Source_View!$Z:$Z,0)),"")</f>
        <v>Prussian Blue Hue</v>
      </c>
      <c r="F181" s="2" t="str">
        <f aca="false">IFERROR(INDEX(Query_Source_View!$L:$L,MATCH(ROW()-14,Query_Source_View!$Z:$Z,0)),"")</f>
        <v>Blue</v>
      </c>
      <c r="G181" s="2" t="str">
        <f aca="false">IFERROR(INDEX(Query_Source_View!$N:$N,MATCH(ROW()-14,Query_Source_View!$Z:$Z,0)),"")</f>
        <v>PBk11</v>
      </c>
      <c r="H181" s="2" t="n">
        <f aca="false">IFERROR(INDEX(Query_Source_View!$P:$P,MATCH(ROW()-14,Query_Source_View!$Z:$Z,0)),"")</f>
        <v>3</v>
      </c>
      <c r="I181" s="2" t="str">
        <f aca="false">IFERROR(INDEX(Query_Source_View!$Q:$Q,MATCH(ROW()-14,Query_Source_View!$Z:$Z,0)),"")</f>
        <v>No</v>
      </c>
      <c r="J181" s="2" t="n">
        <f aca="false">IFERROR(INDEX(Query_Source_View!$R:$R,MATCH(ROW()-14,Query_Source_View!$Z:$Z,0)),"")</f>
        <v>0</v>
      </c>
      <c r="K181" s="2" t="str">
        <f aca="false">IFERROR(INDEX(Query_Source_View!$T:$T,MATCH(ROW()-14,Query_Source_View!$Z:$Z,0)),"")</f>
        <v>A</v>
      </c>
      <c r="L181" s="2" t="n">
        <f aca="false">IFERROR(INDEX(Query_Source_View!$U:$U,MATCH(ROW()-14,Query_Source_View!$Z:$Z,0)),"")</f>
        <v>0</v>
      </c>
      <c r="M181" s="2" t="n">
        <f aca="false">IFERROR(INDEX(Query_Source_View!$V:$V,MATCH(ROW()-14,Query_Source_View!$Z:$Z,0)),"")</f>
        <v>0</v>
      </c>
      <c r="N181" s="2" t="str">
        <f aca="false">IFERROR(INDEX(Query_Source_View!$W:$W,MATCH(ROW()-14,Query_Source_View!$Z:$Z,0)),"")</f>
        <v>Needs Review</v>
      </c>
      <c r="O181" s="2" t="str">
        <f aca="false">IFERROR(INDEX(Query_Source_View!$X:$X,MATCH(ROW()-14,Query_Source_View!$Z:$Z,0)),"")</f>
        <v>https://sensuallogic.com/artistcolordata</v>
      </c>
    </row>
    <row r="182" customFormat="false" ht="23.85" hidden="false" customHeight="false" outlineLevel="0" collapsed="false">
      <c r="A182" s="2" t="str">
        <f aca="false">IFERROR(INDEX(Query_Source_View!$A:$A,MATCH(ROW()-14,Query_Source_View!$Z:$Z,0)),"")</f>
        <v>PNT000130</v>
      </c>
      <c r="B182" s="2" t="str">
        <f aca="false">IFERROR(INDEX(Query_Source_View!$D:$D,MATCH(ROW()-14,Query_Source_View!$Z:$Z,0)),"")</f>
        <v>Winsor And Newton</v>
      </c>
      <c r="C182" s="2" t="str">
        <f aca="false">IFERROR(INDEX(Query_Source_View!$F:$F,MATCH(ROW()-14,Query_Source_View!$Z:$Z,0)),"")</f>
        <v>Acrylic</v>
      </c>
      <c r="D182" s="2" t="str">
        <f aca="false">IFERROR(INDEX(Query_Source_View!$H:$H,MATCH(ROW()-14,Query_Source_View!$Z:$Z,0)),"")</f>
        <v>Galeria Acrylic</v>
      </c>
      <c r="E182" s="2" t="str">
        <f aca="false">IFERROR(INDEX(Query_Source_View!$J:$J,MATCH(ROW()-14,Query_Source_View!$Z:$Z,0)),"")</f>
        <v>Raw Sienna</v>
      </c>
      <c r="F182" s="2" t="str">
        <f aca="false">IFERROR(INDEX(Query_Source_View!$L:$L,MATCH(ROW()-14,Query_Source_View!$Z:$Z,0)),"")</f>
        <v>Orange</v>
      </c>
      <c r="G182" s="2" t="str">
        <f aca="false">IFERROR(INDEX(Query_Source_View!$N:$N,MATCH(ROW()-14,Query_Source_View!$Z:$Z,0)),"")</f>
        <v>PY42</v>
      </c>
      <c r="H182" s="2" t="n">
        <f aca="false">IFERROR(INDEX(Query_Source_View!$P:$P,MATCH(ROW()-14,Query_Source_View!$Z:$Z,0)),"")</f>
        <v>3</v>
      </c>
      <c r="I182" s="2" t="str">
        <f aca="false">IFERROR(INDEX(Query_Source_View!$Q:$Q,MATCH(ROW()-14,Query_Source_View!$Z:$Z,0)),"")</f>
        <v>No</v>
      </c>
      <c r="J182" s="2" t="n">
        <f aca="false">IFERROR(INDEX(Query_Source_View!$R:$R,MATCH(ROW()-14,Query_Source_View!$Z:$Z,0)),"")</f>
        <v>0</v>
      </c>
      <c r="K182" s="2" t="str">
        <f aca="false">IFERROR(INDEX(Query_Source_View!$T:$T,MATCH(ROW()-14,Query_Source_View!$Z:$Z,0)),"")</f>
        <v>AA</v>
      </c>
      <c r="L182" s="2" t="n">
        <f aca="false">IFERROR(INDEX(Query_Source_View!$U:$U,MATCH(ROW()-14,Query_Source_View!$Z:$Z,0)),"")</f>
        <v>0</v>
      </c>
      <c r="M182" s="2" t="n">
        <f aca="false">IFERROR(INDEX(Query_Source_View!$V:$V,MATCH(ROW()-14,Query_Source_View!$Z:$Z,0)),"")</f>
        <v>0</v>
      </c>
      <c r="N182" s="2" t="str">
        <f aca="false">IFERROR(INDEX(Query_Source_View!$W:$W,MATCH(ROW()-14,Query_Source_View!$Z:$Z,0)),"")</f>
        <v>Needs Review</v>
      </c>
      <c r="O182" s="2" t="str">
        <f aca="false">IFERROR(INDEX(Query_Source_View!$X:$X,MATCH(ROW()-14,Query_Source_View!$Z:$Z,0)),"")</f>
        <v>https://sensuallogic.com/artistcolordata</v>
      </c>
    </row>
    <row r="183" customFormat="false" ht="23.85" hidden="false" customHeight="false" outlineLevel="0" collapsed="false">
      <c r="A183" s="2" t="str">
        <f aca="false">IFERROR(INDEX(Query_Source_View!$A:$A,MATCH(ROW()-14,Query_Source_View!$Z:$Z,0)),"")</f>
        <v>PNT000130</v>
      </c>
      <c r="B183" s="2" t="str">
        <f aca="false">IFERROR(INDEX(Query_Source_View!$D:$D,MATCH(ROW()-14,Query_Source_View!$Z:$Z,0)),"")</f>
        <v>Winsor And Newton</v>
      </c>
      <c r="C183" s="2" t="str">
        <f aca="false">IFERROR(INDEX(Query_Source_View!$F:$F,MATCH(ROW()-14,Query_Source_View!$Z:$Z,0)),"")</f>
        <v>Acrylic</v>
      </c>
      <c r="D183" s="2" t="str">
        <f aca="false">IFERROR(INDEX(Query_Source_View!$H:$H,MATCH(ROW()-14,Query_Source_View!$Z:$Z,0)),"")</f>
        <v>Galeria Acrylic</v>
      </c>
      <c r="E183" s="2" t="str">
        <f aca="false">IFERROR(INDEX(Query_Source_View!$J:$J,MATCH(ROW()-14,Query_Source_View!$Z:$Z,0)),"")</f>
        <v>Raw Sienna</v>
      </c>
      <c r="F183" s="2" t="str">
        <f aca="false">IFERROR(INDEX(Query_Source_View!$L:$L,MATCH(ROW()-14,Query_Source_View!$Z:$Z,0)),"")</f>
        <v>Orange</v>
      </c>
      <c r="G183" s="2" t="str">
        <f aca="false">IFERROR(INDEX(Query_Source_View!$N:$N,MATCH(ROW()-14,Query_Source_View!$Z:$Z,0)),"")</f>
        <v>PR101</v>
      </c>
      <c r="H183" s="2" t="n">
        <f aca="false">IFERROR(INDEX(Query_Source_View!$P:$P,MATCH(ROW()-14,Query_Source_View!$Z:$Z,0)),"")</f>
        <v>3</v>
      </c>
      <c r="I183" s="2" t="str">
        <f aca="false">IFERROR(INDEX(Query_Source_View!$Q:$Q,MATCH(ROW()-14,Query_Source_View!$Z:$Z,0)),"")</f>
        <v>No</v>
      </c>
      <c r="J183" s="2" t="n">
        <f aca="false">IFERROR(INDEX(Query_Source_View!$R:$R,MATCH(ROW()-14,Query_Source_View!$Z:$Z,0)),"")</f>
        <v>0</v>
      </c>
      <c r="K183" s="2" t="str">
        <f aca="false">IFERROR(INDEX(Query_Source_View!$T:$T,MATCH(ROW()-14,Query_Source_View!$Z:$Z,0)),"")</f>
        <v>AA</v>
      </c>
      <c r="L183" s="2" t="n">
        <f aca="false">IFERROR(INDEX(Query_Source_View!$U:$U,MATCH(ROW()-14,Query_Source_View!$Z:$Z,0)),"")</f>
        <v>0</v>
      </c>
      <c r="M183" s="2" t="n">
        <f aca="false">IFERROR(INDEX(Query_Source_View!$V:$V,MATCH(ROW()-14,Query_Source_View!$Z:$Z,0)),"")</f>
        <v>0</v>
      </c>
      <c r="N183" s="2" t="str">
        <f aca="false">IFERROR(INDEX(Query_Source_View!$W:$W,MATCH(ROW()-14,Query_Source_View!$Z:$Z,0)),"")</f>
        <v>Needs Review</v>
      </c>
      <c r="O183" s="2" t="str">
        <f aca="false">IFERROR(INDEX(Query_Source_View!$X:$X,MATCH(ROW()-14,Query_Source_View!$Z:$Z,0)),"")</f>
        <v>https://sensuallogic.com/artistcolordata</v>
      </c>
    </row>
    <row r="184" customFormat="false" ht="23.85" hidden="false" customHeight="false" outlineLevel="0" collapsed="false">
      <c r="A184" s="2" t="str">
        <f aca="false">IFERROR(INDEX(Query_Source_View!$A:$A,MATCH(ROW()-14,Query_Source_View!$Z:$Z,0)),"")</f>
        <v>PNT000130</v>
      </c>
      <c r="B184" s="2" t="str">
        <f aca="false">IFERROR(INDEX(Query_Source_View!$D:$D,MATCH(ROW()-14,Query_Source_View!$Z:$Z,0)),"")</f>
        <v>Winsor And Newton</v>
      </c>
      <c r="C184" s="2" t="str">
        <f aca="false">IFERROR(INDEX(Query_Source_View!$F:$F,MATCH(ROW()-14,Query_Source_View!$Z:$Z,0)),"")</f>
        <v>Acrylic</v>
      </c>
      <c r="D184" s="2" t="str">
        <f aca="false">IFERROR(INDEX(Query_Source_View!$H:$H,MATCH(ROW()-14,Query_Source_View!$Z:$Z,0)),"")</f>
        <v>Galeria Acrylic</v>
      </c>
      <c r="E184" s="2" t="str">
        <f aca="false">IFERROR(INDEX(Query_Source_View!$J:$J,MATCH(ROW()-14,Query_Source_View!$Z:$Z,0)),"")</f>
        <v>Raw Sienna</v>
      </c>
      <c r="F184" s="2" t="str">
        <f aca="false">IFERROR(INDEX(Query_Source_View!$L:$L,MATCH(ROW()-14,Query_Source_View!$Z:$Z,0)),"")</f>
        <v>Orange</v>
      </c>
      <c r="G184" s="2" t="str">
        <f aca="false">IFERROR(INDEX(Query_Source_View!$N:$N,MATCH(ROW()-14,Query_Source_View!$Z:$Z,0)),"")</f>
        <v>PBk9</v>
      </c>
      <c r="H184" s="2" t="n">
        <f aca="false">IFERROR(INDEX(Query_Source_View!$P:$P,MATCH(ROW()-14,Query_Source_View!$Z:$Z,0)),"")</f>
        <v>3</v>
      </c>
      <c r="I184" s="2" t="str">
        <f aca="false">IFERROR(INDEX(Query_Source_View!$Q:$Q,MATCH(ROW()-14,Query_Source_View!$Z:$Z,0)),"")</f>
        <v>No</v>
      </c>
      <c r="J184" s="2" t="n">
        <f aca="false">IFERROR(INDEX(Query_Source_View!$R:$R,MATCH(ROW()-14,Query_Source_View!$Z:$Z,0)),"")</f>
        <v>0</v>
      </c>
      <c r="K184" s="2" t="str">
        <f aca="false">IFERROR(INDEX(Query_Source_View!$T:$T,MATCH(ROW()-14,Query_Source_View!$Z:$Z,0)),"")</f>
        <v>AA</v>
      </c>
      <c r="L184" s="2" t="n">
        <f aca="false">IFERROR(INDEX(Query_Source_View!$U:$U,MATCH(ROW()-14,Query_Source_View!$Z:$Z,0)),"")</f>
        <v>0</v>
      </c>
      <c r="M184" s="2" t="n">
        <f aca="false">IFERROR(INDEX(Query_Source_View!$V:$V,MATCH(ROW()-14,Query_Source_View!$Z:$Z,0)),"")</f>
        <v>0</v>
      </c>
      <c r="N184" s="2" t="str">
        <f aca="false">IFERROR(INDEX(Query_Source_View!$W:$W,MATCH(ROW()-14,Query_Source_View!$Z:$Z,0)),"")</f>
        <v>Needs Review</v>
      </c>
      <c r="O184" s="2" t="str">
        <f aca="false">IFERROR(INDEX(Query_Source_View!$X:$X,MATCH(ROW()-14,Query_Source_View!$Z:$Z,0)),"")</f>
        <v>https://sensuallogic.com/artistcolordata</v>
      </c>
    </row>
    <row r="185" customFormat="false" ht="23.85" hidden="false" customHeight="false" outlineLevel="0" collapsed="false">
      <c r="A185" s="2" t="str">
        <f aca="false">IFERROR(INDEX(Query_Source_View!$A:$A,MATCH(ROW()-14,Query_Source_View!$Z:$Z,0)),"")</f>
        <v>PNT000131</v>
      </c>
      <c r="B185" s="2" t="str">
        <f aca="false">IFERROR(INDEX(Query_Source_View!$D:$D,MATCH(ROW()-14,Query_Source_View!$Z:$Z,0)),"")</f>
        <v>Winsor And Newton</v>
      </c>
      <c r="C185" s="2" t="str">
        <f aca="false">IFERROR(INDEX(Query_Source_View!$F:$F,MATCH(ROW()-14,Query_Source_View!$Z:$Z,0)),"")</f>
        <v>Acrylic</v>
      </c>
      <c r="D185" s="2" t="str">
        <f aca="false">IFERROR(INDEX(Query_Source_View!$H:$H,MATCH(ROW()-14,Query_Source_View!$Z:$Z,0)),"")</f>
        <v>Galeria Acrylic</v>
      </c>
      <c r="E185" s="2" t="str">
        <f aca="false">IFERROR(INDEX(Query_Source_View!$J:$J,MATCH(ROW()-14,Query_Source_View!$Z:$Z,0)),"")</f>
        <v>Raw Umber</v>
      </c>
      <c r="F185" s="2" t="str">
        <f aca="false">IFERROR(INDEX(Query_Source_View!$L:$L,MATCH(ROW()-14,Query_Source_View!$Z:$Z,0)),"")</f>
        <v>Earth</v>
      </c>
      <c r="G185" s="2" t="str">
        <f aca="false">IFERROR(INDEX(Query_Source_View!$N:$N,MATCH(ROW()-14,Query_Source_View!$Z:$Z,0)),"")</f>
        <v>PBr7</v>
      </c>
      <c r="H185" s="2" t="n">
        <f aca="false">IFERROR(INDEX(Query_Source_View!$P:$P,MATCH(ROW()-14,Query_Source_View!$Z:$Z,0)),"")</f>
        <v>1</v>
      </c>
      <c r="I185" s="2" t="str">
        <f aca="false">IFERROR(INDEX(Query_Source_View!$Q:$Q,MATCH(ROW()-14,Query_Source_View!$Z:$Z,0)),"")</f>
        <v>Yes</v>
      </c>
      <c r="J185" s="2" t="n">
        <f aca="false">IFERROR(INDEX(Query_Source_View!$R:$R,MATCH(ROW()-14,Query_Source_View!$Z:$Z,0)),"")</f>
        <v>0</v>
      </c>
      <c r="K185" s="2" t="str">
        <f aca="false">IFERROR(INDEX(Query_Source_View!$T:$T,MATCH(ROW()-14,Query_Source_View!$Z:$Z,0)),"")</f>
        <v>AA</v>
      </c>
      <c r="L185" s="2" t="n">
        <f aca="false">IFERROR(INDEX(Query_Source_View!$U:$U,MATCH(ROW()-14,Query_Source_View!$Z:$Z,0)),"")</f>
        <v>0</v>
      </c>
      <c r="M185" s="2" t="n">
        <f aca="false">IFERROR(INDEX(Query_Source_View!$V:$V,MATCH(ROW()-14,Query_Source_View!$Z:$Z,0)),"")</f>
        <v>0</v>
      </c>
      <c r="N185" s="2" t="str">
        <f aca="false">IFERROR(INDEX(Query_Source_View!$W:$W,MATCH(ROW()-14,Query_Source_View!$Z:$Z,0)),"")</f>
        <v>Needs Review</v>
      </c>
      <c r="O185" s="2" t="str">
        <f aca="false">IFERROR(INDEX(Query_Source_View!$X:$X,MATCH(ROW()-14,Query_Source_View!$Z:$Z,0)),"")</f>
        <v>https://sensuallogic.com/artistcolordata</v>
      </c>
    </row>
    <row r="186" customFormat="false" ht="23.85" hidden="false" customHeight="false" outlineLevel="0" collapsed="false">
      <c r="A186" s="2" t="str">
        <f aca="false">IFERROR(INDEX(Query_Source_View!$A:$A,MATCH(ROW()-14,Query_Source_View!$Z:$Z,0)),"")</f>
        <v>PNT000132</v>
      </c>
      <c r="B186" s="2" t="str">
        <f aca="false">IFERROR(INDEX(Query_Source_View!$D:$D,MATCH(ROW()-14,Query_Source_View!$Z:$Z,0)),"")</f>
        <v>Winsor And Newton</v>
      </c>
      <c r="C186" s="2" t="str">
        <f aca="false">IFERROR(INDEX(Query_Source_View!$F:$F,MATCH(ROW()-14,Query_Source_View!$Z:$Z,0)),"")</f>
        <v>Acrylic</v>
      </c>
      <c r="D186" s="2" t="str">
        <f aca="false">IFERROR(INDEX(Query_Source_View!$H:$H,MATCH(ROW()-14,Query_Source_View!$Z:$Z,0)),"")</f>
        <v>Galeria Acrylic</v>
      </c>
      <c r="E186" s="2" t="str">
        <f aca="false">IFERROR(INDEX(Query_Source_View!$J:$J,MATCH(ROW()-14,Query_Source_View!$Z:$Z,0)),"")</f>
        <v>Red Ochre</v>
      </c>
      <c r="F186" s="2" t="str">
        <f aca="false">IFERROR(INDEX(Query_Source_View!$L:$L,MATCH(ROW()-14,Query_Source_View!$Z:$Z,0)),"")</f>
        <v>Yellow</v>
      </c>
      <c r="G186" s="2" t="str">
        <f aca="false">IFERROR(INDEX(Query_Source_View!$N:$N,MATCH(ROW()-14,Query_Source_View!$Z:$Z,0)),"")</f>
        <v>PR101</v>
      </c>
      <c r="H186" s="2" t="n">
        <f aca="false">IFERROR(INDEX(Query_Source_View!$P:$P,MATCH(ROW()-14,Query_Source_View!$Z:$Z,0)),"")</f>
        <v>1</v>
      </c>
      <c r="I186" s="2" t="str">
        <f aca="false">IFERROR(INDEX(Query_Source_View!$Q:$Q,MATCH(ROW()-14,Query_Source_View!$Z:$Z,0)),"")</f>
        <v>Yes</v>
      </c>
      <c r="J186" s="2" t="n">
        <f aca="false">IFERROR(INDEX(Query_Source_View!$R:$R,MATCH(ROW()-14,Query_Source_View!$Z:$Z,0)),"")</f>
        <v>0</v>
      </c>
      <c r="K186" s="2" t="str">
        <f aca="false">IFERROR(INDEX(Query_Source_View!$T:$T,MATCH(ROW()-14,Query_Source_View!$Z:$Z,0)),"")</f>
        <v>AA</v>
      </c>
      <c r="L186" s="2" t="n">
        <f aca="false">IFERROR(INDEX(Query_Source_View!$U:$U,MATCH(ROW()-14,Query_Source_View!$Z:$Z,0)),"")</f>
        <v>0</v>
      </c>
      <c r="M186" s="2" t="n">
        <f aca="false">IFERROR(INDEX(Query_Source_View!$V:$V,MATCH(ROW()-14,Query_Source_View!$Z:$Z,0)),"")</f>
        <v>0</v>
      </c>
      <c r="N186" s="2" t="str">
        <f aca="false">IFERROR(INDEX(Query_Source_View!$W:$W,MATCH(ROW()-14,Query_Source_View!$Z:$Z,0)),"")</f>
        <v>Needs Review</v>
      </c>
      <c r="O186" s="2" t="str">
        <f aca="false">IFERROR(INDEX(Query_Source_View!$X:$X,MATCH(ROW()-14,Query_Source_View!$Z:$Z,0)),"")</f>
        <v>https://sensuallogic.com/artistcolordata</v>
      </c>
    </row>
    <row r="187" customFormat="false" ht="23.85" hidden="false" customHeight="false" outlineLevel="0" collapsed="false">
      <c r="A187" s="2" t="str">
        <f aca="false">IFERROR(INDEX(Query_Source_View!$A:$A,MATCH(ROW()-14,Query_Source_View!$Z:$Z,0)),"")</f>
        <v>PNT000133</v>
      </c>
      <c r="B187" s="2" t="str">
        <f aca="false">IFERROR(INDEX(Query_Source_View!$D:$D,MATCH(ROW()-14,Query_Source_View!$Z:$Z,0)),"")</f>
        <v>Winsor And Newton</v>
      </c>
      <c r="C187" s="2" t="str">
        <f aca="false">IFERROR(INDEX(Query_Source_View!$F:$F,MATCH(ROW()-14,Query_Source_View!$Z:$Z,0)),"")</f>
        <v>Acrylic</v>
      </c>
      <c r="D187" s="2" t="str">
        <f aca="false">IFERROR(INDEX(Query_Source_View!$H:$H,MATCH(ROW()-14,Query_Source_View!$Z:$Z,0)),"")</f>
        <v>Galeria Acrylic</v>
      </c>
      <c r="E187" s="2" t="str">
        <f aca="false">IFERROR(INDEX(Query_Source_View!$J:$J,MATCH(ROW()-14,Query_Source_View!$Z:$Z,0)),"")</f>
        <v>Sap Green</v>
      </c>
      <c r="F187" s="2" t="str">
        <f aca="false">IFERROR(INDEX(Query_Source_View!$L:$L,MATCH(ROW()-14,Query_Source_View!$Z:$Z,0)),"")</f>
        <v>Green</v>
      </c>
      <c r="G187" s="2" t="str">
        <f aca="false">IFERROR(INDEX(Query_Source_View!$N:$N,MATCH(ROW()-14,Query_Source_View!$Z:$Z,0)),"")</f>
        <v>PY14</v>
      </c>
      <c r="H187" s="2" t="n">
        <f aca="false">IFERROR(INDEX(Query_Source_View!$P:$P,MATCH(ROW()-14,Query_Source_View!$Z:$Z,0)),"")</f>
        <v>4</v>
      </c>
      <c r="I187" s="2" t="str">
        <f aca="false">IFERROR(INDEX(Query_Source_View!$Q:$Q,MATCH(ROW()-14,Query_Source_View!$Z:$Z,0)),"")</f>
        <v>No</v>
      </c>
      <c r="J187" s="2" t="n">
        <f aca="false">IFERROR(INDEX(Query_Source_View!$R:$R,MATCH(ROW()-14,Query_Source_View!$Z:$Z,0)),"")</f>
        <v>0</v>
      </c>
      <c r="K187" s="2" t="str">
        <f aca="false">IFERROR(INDEX(Query_Source_View!$T:$T,MATCH(ROW()-14,Query_Source_View!$Z:$Z,0)),"")</f>
        <v>A</v>
      </c>
      <c r="L187" s="2" t="n">
        <f aca="false">IFERROR(INDEX(Query_Source_View!$U:$U,MATCH(ROW()-14,Query_Source_View!$Z:$Z,0)),"")</f>
        <v>0</v>
      </c>
      <c r="M187" s="2" t="n">
        <f aca="false">IFERROR(INDEX(Query_Source_View!$V:$V,MATCH(ROW()-14,Query_Source_View!$Z:$Z,0)),"")</f>
        <v>0</v>
      </c>
      <c r="N187" s="2" t="str">
        <f aca="false">IFERROR(INDEX(Query_Source_View!$W:$W,MATCH(ROW()-14,Query_Source_View!$Z:$Z,0)),"")</f>
        <v>Needs Review</v>
      </c>
      <c r="O187" s="2" t="str">
        <f aca="false">IFERROR(INDEX(Query_Source_View!$X:$X,MATCH(ROW()-14,Query_Source_View!$Z:$Z,0)),"")</f>
        <v>https://sensuallogic.com/artistcolordata</v>
      </c>
    </row>
    <row r="188" customFormat="false" ht="23.85" hidden="false" customHeight="false" outlineLevel="0" collapsed="false">
      <c r="A188" s="2" t="str">
        <f aca="false">IFERROR(INDEX(Query_Source_View!$A:$A,MATCH(ROW()-14,Query_Source_View!$Z:$Z,0)),"")</f>
        <v>PNT000133</v>
      </c>
      <c r="B188" s="2" t="str">
        <f aca="false">IFERROR(INDEX(Query_Source_View!$D:$D,MATCH(ROW()-14,Query_Source_View!$Z:$Z,0)),"")</f>
        <v>Winsor And Newton</v>
      </c>
      <c r="C188" s="2" t="str">
        <f aca="false">IFERROR(INDEX(Query_Source_View!$F:$F,MATCH(ROW()-14,Query_Source_View!$Z:$Z,0)),"")</f>
        <v>Acrylic</v>
      </c>
      <c r="D188" s="2" t="str">
        <f aca="false">IFERROR(INDEX(Query_Source_View!$H:$H,MATCH(ROW()-14,Query_Source_View!$Z:$Z,0)),"")</f>
        <v>Galeria Acrylic</v>
      </c>
      <c r="E188" s="2" t="str">
        <f aca="false">IFERROR(INDEX(Query_Source_View!$J:$J,MATCH(ROW()-14,Query_Source_View!$Z:$Z,0)),"")</f>
        <v>Sap Green</v>
      </c>
      <c r="F188" s="2" t="str">
        <f aca="false">IFERROR(INDEX(Query_Source_View!$L:$L,MATCH(ROW()-14,Query_Source_View!$Z:$Z,0)),"")</f>
        <v>Green</v>
      </c>
      <c r="G188" s="2" t="str">
        <f aca="false">IFERROR(INDEX(Query_Source_View!$N:$N,MATCH(ROW()-14,Query_Source_View!$Z:$Z,0)),"")</f>
        <v>PG7</v>
      </c>
      <c r="H188" s="2" t="n">
        <f aca="false">IFERROR(INDEX(Query_Source_View!$P:$P,MATCH(ROW()-14,Query_Source_View!$Z:$Z,0)),"")</f>
        <v>4</v>
      </c>
      <c r="I188" s="2" t="str">
        <f aca="false">IFERROR(INDEX(Query_Source_View!$Q:$Q,MATCH(ROW()-14,Query_Source_View!$Z:$Z,0)),"")</f>
        <v>No</v>
      </c>
      <c r="J188" s="2" t="n">
        <f aca="false">IFERROR(INDEX(Query_Source_View!$R:$R,MATCH(ROW()-14,Query_Source_View!$Z:$Z,0)),"")</f>
        <v>0</v>
      </c>
      <c r="K188" s="2" t="str">
        <f aca="false">IFERROR(INDEX(Query_Source_View!$T:$T,MATCH(ROW()-14,Query_Source_View!$Z:$Z,0)),"")</f>
        <v>A</v>
      </c>
      <c r="L188" s="2" t="n">
        <f aca="false">IFERROR(INDEX(Query_Source_View!$U:$U,MATCH(ROW()-14,Query_Source_View!$Z:$Z,0)),"")</f>
        <v>0</v>
      </c>
      <c r="M188" s="2" t="n">
        <f aca="false">IFERROR(INDEX(Query_Source_View!$V:$V,MATCH(ROW()-14,Query_Source_View!$Z:$Z,0)),"")</f>
        <v>0</v>
      </c>
      <c r="N188" s="2" t="str">
        <f aca="false">IFERROR(INDEX(Query_Source_View!$W:$W,MATCH(ROW()-14,Query_Source_View!$Z:$Z,0)),"")</f>
        <v>Needs Review</v>
      </c>
      <c r="O188" s="2" t="str">
        <f aca="false">IFERROR(INDEX(Query_Source_View!$X:$X,MATCH(ROW()-14,Query_Source_View!$Z:$Z,0)),"")</f>
        <v>https://sensuallogic.com/artistcolordata</v>
      </c>
    </row>
    <row r="189" customFormat="false" ht="23.85" hidden="false" customHeight="false" outlineLevel="0" collapsed="false">
      <c r="A189" s="2" t="str">
        <f aca="false">IFERROR(INDEX(Query_Source_View!$A:$A,MATCH(ROW()-14,Query_Source_View!$Z:$Z,0)),"")</f>
        <v>PNT000133</v>
      </c>
      <c r="B189" s="2" t="str">
        <f aca="false">IFERROR(INDEX(Query_Source_View!$D:$D,MATCH(ROW()-14,Query_Source_View!$Z:$Z,0)),"")</f>
        <v>Winsor And Newton</v>
      </c>
      <c r="C189" s="2" t="str">
        <f aca="false">IFERROR(INDEX(Query_Source_View!$F:$F,MATCH(ROW()-14,Query_Source_View!$Z:$Z,0)),"")</f>
        <v>Acrylic</v>
      </c>
      <c r="D189" s="2" t="str">
        <f aca="false">IFERROR(INDEX(Query_Source_View!$H:$H,MATCH(ROW()-14,Query_Source_View!$Z:$Z,0)),"")</f>
        <v>Galeria Acrylic</v>
      </c>
      <c r="E189" s="2" t="str">
        <f aca="false">IFERROR(INDEX(Query_Source_View!$J:$J,MATCH(ROW()-14,Query_Source_View!$Z:$Z,0)),"")</f>
        <v>Sap Green</v>
      </c>
      <c r="F189" s="2" t="str">
        <f aca="false">IFERROR(INDEX(Query_Source_View!$L:$L,MATCH(ROW()-14,Query_Source_View!$Z:$Z,0)),"")</f>
        <v>Green</v>
      </c>
      <c r="G189" s="2" t="str">
        <f aca="false">IFERROR(INDEX(Query_Source_View!$N:$N,MATCH(ROW()-14,Query_Source_View!$Z:$Z,0)),"")</f>
        <v>PBk7</v>
      </c>
      <c r="H189" s="2" t="n">
        <f aca="false">IFERROR(INDEX(Query_Source_View!$P:$P,MATCH(ROW()-14,Query_Source_View!$Z:$Z,0)),"")</f>
        <v>4</v>
      </c>
      <c r="I189" s="2" t="str">
        <f aca="false">IFERROR(INDEX(Query_Source_View!$Q:$Q,MATCH(ROW()-14,Query_Source_View!$Z:$Z,0)),"")</f>
        <v>No</v>
      </c>
      <c r="J189" s="2" t="n">
        <f aca="false">IFERROR(INDEX(Query_Source_View!$R:$R,MATCH(ROW()-14,Query_Source_View!$Z:$Z,0)),"")</f>
        <v>0</v>
      </c>
      <c r="K189" s="2" t="str">
        <f aca="false">IFERROR(INDEX(Query_Source_View!$T:$T,MATCH(ROW()-14,Query_Source_View!$Z:$Z,0)),"")</f>
        <v>A</v>
      </c>
      <c r="L189" s="2" t="n">
        <f aca="false">IFERROR(INDEX(Query_Source_View!$U:$U,MATCH(ROW()-14,Query_Source_View!$Z:$Z,0)),"")</f>
        <v>0</v>
      </c>
      <c r="M189" s="2" t="n">
        <f aca="false">IFERROR(INDEX(Query_Source_View!$V:$V,MATCH(ROW()-14,Query_Source_View!$Z:$Z,0)),"")</f>
        <v>0</v>
      </c>
      <c r="N189" s="2" t="str">
        <f aca="false">IFERROR(INDEX(Query_Source_View!$W:$W,MATCH(ROW()-14,Query_Source_View!$Z:$Z,0)),"")</f>
        <v>Needs Review</v>
      </c>
      <c r="O189" s="2" t="str">
        <f aca="false">IFERROR(INDEX(Query_Source_View!$X:$X,MATCH(ROW()-14,Query_Source_View!$Z:$Z,0)),"")</f>
        <v>https://sensuallogic.com/artistcolordata</v>
      </c>
    </row>
    <row r="190" customFormat="false" ht="23.85" hidden="false" customHeight="false" outlineLevel="0" collapsed="false">
      <c r="A190" s="2" t="str">
        <f aca="false">IFERROR(INDEX(Query_Source_View!$A:$A,MATCH(ROW()-14,Query_Source_View!$Z:$Z,0)),"")</f>
        <v>PNT000133</v>
      </c>
      <c r="B190" s="2" t="str">
        <f aca="false">IFERROR(INDEX(Query_Source_View!$D:$D,MATCH(ROW()-14,Query_Source_View!$Z:$Z,0)),"")</f>
        <v>Winsor And Newton</v>
      </c>
      <c r="C190" s="2" t="str">
        <f aca="false">IFERROR(INDEX(Query_Source_View!$F:$F,MATCH(ROW()-14,Query_Source_View!$Z:$Z,0)),"")</f>
        <v>Acrylic</v>
      </c>
      <c r="D190" s="2" t="str">
        <f aca="false">IFERROR(INDEX(Query_Source_View!$H:$H,MATCH(ROW()-14,Query_Source_View!$Z:$Z,0)),"")</f>
        <v>Galeria Acrylic</v>
      </c>
      <c r="E190" s="2" t="str">
        <f aca="false">IFERROR(INDEX(Query_Source_View!$J:$J,MATCH(ROW()-14,Query_Source_View!$Z:$Z,0)),"")</f>
        <v>Sap Green</v>
      </c>
      <c r="F190" s="2" t="str">
        <f aca="false">IFERROR(INDEX(Query_Source_View!$L:$L,MATCH(ROW()-14,Query_Source_View!$Z:$Z,0)),"")</f>
        <v>Green</v>
      </c>
      <c r="G190" s="2" t="str">
        <f aca="false">IFERROR(INDEX(Query_Source_View!$N:$N,MATCH(ROW()-14,Query_Source_View!$Z:$Z,0)),"")</f>
        <v>PW6</v>
      </c>
      <c r="H190" s="2" t="n">
        <f aca="false">IFERROR(INDEX(Query_Source_View!$P:$P,MATCH(ROW()-14,Query_Source_View!$Z:$Z,0)),"")</f>
        <v>4</v>
      </c>
      <c r="I190" s="2" t="str">
        <f aca="false">IFERROR(INDEX(Query_Source_View!$Q:$Q,MATCH(ROW()-14,Query_Source_View!$Z:$Z,0)),"")</f>
        <v>No</v>
      </c>
      <c r="J190" s="2" t="n">
        <f aca="false">IFERROR(INDEX(Query_Source_View!$R:$R,MATCH(ROW()-14,Query_Source_View!$Z:$Z,0)),"")</f>
        <v>0</v>
      </c>
      <c r="K190" s="2" t="str">
        <f aca="false">IFERROR(INDEX(Query_Source_View!$T:$T,MATCH(ROW()-14,Query_Source_View!$Z:$Z,0)),"")</f>
        <v>A</v>
      </c>
      <c r="L190" s="2" t="n">
        <f aca="false">IFERROR(INDEX(Query_Source_View!$U:$U,MATCH(ROW()-14,Query_Source_View!$Z:$Z,0)),"")</f>
        <v>0</v>
      </c>
      <c r="M190" s="2" t="n">
        <f aca="false">IFERROR(INDEX(Query_Source_View!$V:$V,MATCH(ROW()-14,Query_Source_View!$Z:$Z,0)),"")</f>
        <v>0</v>
      </c>
      <c r="N190" s="2" t="str">
        <f aca="false">IFERROR(INDEX(Query_Source_View!$W:$W,MATCH(ROW()-14,Query_Source_View!$Z:$Z,0)),"")</f>
        <v>Needs Review</v>
      </c>
      <c r="O190" s="2" t="str">
        <f aca="false">IFERROR(INDEX(Query_Source_View!$X:$X,MATCH(ROW()-14,Query_Source_View!$Z:$Z,0)),"")</f>
        <v>https://sensuallogic.com/artistcolordata</v>
      </c>
    </row>
    <row r="191" customFormat="false" ht="23.85" hidden="false" customHeight="false" outlineLevel="0" collapsed="false">
      <c r="A191" s="2" t="str">
        <f aca="false">IFERROR(INDEX(Query_Source_View!$A:$A,MATCH(ROW()-14,Query_Source_View!$Z:$Z,0)),"")</f>
        <v>PNT000134</v>
      </c>
      <c r="B191" s="2" t="str">
        <f aca="false">IFERROR(INDEX(Query_Source_View!$D:$D,MATCH(ROW()-14,Query_Source_View!$Z:$Z,0)),"")</f>
        <v>Winsor And Newton</v>
      </c>
      <c r="C191" s="2" t="str">
        <f aca="false">IFERROR(INDEX(Query_Source_View!$F:$F,MATCH(ROW()-14,Query_Source_View!$Z:$Z,0)),"")</f>
        <v>Acrylic</v>
      </c>
      <c r="D191" s="2" t="str">
        <f aca="false">IFERROR(INDEX(Query_Source_View!$H:$H,MATCH(ROW()-14,Query_Source_View!$Z:$Z,0)),"")</f>
        <v>Galeria Acrylic</v>
      </c>
      <c r="E191" s="2" t="str">
        <f aca="false">IFERROR(INDEX(Query_Source_View!$J:$J,MATCH(ROW()-14,Query_Source_View!$Z:$Z,0)),"")</f>
        <v>Titanium White</v>
      </c>
      <c r="F191" s="2" t="str">
        <f aca="false">IFERROR(INDEX(Query_Source_View!$L:$L,MATCH(ROW()-14,Query_Source_View!$Z:$Z,0)),"")</f>
        <v>White</v>
      </c>
      <c r="G191" s="2" t="str">
        <f aca="false">IFERROR(INDEX(Query_Source_View!$N:$N,MATCH(ROW()-14,Query_Source_View!$Z:$Z,0)),"")</f>
        <v>PW6</v>
      </c>
      <c r="H191" s="2" t="n">
        <f aca="false">IFERROR(INDEX(Query_Source_View!$P:$P,MATCH(ROW()-14,Query_Source_View!$Z:$Z,0)),"")</f>
        <v>1</v>
      </c>
      <c r="I191" s="2" t="str">
        <f aca="false">IFERROR(INDEX(Query_Source_View!$Q:$Q,MATCH(ROW()-14,Query_Source_View!$Z:$Z,0)),"")</f>
        <v>Yes</v>
      </c>
      <c r="J191" s="2" t="n">
        <f aca="false">IFERROR(INDEX(Query_Source_View!$R:$R,MATCH(ROW()-14,Query_Source_View!$Z:$Z,0)),"")</f>
        <v>0</v>
      </c>
      <c r="K191" s="2" t="str">
        <f aca="false">IFERROR(INDEX(Query_Source_View!$T:$T,MATCH(ROW()-14,Query_Source_View!$Z:$Z,0)),"")</f>
        <v>AA</v>
      </c>
      <c r="L191" s="2" t="n">
        <f aca="false">IFERROR(INDEX(Query_Source_View!$U:$U,MATCH(ROW()-14,Query_Source_View!$Z:$Z,0)),"")</f>
        <v>0</v>
      </c>
      <c r="M191" s="2" t="n">
        <f aca="false">IFERROR(INDEX(Query_Source_View!$V:$V,MATCH(ROW()-14,Query_Source_View!$Z:$Z,0)),"")</f>
        <v>0</v>
      </c>
      <c r="N191" s="2" t="str">
        <f aca="false">IFERROR(INDEX(Query_Source_View!$W:$W,MATCH(ROW()-14,Query_Source_View!$Z:$Z,0)),"")</f>
        <v>Needs Review</v>
      </c>
      <c r="O191" s="2" t="str">
        <f aca="false">IFERROR(INDEX(Query_Source_View!$X:$X,MATCH(ROW()-14,Query_Source_View!$Z:$Z,0)),"")</f>
        <v>https://sensuallogic.com/artistcolordata</v>
      </c>
    </row>
    <row r="192" customFormat="false" ht="23.85" hidden="false" customHeight="false" outlineLevel="0" collapsed="false">
      <c r="A192" s="2" t="str">
        <f aca="false">IFERROR(INDEX(Query_Source_View!$A:$A,MATCH(ROW()-14,Query_Source_View!$Z:$Z,0)),"")</f>
        <v>PNT000135</v>
      </c>
      <c r="B192" s="2" t="str">
        <f aca="false">IFERROR(INDEX(Query_Source_View!$D:$D,MATCH(ROW()-14,Query_Source_View!$Z:$Z,0)),"")</f>
        <v>Winsor And Newton</v>
      </c>
      <c r="C192" s="2" t="str">
        <f aca="false">IFERROR(INDEX(Query_Source_View!$F:$F,MATCH(ROW()-14,Query_Source_View!$Z:$Z,0)),"")</f>
        <v>Acrylic</v>
      </c>
      <c r="D192" s="2" t="str">
        <f aca="false">IFERROR(INDEX(Query_Source_View!$H:$H,MATCH(ROW()-14,Query_Source_View!$Z:$Z,0)),"")</f>
        <v>Galeria Acrylic</v>
      </c>
      <c r="E192" s="2" t="str">
        <f aca="false">IFERROR(INDEX(Query_Source_View!$J:$J,MATCH(ROW()-14,Query_Source_View!$Z:$Z,0)),"")</f>
        <v>Transparent Yellow</v>
      </c>
      <c r="F192" s="2" t="str">
        <f aca="false">IFERROR(INDEX(Query_Source_View!$L:$L,MATCH(ROW()-14,Query_Source_View!$Z:$Z,0)),"")</f>
        <v>Yellow</v>
      </c>
      <c r="G192" s="2" t="str">
        <f aca="false">IFERROR(INDEX(Query_Source_View!$N:$N,MATCH(ROW()-14,Query_Source_View!$Z:$Z,0)),"")</f>
        <v>PY150</v>
      </c>
      <c r="H192" s="2" t="n">
        <f aca="false">IFERROR(INDEX(Query_Source_View!$P:$P,MATCH(ROW()-14,Query_Source_View!$Z:$Z,0)),"")</f>
        <v>2</v>
      </c>
      <c r="I192" s="2" t="str">
        <f aca="false">IFERROR(INDEX(Query_Source_View!$Q:$Q,MATCH(ROW()-14,Query_Source_View!$Z:$Z,0)),"")</f>
        <v>No</v>
      </c>
      <c r="J192" s="2" t="n">
        <f aca="false">IFERROR(INDEX(Query_Source_View!$R:$R,MATCH(ROW()-14,Query_Source_View!$Z:$Z,0)),"")</f>
        <v>0</v>
      </c>
      <c r="K192" s="2" t="str">
        <f aca="false">IFERROR(INDEX(Query_Source_View!$T:$T,MATCH(ROW()-14,Query_Source_View!$Z:$Z,0)),"")</f>
        <v>A</v>
      </c>
      <c r="L192" s="2" t="n">
        <f aca="false">IFERROR(INDEX(Query_Source_View!$U:$U,MATCH(ROW()-14,Query_Source_View!$Z:$Z,0)),"")</f>
        <v>0</v>
      </c>
      <c r="M192" s="2" t="n">
        <f aca="false">IFERROR(INDEX(Query_Source_View!$V:$V,MATCH(ROW()-14,Query_Source_View!$Z:$Z,0)),"")</f>
        <v>0</v>
      </c>
      <c r="N192" s="2" t="str">
        <f aca="false">IFERROR(INDEX(Query_Source_View!$W:$W,MATCH(ROW()-14,Query_Source_View!$Z:$Z,0)),"")</f>
        <v>Needs Review</v>
      </c>
      <c r="O192" s="2" t="str">
        <f aca="false">IFERROR(INDEX(Query_Source_View!$X:$X,MATCH(ROW()-14,Query_Source_View!$Z:$Z,0)),"")</f>
        <v>https://sensuallogic.com/artistcolordata</v>
      </c>
    </row>
    <row r="193" customFormat="false" ht="23.85" hidden="false" customHeight="false" outlineLevel="0" collapsed="false">
      <c r="A193" s="2" t="str">
        <f aca="false">IFERROR(INDEX(Query_Source_View!$A:$A,MATCH(ROW()-14,Query_Source_View!$Z:$Z,0)),"")</f>
        <v>PNT000135</v>
      </c>
      <c r="B193" s="2" t="str">
        <f aca="false">IFERROR(INDEX(Query_Source_View!$D:$D,MATCH(ROW()-14,Query_Source_View!$Z:$Z,0)),"")</f>
        <v>Winsor And Newton</v>
      </c>
      <c r="C193" s="2" t="str">
        <f aca="false">IFERROR(INDEX(Query_Source_View!$F:$F,MATCH(ROW()-14,Query_Source_View!$Z:$Z,0)),"")</f>
        <v>Acrylic</v>
      </c>
      <c r="D193" s="2" t="str">
        <f aca="false">IFERROR(INDEX(Query_Source_View!$H:$H,MATCH(ROW()-14,Query_Source_View!$Z:$Z,0)),"")</f>
        <v>Galeria Acrylic</v>
      </c>
      <c r="E193" s="2" t="str">
        <f aca="false">IFERROR(INDEX(Query_Source_View!$J:$J,MATCH(ROW()-14,Query_Source_View!$Z:$Z,0)),"")</f>
        <v>Transparent Yellow</v>
      </c>
      <c r="F193" s="2" t="str">
        <f aca="false">IFERROR(INDEX(Query_Source_View!$L:$L,MATCH(ROW()-14,Query_Source_View!$Z:$Z,0)),"")</f>
        <v>Yellow</v>
      </c>
      <c r="G193" s="2" t="str">
        <f aca="false">IFERROR(INDEX(Query_Source_View!$N:$N,MATCH(ROW()-14,Query_Source_View!$Z:$Z,0)),"")</f>
        <v>PY3</v>
      </c>
      <c r="H193" s="2" t="n">
        <f aca="false">IFERROR(INDEX(Query_Source_View!$P:$P,MATCH(ROW()-14,Query_Source_View!$Z:$Z,0)),"")</f>
        <v>2</v>
      </c>
      <c r="I193" s="2" t="str">
        <f aca="false">IFERROR(INDEX(Query_Source_View!$Q:$Q,MATCH(ROW()-14,Query_Source_View!$Z:$Z,0)),"")</f>
        <v>No</v>
      </c>
      <c r="J193" s="2" t="n">
        <f aca="false">IFERROR(INDEX(Query_Source_View!$R:$R,MATCH(ROW()-14,Query_Source_View!$Z:$Z,0)),"")</f>
        <v>0</v>
      </c>
      <c r="K193" s="2" t="str">
        <f aca="false">IFERROR(INDEX(Query_Source_View!$T:$T,MATCH(ROW()-14,Query_Source_View!$Z:$Z,0)),"")</f>
        <v>A</v>
      </c>
      <c r="L193" s="2" t="n">
        <f aca="false">IFERROR(INDEX(Query_Source_View!$U:$U,MATCH(ROW()-14,Query_Source_View!$Z:$Z,0)),"")</f>
        <v>0</v>
      </c>
      <c r="M193" s="2" t="n">
        <f aca="false">IFERROR(INDEX(Query_Source_View!$V:$V,MATCH(ROW()-14,Query_Source_View!$Z:$Z,0)),"")</f>
        <v>0</v>
      </c>
      <c r="N193" s="2" t="str">
        <f aca="false">IFERROR(INDEX(Query_Source_View!$W:$W,MATCH(ROW()-14,Query_Source_View!$Z:$Z,0)),"")</f>
        <v>Needs Review</v>
      </c>
      <c r="O193" s="2" t="str">
        <f aca="false">IFERROR(INDEX(Query_Source_View!$X:$X,MATCH(ROW()-14,Query_Source_View!$Z:$Z,0)),"")</f>
        <v>https://sensuallogic.com/artistcolordata</v>
      </c>
    </row>
    <row r="194" customFormat="false" ht="23.85" hidden="false" customHeight="false" outlineLevel="0" collapsed="false">
      <c r="A194" s="2" t="str">
        <f aca="false">IFERROR(INDEX(Query_Source_View!$A:$A,MATCH(ROW()-14,Query_Source_View!$Z:$Z,0)),"")</f>
        <v>PNT000136</v>
      </c>
      <c r="B194" s="2" t="str">
        <f aca="false">IFERROR(INDEX(Query_Source_View!$D:$D,MATCH(ROW()-14,Query_Source_View!$Z:$Z,0)),"")</f>
        <v>Winsor And Newton</v>
      </c>
      <c r="C194" s="2" t="str">
        <f aca="false">IFERROR(INDEX(Query_Source_View!$F:$F,MATCH(ROW()-14,Query_Source_View!$Z:$Z,0)),"")</f>
        <v>Acrylic</v>
      </c>
      <c r="D194" s="2" t="str">
        <f aca="false">IFERROR(INDEX(Query_Source_View!$H:$H,MATCH(ROW()-14,Query_Source_View!$Z:$Z,0)),"")</f>
        <v>Galeria Acrylic</v>
      </c>
      <c r="E194" s="2" t="str">
        <f aca="false">IFERROR(INDEX(Query_Source_View!$J:$J,MATCH(ROW()-14,Query_Source_View!$Z:$Z,0)),"")</f>
        <v>Ultramarine</v>
      </c>
      <c r="F194" s="2" t="str">
        <f aca="false">IFERROR(INDEX(Query_Source_View!$L:$L,MATCH(ROW()-14,Query_Source_View!$Z:$Z,0)),"")</f>
        <v>Blue</v>
      </c>
      <c r="G194" s="2" t="str">
        <f aca="false">IFERROR(INDEX(Query_Source_View!$N:$N,MATCH(ROW()-14,Query_Source_View!$Z:$Z,0)),"")</f>
        <v>PB29</v>
      </c>
      <c r="H194" s="2" t="n">
        <f aca="false">IFERROR(INDEX(Query_Source_View!$P:$P,MATCH(ROW()-14,Query_Source_View!$Z:$Z,0)),"")</f>
        <v>1</v>
      </c>
      <c r="I194" s="2" t="str">
        <f aca="false">IFERROR(INDEX(Query_Source_View!$Q:$Q,MATCH(ROW()-14,Query_Source_View!$Z:$Z,0)),"")</f>
        <v>Yes</v>
      </c>
      <c r="J194" s="2" t="n">
        <f aca="false">IFERROR(INDEX(Query_Source_View!$R:$R,MATCH(ROW()-14,Query_Source_View!$Z:$Z,0)),"")</f>
        <v>0</v>
      </c>
      <c r="K194" s="2" t="str">
        <f aca="false">IFERROR(INDEX(Query_Source_View!$T:$T,MATCH(ROW()-14,Query_Source_View!$Z:$Z,0)),"")</f>
        <v>A</v>
      </c>
      <c r="L194" s="2" t="n">
        <f aca="false">IFERROR(INDEX(Query_Source_View!$U:$U,MATCH(ROW()-14,Query_Source_View!$Z:$Z,0)),"")</f>
        <v>0</v>
      </c>
      <c r="M194" s="2" t="n">
        <f aca="false">IFERROR(INDEX(Query_Source_View!$V:$V,MATCH(ROW()-14,Query_Source_View!$Z:$Z,0)),"")</f>
        <v>0</v>
      </c>
      <c r="N194" s="2" t="str">
        <f aca="false">IFERROR(INDEX(Query_Source_View!$W:$W,MATCH(ROW()-14,Query_Source_View!$Z:$Z,0)),"")</f>
        <v>Needs Review</v>
      </c>
      <c r="O194" s="2" t="str">
        <f aca="false">IFERROR(INDEX(Query_Source_View!$X:$X,MATCH(ROW()-14,Query_Source_View!$Z:$Z,0)),"")</f>
        <v>https://sensuallogic.com/artistcolordata</v>
      </c>
    </row>
    <row r="195" customFormat="false" ht="23.85" hidden="false" customHeight="false" outlineLevel="0" collapsed="false">
      <c r="A195" s="2" t="str">
        <f aca="false">IFERROR(INDEX(Query_Source_View!$A:$A,MATCH(ROW()-14,Query_Source_View!$Z:$Z,0)),"")</f>
        <v>PNT000137</v>
      </c>
      <c r="B195" s="2" t="str">
        <f aca="false">IFERROR(INDEX(Query_Source_View!$D:$D,MATCH(ROW()-14,Query_Source_View!$Z:$Z,0)),"")</f>
        <v>Winsor And Newton</v>
      </c>
      <c r="C195" s="2" t="str">
        <f aca="false">IFERROR(INDEX(Query_Source_View!$F:$F,MATCH(ROW()-14,Query_Source_View!$Z:$Z,0)),"")</f>
        <v>Acrylic</v>
      </c>
      <c r="D195" s="2" t="str">
        <f aca="false">IFERROR(INDEX(Query_Source_View!$H:$H,MATCH(ROW()-14,Query_Source_View!$Z:$Z,0)),"")</f>
        <v>Galeria Acrylic</v>
      </c>
      <c r="E195" s="2" t="str">
        <f aca="false">IFERROR(INDEX(Query_Source_View!$J:$J,MATCH(ROW()-14,Query_Source_View!$Z:$Z,0)),"")</f>
        <v>Vermilion Hue</v>
      </c>
      <c r="F195" s="2" t="str">
        <f aca="false">IFERROR(INDEX(Query_Source_View!$L:$L,MATCH(ROW()-14,Query_Source_View!$Z:$Z,0)),"")</f>
        <v>Red</v>
      </c>
      <c r="G195" s="2" t="str">
        <f aca="false">IFERROR(INDEX(Query_Source_View!$N:$N,MATCH(ROW()-14,Query_Source_View!$Z:$Z,0)),"")</f>
        <v>PR9</v>
      </c>
      <c r="H195" s="2" t="n">
        <f aca="false">IFERROR(INDEX(Query_Source_View!$P:$P,MATCH(ROW()-14,Query_Source_View!$Z:$Z,0)),"")</f>
        <v>1</v>
      </c>
      <c r="I195" s="2" t="str">
        <f aca="false">IFERROR(INDEX(Query_Source_View!$Q:$Q,MATCH(ROW()-14,Query_Source_View!$Z:$Z,0)),"")</f>
        <v>Yes</v>
      </c>
      <c r="J195" s="2" t="n">
        <f aca="false">IFERROR(INDEX(Query_Source_View!$R:$R,MATCH(ROW()-14,Query_Source_View!$Z:$Z,0)),"")</f>
        <v>0</v>
      </c>
      <c r="K195" s="2" t="str">
        <f aca="false">IFERROR(INDEX(Query_Source_View!$T:$T,MATCH(ROW()-14,Query_Source_View!$Z:$Z,0)),"")</f>
        <v>A</v>
      </c>
      <c r="L195" s="2" t="n">
        <f aca="false">IFERROR(INDEX(Query_Source_View!$U:$U,MATCH(ROW()-14,Query_Source_View!$Z:$Z,0)),"")</f>
        <v>0</v>
      </c>
      <c r="M195" s="2" t="n">
        <f aca="false">IFERROR(INDEX(Query_Source_View!$V:$V,MATCH(ROW()-14,Query_Source_View!$Z:$Z,0)),"")</f>
        <v>0</v>
      </c>
      <c r="N195" s="2" t="str">
        <f aca="false">IFERROR(INDEX(Query_Source_View!$W:$W,MATCH(ROW()-14,Query_Source_View!$Z:$Z,0)),"")</f>
        <v>Needs Review</v>
      </c>
      <c r="O195" s="2" t="str">
        <f aca="false">IFERROR(INDEX(Query_Source_View!$X:$X,MATCH(ROW()-14,Query_Source_View!$Z:$Z,0)),"")</f>
        <v>https://sensuallogic.com/artistcolordata</v>
      </c>
    </row>
    <row r="196" customFormat="false" ht="23.85" hidden="false" customHeight="false" outlineLevel="0" collapsed="false">
      <c r="A196" s="2" t="str">
        <f aca="false">IFERROR(INDEX(Query_Source_View!$A:$A,MATCH(ROW()-14,Query_Source_View!$Z:$Z,0)),"")</f>
        <v>PNT000138</v>
      </c>
      <c r="B196" s="2" t="str">
        <f aca="false">IFERROR(INDEX(Query_Source_View!$D:$D,MATCH(ROW()-14,Query_Source_View!$Z:$Z,0)),"")</f>
        <v>Winsor And Newton</v>
      </c>
      <c r="C196" s="2" t="str">
        <f aca="false">IFERROR(INDEX(Query_Source_View!$F:$F,MATCH(ROW()-14,Query_Source_View!$Z:$Z,0)),"")</f>
        <v>Acrylic</v>
      </c>
      <c r="D196" s="2" t="str">
        <f aca="false">IFERROR(INDEX(Query_Source_View!$H:$H,MATCH(ROW()-14,Query_Source_View!$Z:$Z,0)),"")</f>
        <v>Galeria Acrylic</v>
      </c>
      <c r="E196" s="2" t="str">
        <f aca="false">IFERROR(INDEX(Query_Source_View!$J:$J,MATCH(ROW()-14,Query_Source_View!$Z:$Z,0)),"")</f>
        <v>Winsor Violet</v>
      </c>
      <c r="F196" s="2" t="str">
        <f aca="false">IFERROR(INDEX(Query_Source_View!$L:$L,MATCH(ROW()-14,Query_Source_View!$Z:$Z,0)),"")</f>
        <v>Violet</v>
      </c>
      <c r="G196" s="2" t="str">
        <f aca="false">IFERROR(INDEX(Query_Source_View!$N:$N,MATCH(ROW()-14,Query_Source_View!$Z:$Z,0)),"")</f>
        <v>PV23</v>
      </c>
      <c r="H196" s="2" t="n">
        <f aca="false">IFERROR(INDEX(Query_Source_View!$P:$P,MATCH(ROW()-14,Query_Source_View!$Z:$Z,0)),"")</f>
        <v>1</v>
      </c>
      <c r="I196" s="2" t="str">
        <f aca="false">IFERROR(INDEX(Query_Source_View!$Q:$Q,MATCH(ROW()-14,Query_Source_View!$Z:$Z,0)),"")</f>
        <v>Yes</v>
      </c>
      <c r="J196" s="2" t="n">
        <f aca="false">IFERROR(INDEX(Query_Source_View!$R:$R,MATCH(ROW()-14,Query_Source_View!$Z:$Z,0)),"")</f>
        <v>0</v>
      </c>
      <c r="K196" s="2" t="str">
        <f aca="false">IFERROR(INDEX(Query_Source_View!$T:$T,MATCH(ROW()-14,Query_Source_View!$Z:$Z,0)),"")</f>
        <v>A</v>
      </c>
      <c r="L196" s="2" t="n">
        <f aca="false">IFERROR(INDEX(Query_Source_View!$U:$U,MATCH(ROW()-14,Query_Source_View!$Z:$Z,0)),"")</f>
        <v>0</v>
      </c>
      <c r="M196" s="2" t="n">
        <f aca="false">IFERROR(INDEX(Query_Source_View!$V:$V,MATCH(ROW()-14,Query_Source_View!$Z:$Z,0)),"")</f>
        <v>0</v>
      </c>
      <c r="N196" s="2" t="str">
        <f aca="false">IFERROR(INDEX(Query_Source_View!$W:$W,MATCH(ROW()-14,Query_Source_View!$Z:$Z,0)),"")</f>
        <v>Needs Review</v>
      </c>
      <c r="O196" s="2" t="str">
        <f aca="false">IFERROR(INDEX(Query_Source_View!$X:$X,MATCH(ROW()-14,Query_Source_View!$Z:$Z,0)),"")</f>
        <v>https://sensuallogic.com/artistcolordata</v>
      </c>
    </row>
    <row r="197" customFormat="false" ht="23.85" hidden="false" customHeight="false" outlineLevel="0" collapsed="false">
      <c r="A197" s="2" t="str">
        <f aca="false">IFERROR(INDEX(Query_Source_View!$A:$A,MATCH(ROW()-14,Query_Source_View!$Z:$Z,0)),"")</f>
        <v>PNT000139</v>
      </c>
      <c r="B197" s="2" t="str">
        <f aca="false">IFERROR(INDEX(Query_Source_View!$D:$D,MATCH(ROW()-14,Query_Source_View!$Z:$Z,0)),"")</f>
        <v>Winsor And Newton</v>
      </c>
      <c r="C197" s="2" t="str">
        <f aca="false">IFERROR(INDEX(Query_Source_View!$F:$F,MATCH(ROW()-14,Query_Source_View!$Z:$Z,0)),"")</f>
        <v>Acrylic</v>
      </c>
      <c r="D197" s="2" t="str">
        <f aca="false">IFERROR(INDEX(Query_Source_View!$H:$H,MATCH(ROW()-14,Query_Source_View!$Z:$Z,0)),"")</f>
        <v>Galeria Acrylic</v>
      </c>
      <c r="E197" s="2" t="str">
        <f aca="false">IFERROR(INDEX(Query_Source_View!$J:$J,MATCH(ROW()-14,Query_Source_View!$Z:$Z,0)),"")</f>
        <v>Yellow Ochre</v>
      </c>
      <c r="F197" s="2" t="str">
        <f aca="false">IFERROR(INDEX(Query_Source_View!$L:$L,MATCH(ROW()-14,Query_Source_View!$Z:$Z,0)),"")</f>
        <v>Yellow</v>
      </c>
      <c r="G197" s="2" t="str">
        <f aca="false">IFERROR(INDEX(Query_Source_View!$N:$N,MATCH(ROW()-14,Query_Source_View!$Z:$Z,0)),"")</f>
        <v>PY42</v>
      </c>
      <c r="H197" s="2" t="n">
        <f aca="false">IFERROR(INDEX(Query_Source_View!$P:$P,MATCH(ROW()-14,Query_Source_View!$Z:$Z,0)),"")</f>
        <v>3</v>
      </c>
      <c r="I197" s="2" t="str">
        <f aca="false">IFERROR(INDEX(Query_Source_View!$Q:$Q,MATCH(ROW()-14,Query_Source_View!$Z:$Z,0)),"")</f>
        <v>No</v>
      </c>
      <c r="J197" s="2" t="n">
        <f aca="false">IFERROR(INDEX(Query_Source_View!$R:$R,MATCH(ROW()-14,Query_Source_View!$Z:$Z,0)),"")</f>
        <v>0</v>
      </c>
      <c r="K197" s="2" t="str">
        <f aca="false">IFERROR(INDEX(Query_Source_View!$T:$T,MATCH(ROW()-14,Query_Source_View!$Z:$Z,0)),"")</f>
        <v>AA</v>
      </c>
      <c r="L197" s="2" t="n">
        <f aca="false">IFERROR(INDEX(Query_Source_View!$U:$U,MATCH(ROW()-14,Query_Source_View!$Z:$Z,0)),"")</f>
        <v>0</v>
      </c>
      <c r="M197" s="2" t="n">
        <f aca="false">IFERROR(INDEX(Query_Source_View!$V:$V,MATCH(ROW()-14,Query_Source_View!$Z:$Z,0)),"")</f>
        <v>0</v>
      </c>
      <c r="N197" s="2" t="str">
        <f aca="false">IFERROR(INDEX(Query_Source_View!$W:$W,MATCH(ROW()-14,Query_Source_View!$Z:$Z,0)),"")</f>
        <v>Needs Review</v>
      </c>
      <c r="O197" s="2" t="str">
        <f aca="false">IFERROR(INDEX(Query_Source_View!$X:$X,MATCH(ROW()-14,Query_Source_View!$Z:$Z,0)),"")</f>
        <v>https://sensuallogic.com/artistcolordata</v>
      </c>
    </row>
    <row r="198" customFormat="false" ht="23.85" hidden="false" customHeight="false" outlineLevel="0" collapsed="false">
      <c r="A198" s="2" t="str">
        <f aca="false">IFERROR(INDEX(Query_Source_View!$A:$A,MATCH(ROW()-14,Query_Source_View!$Z:$Z,0)),"")</f>
        <v>PNT000139</v>
      </c>
      <c r="B198" s="2" t="str">
        <f aca="false">IFERROR(INDEX(Query_Source_View!$D:$D,MATCH(ROW()-14,Query_Source_View!$Z:$Z,0)),"")</f>
        <v>Winsor And Newton</v>
      </c>
      <c r="C198" s="2" t="str">
        <f aca="false">IFERROR(INDEX(Query_Source_View!$F:$F,MATCH(ROW()-14,Query_Source_View!$Z:$Z,0)),"")</f>
        <v>Acrylic</v>
      </c>
      <c r="D198" s="2" t="str">
        <f aca="false">IFERROR(INDEX(Query_Source_View!$H:$H,MATCH(ROW()-14,Query_Source_View!$Z:$Z,0)),"")</f>
        <v>Galeria Acrylic</v>
      </c>
      <c r="E198" s="2" t="str">
        <f aca="false">IFERROR(INDEX(Query_Source_View!$J:$J,MATCH(ROW()-14,Query_Source_View!$Z:$Z,0)),"")</f>
        <v>Yellow Ochre</v>
      </c>
      <c r="F198" s="2" t="str">
        <f aca="false">IFERROR(INDEX(Query_Source_View!$L:$L,MATCH(ROW()-14,Query_Source_View!$Z:$Z,0)),"")</f>
        <v>Yellow</v>
      </c>
      <c r="G198" s="2" t="str">
        <f aca="false">IFERROR(INDEX(Query_Source_View!$N:$N,MATCH(ROW()-14,Query_Source_View!$Z:$Z,0)),"")</f>
        <v>PW6</v>
      </c>
      <c r="H198" s="2" t="n">
        <f aca="false">IFERROR(INDEX(Query_Source_View!$P:$P,MATCH(ROW()-14,Query_Source_View!$Z:$Z,0)),"")</f>
        <v>3</v>
      </c>
      <c r="I198" s="2" t="str">
        <f aca="false">IFERROR(INDEX(Query_Source_View!$Q:$Q,MATCH(ROW()-14,Query_Source_View!$Z:$Z,0)),"")</f>
        <v>No</v>
      </c>
      <c r="J198" s="2" t="n">
        <f aca="false">IFERROR(INDEX(Query_Source_View!$R:$R,MATCH(ROW()-14,Query_Source_View!$Z:$Z,0)),"")</f>
        <v>0</v>
      </c>
      <c r="K198" s="2" t="str">
        <f aca="false">IFERROR(INDEX(Query_Source_View!$T:$T,MATCH(ROW()-14,Query_Source_View!$Z:$Z,0)),"")</f>
        <v>AA</v>
      </c>
      <c r="L198" s="2" t="n">
        <f aca="false">IFERROR(INDEX(Query_Source_View!$U:$U,MATCH(ROW()-14,Query_Source_View!$Z:$Z,0)),"")</f>
        <v>0</v>
      </c>
      <c r="M198" s="2" t="n">
        <f aca="false">IFERROR(INDEX(Query_Source_View!$V:$V,MATCH(ROW()-14,Query_Source_View!$Z:$Z,0)),"")</f>
        <v>0</v>
      </c>
      <c r="N198" s="2" t="str">
        <f aca="false">IFERROR(INDEX(Query_Source_View!$W:$W,MATCH(ROW()-14,Query_Source_View!$Z:$Z,0)),"")</f>
        <v>Needs Review</v>
      </c>
      <c r="O198" s="2" t="str">
        <f aca="false">IFERROR(INDEX(Query_Source_View!$X:$X,MATCH(ROW()-14,Query_Source_View!$Z:$Z,0)),"")</f>
        <v>https://sensuallogic.com/artistcolordata</v>
      </c>
    </row>
    <row r="199" customFormat="false" ht="23.85" hidden="false" customHeight="false" outlineLevel="0" collapsed="false">
      <c r="A199" s="2" t="str">
        <f aca="false">IFERROR(INDEX(Query_Source_View!$A:$A,MATCH(ROW()-14,Query_Source_View!$Z:$Z,0)),"")</f>
        <v>PNT000139</v>
      </c>
      <c r="B199" s="2" t="str">
        <f aca="false">IFERROR(INDEX(Query_Source_View!$D:$D,MATCH(ROW()-14,Query_Source_View!$Z:$Z,0)),"")</f>
        <v>Winsor And Newton</v>
      </c>
      <c r="C199" s="2" t="str">
        <f aca="false">IFERROR(INDEX(Query_Source_View!$F:$F,MATCH(ROW()-14,Query_Source_View!$Z:$Z,0)),"")</f>
        <v>Acrylic</v>
      </c>
      <c r="D199" s="2" t="str">
        <f aca="false">IFERROR(INDEX(Query_Source_View!$H:$H,MATCH(ROW()-14,Query_Source_View!$Z:$Z,0)),"")</f>
        <v>Galeria Acrylic</v>
      </c>
      <c r="E199" s="2" t="str">
        <f aca="false">IFERROR(INDEX(Query_Source_View!$J:$J,MATCH(ROW()-14,Query_Source_View!$Z:$Z,0)),"")</f>
        <v>Yellow Ochre</v>
      </c>
      <c r="F199" s="2" t="str">
        <f aca="false">IFERROR(INDEX(Query_Source_View!$L:$L,MATCH(ROW()-14,Query_Source_View!$Z:$Z,0)),"")</f>
        <v>Yellow</v>
      </c>
      <c r="G199" s="2" t="str">
        <f aca="false">IFERROR(INDEX(Query_Source_View!$N:$N,MATCH(ROW()-14,Query_Source_View!$Z:$Z,0)),"")</f>
        <v>PBk11</v>
      </c>
      <c r="H199" s="2" t="n">
        <f aca="false">IFERROR(INDEX(Query_Source_View!$P:$P,MATCH(ROW()-14,Query_Source_View!$Z:$Z,0)),"")</f>
        <v>3</v>
      </c>
      <c r="I199" s="2" t="str">
        <f aca="false">IFERROR(INDEX(Query_Source_View!$Q:$Q,MATCH(ROW()-14,Query_Source_View!$Z:$Z,0)),"")</f>
        <v>No</v>
      </c>
      <c r="J199" s="2" t="n">
        <f aca="false">IFERROR(INDEX(Query_Source_View!$R:$R,MATCH(ROW()-14,Query_Source_View!$Z:$Z,0)),"")</f>
        <v>0</v>
      </c>
      <c r="K199" s="2" t="str">
        <f aca="false">IFERROR(INDEX(Query_Source_View!$T:$T,MATCH(ROW()-14,Query_Source_View!$Z:$Z,0)),"")</f>
        <v>AA</v>
      </c>
      <c r="L199" s="2" t="n">
        <f aca="false">IFERROR(INDEX(Query_Source_View!$U:$U,MATCH(ROW()-14,Query_Source_View!$Z:$Z,0)),"")</f>
        <v>0</v>
      </c>
      <c r="M199" s="2" t="n">
        <f aca="false">IFERROR(INDEX(Query_Source_View!$V:$V,MATCH(ROW()-14,Query_Source_View!$Z:$Z,0)),"")</f>
        <v>0</v>
      </c>
      <c r="N199" s="2" t="str">
        <f aca="false">IFERROR(INDEX(Query_Source_View!$W:$W,MATCH(ROW()-14,Query_Source_View!$Z:$Z,0)),"")</f>
        <v>Needs Review</v>
      </c>
      <c r="O199" s="2" t="str">
        <f aca="false">IFERROR(INDEX(Query_Source_View!$X:$X,MATCH(ROW()-14,Query_Source_View!$Z:$Z,0)),"")</f>
        <v>https://sensuallogic.com/artistcolordata</v>
      </c>
    </row>
    <row r="200" customFormat="false" ht="46.25" hidden="false" customHeight="false" outlineLevel="0" collapsed="false">
      <c r="A200" s="2" t="str">
        <f aca="false">IFERROR(INDEX(Query_Source_View!$A:$A,MATCH(ROW()-14,Query_Source_View!$Z:$Z,0)),"")</f>
        <v>PNT000140</v>
      </c>
      <c r="B200" s="2" t="str">
        <f aca="false">IFERROR(INDEX(Query_Source_View!$D:$D,MATCH(ROW()-14,Query_Source_View!$Z:$Z,0)),"")</f>
        <v>Winsor And Newton</v>
      </c>
      <c r="C200" s="2" t="str">
        <f aca="false">IFERROR(INDEX(Query_Source_View!$F:$F,MATCH(ROW()-14,Query_Source_View!$Z:$Z,0)),"")</f>
        <v>Acrylic</v>
      </c>
      <c r="D200" s="2" t="str">
        <f aca="false">IFERROR(INDEX(Query_Source_View!$H:$H,MATCH(ROW()-14,Query_Source_View!$Z:$Z,0)),"")</f>
        <v>Professional Acrylic</v>
      </c>
      <c r="E200" s="2" t="str">
        <f aca="false">IFERROR(INDEX(Query_Source_View!$J:$J,MATCH(ROW()-14,Query_Source_View!$Z:$Z,0)),"")</f>
        <v>Azo Yellow Medium</v>
      </c>
      <c r="F200" s="2" t="str">
        <f aca="false">IFERROR(INDEX(Query_Source_View!$L:$L,MATCH(ROW()-14,Query_Source_View!$Z:$Z,0)),"")</f>
        <v>Yellow</v>
      </c>
      <c r="G200" s="2" t="str">
        <f aca="false">IFERROR(INDEX(Query_Source_View!$N:$N,MATCH(ROW()-14,Query_Source_View!$Z:$Z,0)),"")</f>
        <v>PY74</v>
      </c>
      <c r="H200" s="2" t="n">
        <f aca="false">IFERROR(INDEX(Query_Source_View!$P:$P,MATCH(ROW()-14,Query_Source_View!$Z:$Z,0)),"")</f>
        <v>1</v>
      </c>
      <c r="I200" s="2" t="str">
        <f aca="false">IFERROR(INDEX(Query_Source_View!$Q:$Q,MATCH(ROW()-14,Query_Source_View!$Z:$Z,0)),"")</f>
        <v>Yes</v>
      </c>
      <c r="J200" s="2" t="str">
        <f aca="false">IFERROR(INDEX(Query_Source_View!$R:$R,MATCH(ROW()-14,Query_Source_View!$Z:$Z,0)),"")</f>
        <v>Semi Opaque</v>
      </c>
      <c r="K200" s="2" t="str">
        <f aca="false">IFERROR(INDEX(Query_Source_View!$T:$T,MATCH(ROW()-14,Query_Source_View!$Z:$Z,0)),"")</f>
        <v>Permanent</v>
      </c>
      <c r="L200" s="2" t="str">
        <f aca="false">IFERROR(INDEX(Query_Source_View!$U:$U,MATCH(ROW()-14,Query_Source_View!$Z:$Z,0)),"")</f>
        <v>I</v>
      </c>
      <c r="M200" s="2" t="n">
        <f aca="false">IFERROR(INDEX(Query_Source_View!$V:$V,MATCH(ROW()-14,Query_Source_View!$Z:$Z,0)),"")</f>
        <v>2</v>
      </c>
      <c r="N200" s="2" t="str">
        <f aca="false">IFERROR(INDEX(Query_Source_View!$W:$W,MATCH(ROW()-14,Query_Source_View!$Z:$Z,0)),"")</f>
        <v>Verified From Official Source</v>
      </c>
      <c r="O200" s="2" t="str">
        <f aca="false">IFERROR(INDEX(Query_Source_View!$X:$X,MATCH(ROW()-14,Query_Source_View!$Z:$Z,0)),"")</f>
        <v>https://www.winsornewton.com/pages/professional-acrylic-colour</v>
      </c>
    </row>
    <row r="201" customFormat="false" ht="46.25" hidden="false" customHeight="false" outlineLevel="0" collapsed="false">
      <c r="A201" s="2" t="str">
        <f aca="false">IFERROR(INDEX(Query_Source_View!$A:$A,MATCH(ROW()-14,Query_Source_View!$Z:$Z,0)),"")</f>
        <v>PNT000141</v>
      </c>
      <c r="B201" s="2" t="str">
        <f aca="false">IFERROR(INDEX(Query_Source_View!$D:$D,MATCH(ROW()-14,Query_Source_View!$Z:$Z,0)),"")</f>
        <v>Winsor And Newton</v>
      </c>
      <c r="C201" s="2" t="str">
        <f aca="false">IFERROR(INDEX(Query_Source_View!$F:$F,MATCH(ROW()-14,Query_Source_View!$Z:$Z,0)),"")</f>
        <v>Acrylic</v>
      </c>
      <c r="D201" s="2" t="str">
        <f aca="false">IFERROR(INDEX(Query_Source_View!$H:$H,MATCH(ROW()-14,Query_Source_View!$Z:$Z,0)),"")</f>
        <v>Professional Acrylic</v>
      </c>
      <c r="E201" s="2" t="str">
        <f aca="false">IFERROR(INDEX(Query_Source_View!$J:$J,MATCH(ROW()-14,Query_Source_View!$Z:$Z,0)),"")</f>
        <v>Bismuth Yellow</v>
      </c>
      <c r="F201" s="2" t="str">
        <f aca="false">IFERROR(INDEX(Query_Source_View!$L:$L,MATCH(ROW()-14,Query_Source_View!$Z:$Z,0)),"")</f>
        <v>Yellow</v>
      </c>
      <c r="G201" s="2" t="str">
        <f aca="false">IFERROR(INDEX(Query_Source_View!$N:$N,MATCH(ROW()-14,Query_Source_View!$Z:$Z,0)),"")</f>
        <v>PY184</v>
      </c>
      <c r="H201" s="2" t="n">
        <f aca="false">IFERROR(INDEX(Query_Source_View!$P:$P,MATCH(ROW()-14,Query_Source_View!$Z:$Z,0)),"")</f>
        <v>1</v>
      </c>
      <c r="I201" s="2" t="str">
        <f aca="false">IFERROR(INDEX(Query_Source_View!$Q:$Q,MATCH(ROW()-14,Query_Source_View!$Z:$Z,0)),"")</f>
        <v>Yes</v>
      </c>
      <c r="J201" s="2" t="str">
        <f aca="false">IFERROR(INDEX(Query_Source_View!$R:$R,MATCH(ROW()-14,Query_Source_View!$Z:$Z,0)),"")</f>
        <v>Opaque</v>
      </c>
      <c r="K201" s="2" t="str">
        <f aca="false">IFERROR(INDEX(Query_Source_View!$T:$T,MATCH(ROW()-14,Query_Source_View!$Z:$Z,0)),"")</f>
        <v>Permanent</v>
      </c>
      <c r="L201" s="2" t="str">
        <f aca="false">IFERROR(INDEX(Query_Source_View!$U:$U,MATCH(ROW()-14,Query_Source_View!$Z:$Z,0)),"")</f>
        <v>I</v>
      </c>
      <c r="M201" s="2" t="n">
        <f aca="false">IFERROR(INDEX(Query_Source_View!$V:$V,MATCH(ROW()-14,Query_Source_View!$Z:$Z,0)),"")</f>
        <v>4</v>
      </c>
      <c r="N201" s="2" t="str">
        <f aca="false">IFERROR(INDEX(Query_Source_View!$W:$W,MATCH(ROW()-14,Query_Source_View!$Z:$Z,0)),"")</f>
        <v>Verified From Official Source</v>
      </c>
      <c r="O201" s="2" t="str">
        <f aca="false">IFERROR(INDEX(Query_Source_View!$X:$X,MATCH(ROW()-14,Query_Source_View!$Z:$Z,0)),"")</f>
        <v>https://www.winsornewton.com/pages/professional-acrylic-colour</v>
      </c>
    </row>
    <row r="202" customFormat="false" ht="46.25" hidden="false" customHeight="false" outlineLevel="0" collapsed="false">
      <c r="A202" s="2" t="str">
        <f aca="false">IFERROR(INDEX(Query_Source_View!$A:$A,MATCH(ROW()-14,Query_Source_View!$Z:$Z,0)),"")</f>
        <v>PNT000142</v>
      </c>
      <c r="B202" s="2" t="str">
        <f aca="false">IFERROR(INDEX(Query_Source_View!$D:$D,MATCH(ROW()-14,Query_Source_View!$Z:$Z,0)),"")</f>
        <v>Winsor And Newton</v>
      </c>
      <c r="C202" s="2" t="str">
        <f aca="false">IFERROR(INDEX(Query_Source_View!$F:$F,MATCH(ROW()-14,Query_Source_View!$Z:$Z,0)),"")</f>
        <v>Acrylic</v>
      </c>
      <c r="D202" s="2" t="str">
        <f aca="false">IFERROR(INDEX(Query_Source_View!$H:$H,MATCH(ROW()-14,Query_Source_View!$Z:$Z,0)),"")</f>
        <v>Professional Acrylic</v>
      </c>
      <c r="E202" s="2" t="str">
        <f aca="false">IFERROR(INDEX(Query_Source_View!$J:$J,MATCH(ROW()-14,Query_Source_View!$Z:$Z,0)),"")</f>
        <v>Azo Yellow Deep</v>
      </c>
      <c r="F202" s="2" t="str">
        <f aca="false">IFERROR(INDEX(Query_Source_View!$L:$L,MATCH(ROW()-14,Query_Source_View!$Z:$Z,0)),"")</f>
        <v>Yellow</v>
      </c>
      <c r="G202" s="2" t="str">
        <f aca="false">IFERROR(INDEX(Query_Source_View!$N:$N,MATCH(ROW()-14,Query_Source_View!$Z:$Z,0)),"")</f>
        <v>PY65</v>
      </c>
      <c r="H202" s="2" t="n">
        <f aca="false">IFERROR(INDEX(Query_Source_View!$P:$P,MATCH(ROW()-14,Query_Source_View!$Z:$Z,0)),"")</f>
        <v>1</v>
      </c>
      <c r="I202" s="2" t="str">
        <f aca="false">IFERROR(INDEX(Query_Source_View!$Q:$Q,MATCH(ROW()-14,Query_Source_View!$Z:$Z,0)),"")</f>
        <v>Yes</v>
      </c>
      <c r="J202" s="2" t="str">
        <f aca="false">IFERROR(INDEX(Query_Source_View!$R:$R,MATCH(ROW()-14,Query_Source_View!$Z:$Z,0)),"")</f>
        <v>Semi Transparent</v>
      </c>
      <c r="K202" s="2" t="str">
        <f aca="false">IFERROR(INDEX(Query_Source_View!$T:$T,MATCH(ROW()-14,Query_Source_View!$Z:$Z,0)),"")</f>
        <v>Permanent</v>
      </c>
      <c r="L202" s="2" t="str">
        <f aca="false">IFERROR(INDEX(Query_Source_View!$U:$U,MATCH(ROW()-14,Query_Source_View!$Z:$Z,0)),"")</f>
        <v>I</v>
      </c>
      <c r="M202" s="2" t="n">
        <f aca="false">IFERROR(INDEX(Query_Source_View!$V:$V,MATCH(ROW()-14,Query_Source_View!$Z:$Z,0)),"")</f>
        <v>2</v>
      </c>
      <c r="N202" s="2" t="str">
        <f aca="false">IFERROR(INDEX(Query_Source_View!$W:$W,MATCH(ROW()-14,Query_Source_View!$Z:$Z,0)),"")</f>
        <v>Verified From Official Source</v>
      </c>
      <c r="O202" s="2" t="str">
        <f aca="false">IFERROR(INDEX(Query_Source_View!$X:$X,MATCH(ROW()-14,Query_Source_View!$Z:$Z,0)),"")</f>
        <v>https://www.winsornewton.com/pages/professional-acrylic-colour</v>
      </c>
    </row>
    <row r="203" customFormat="false" ht="46.25" hidden="false" customHeight="false" outlineLevel="0" collapsed="false">
      <c r="A203" s="2" t="str">
        <f aca="false">IFERROR(INDEX(Query_Source_View!$A:$A,MATCH(ROW()-14,Query_Source_View!$Z:$Z,0)),"")</f>
        <v>PNT000143</v>
      </c>
      <c r="B203" s="2" t="str">
        <f aca="false">IFERROR(INDEX(Query_Source_View!$D:$D,MATCH(ROW()-14,Query_Source_View!$Z:$Z,0)),"")</f>
        <v>Winsor And Newton</v>
      </c>
      <c r="C203" s="2" t="str">
        <f aca="false">IFERROR(INDEX(Query_Source_View!$F:$F,MATCH(ROW()-14,Query_Source_View!$Z:$Z,0)),"")</f>
        <v>Acrylic</v>
      </c>
      <c r="D203" s="2" t="str">
        <f aca="false">IFERROR(INDEX(Query_Source_View!$H:$H,MATCH(ROW()-14,Query_Source_View!$Z:$Z,0)),"")</f>
        <v>Professional Acrylic</v>
      </c>
      <c r="E203" s="2" t="str">
        <f aca="false">IFERROR(INDEX(Query_Source_View!$J:$J,MATCH(ROW()-14,Query_Source_View!$Z:$Z,0)),"")</f>
        <v>Buff Titanium</v>
      </c>
      <c r="F203" s="2" t="str">
        <f aca="false">IFERROR(INDEX(Query_Source_View!$L:$L,MATCH(ROW()-14,Query_Source_View!$Z:$Z,0)),"")</f>
        <v>White</v>
      </c>
      <c r="G203" s="2" t="str">
        <f aca="false">IFERROR(INDEX(Query_Source_View!$N:$N,MATCH(ROW()-14,Query_Source_View!$Z:$Z,0)),"")</f>
        <v>PBk11</v>
      </c>
      <c r="H203" s="2" t="n">
        <f aca="false">IFERROR(INDEX(Query_Source_View!$P:$P,MATCH(ROW()-14,Query_Source_View!$Z:$Z,0)),"")</f>
        <v>3</v>
      </c>
      <c r="I203" s="2" t="str">
        <f aca="false">IFERROR(INDEX(Query_Source_View!$Q:$Q,MATCH(ROW()-14,Query_Source_View!$Z:$Z,0)),"")</f>
        <v>No</v>
      </c>
      <c r="J203" s="2" t="str">
        <f aca="false">IFERROR(INDEX(Query_Source_View!$R:$R,MATCH(ROW()-14,Query_Source_View!$Z:$Z,0)),"")</f>
        <v>Opaque</v>
      </c>
      <c r="K203" s="2" t="str">
        <f aca="false">IFERROR(INDEX(Query_Source_View!$T:$T,MATCH(ROW()-14,Query_Source_View!$Z:$Z,0)),"")</f>
        <v>Extremely Permanent</v>
      </c>
      <c r="L203" s="2" t="str">
        <f aca="false">IFERROR(INDEX(Query_Source_View!$U:$U,MATCH(ROW()-14,Query_Source_View!$Z:$Z,0)),"")</f>
        <v>I</v>
      </c>
      <c r="M203" s="2" t="n">
        <f aca="false">IFERROR(INDEX(Query_Source_View!$V:$V,MATCH(ROW()-14,Query_Source_View!$Z:$Z,0)),"")</f>
        <v>1</v>
      </c>
      <c r="N203" s="2" t="str">
        <f aca="false">IFERROR(INDEX(Query_Source_View!$W:$W,MATCH(ROW()-14,Query_Source_View!$Z:$Z,0)),"")</f>
        <v>Verified From Official Source</v>
      </c>
      <c r="O203" s="2" t="str">
        <f aca="false">IFERROR(INDEX(Query_Source_View!$X:$X,MATCH(ROW()-14,Query_Source_View!$Z:$Z,0)),"")</f>
        <v>https://www.winsornewton.com/pages/professional-acrylic-colour</v>
      </c>
    </row>
    <row r="204" customFormat="false" ht="46.25" hidden="false" customHeight="false" outlineLevel="0" collapsed="false">
      <c r="A204" s="2" t="str">
        <f aca="false">IFERROR(INDEX(Query_Source_View!$A:$A,MATCH(ROW()-14,Query_Source_View!$Z:$Z,0)),"")</f>
        <v>PNT000143</v>
      </c>
      <c r="B204" s="2" t="str">
        <f aca="false">IFERROR(INDEX(Query_Source_View!$D:$D,MATCH(ROW()-14,Query_Source_View!$Z:$Z,0)),"")</f>
        <v>Winsor And Newton</v>
      </c>
      <c r="C204" s="2" t="str">
        <f aca="false">IFERROR(INDEX(Query_Source_View!$F:$F,MATCH(ROW()-14,Query_Source_View!$Z:$Z,0)),"")</f>
        <v>Acrylic</v>
      </c>
      <c r="D204" s="2" t="str">
        <f aca="false">IFERROR(INDEX(Query_Source_View!$H:$H,MATCH(ROW()-14,Query_Source_View!$Z:$Z,0)),"")</f>
        <v>Professional Acrylic</v>
      </c>
      <c r="E204" s="2" t="str">
        <f aca="false">IFERROR(INDEX(Query_Source_View!$J:$J,MATCH(ROW()-14,Query_Source_View!$Z:$Z,0)),"")</f>
        <v>Buff Titanium</v>
      </c>
      <c r="F204" s="2" t="str">
        <f aca="false">IFERROR(INDEX(Query_Source_View!$L:$L,MATCH(ROW()-14,Query_Source_View!$Z:$Z,0)),"")</f>
        <v>White</v>
      </c>
      <c r="G204" s="2" t="str">
        <f aca="false">IFERROR(INDEX(Query_Source_View!$N:$N,MATCH(ROW()-14,Query_Source_View!$Z:$Z,0)),"")</f>
        <v>PW6</v>
      </c>
      <c r="H204" s="2" t="n">
        <f aca="false">IFERROR(INDEX(Query_Source_View!$P:$P,MATCH(ROW()-14,Query_Source_View!$Z:$Z,0)),"")</f>
        <v>3</v>
      </c>
      <c r="I204" s="2" t="str">
        <f aca="false">IFERROR(INDEX(Query_Source_View!$Q:$Q,MATCH(ROW()-14,Query_Source_View!$Z:$Z,0)),"")</f>
        <v>No</v>
      </c>
      <c r="J204" s="2" t="str">
        <f aca="false">IFERROR(INDEX(Query_Source_View!$R:$R,MATCH(ROW()-14,Query_Source_View!$Z:$Z,0)),"")</f>
        <v>Opaque</v>
      </c>
      <c r="K204" s="2" t="str">
        <f aca="false">IFERROR(INDEX(Query_Source_View!$T:$T,MATCH(ROW()-14,Query_Source_View!$Z:$Z,0)),"")</f>
        <v>Extremely Permanent</v>
      </c>
      <c r="L204" s="2" t="str">
        <f aca="false">IFERROR(INDEX(Query_Source_View!$U:$U,MATCH(ROW()-14,Query_Source_View!$Z:$Z,0)),"")</f>
        <v>I</v>
      </c>
      <c r="M204" s="2" t="n">
        <f aca="false">IFERROR(INDEX(Query_Source_View!$V:$V,MATCH(ROW()-14,Query_Source_View!$Z:$Z,0)),"")</f>
        <v>1</v>
      </c>
      <c r="N204" s="2" t="str">
        <f aca="false">IFERROR(INDEX(Query_Source_View!$W:$W,MATCH(ROW()-14,Query_Source_View!$Z:$Z,0)),"")</f>
        <v>Verified From Official Source</v>
      </c>
      <c r="O204" s="2" t="str">
        <f aca="false">IFERROR(INDEX(Query_Source_View!$X:$X,MATCH(ROW()-14,Query_Source_View!$Z:$Z,0)),"")</f>
        <v>https://www.winsornewton.com/pages/professional-acrylic-colour</v>
      </c>
    </row>
    <row r="205" customFormat="false" ht="46.25" hidden="false" customHeight="false" outlineLevel="0" collapsed="false">
      <c r="A205" s="2" t="str">
        <f aca="false">IFERROR(INDEX(Query_Source_View!$A:$A,MATCH(ROW()-14,Query_Source_View!$Z:$Z,0)),"")</f>
        <v>PNT000143</v>
      </c>
      <c r="B205" s="2" t="str">
        <f aca="false">IFERROR(INDEX(Query_Source_View!$D:$D,MATCH(ROW()-14,Query_Source_View!$Z:$Z,0)),"")</f>
        <v>Winsor And Newton</v>
      </c>
      <c r="C205" s="2" t="str">
        <f aca="false">IFERROR(INDEX(Query_Source_View!$F:$F,MATCH(ROW()-14,Query_Source_View!$Z:$Z,0)),"")</f>
        <v>Acrylic</v>
      </c>
      <c r="D205" s="2" t="str">
        <f aca="false">IFERROR(INDEX(Query_Source_View!$H:$H,MATCH(ROW()-14,Query_Source_View!$Z:$Z,0)),"")</f>
        <v>Professional Acrylic</v>
      </c>
      <c r="E205" s="2" t="str">
        <f aca="false">IFERROR(INDEX(Query_Source_View!$J:$J,MATCH(ROW()-14,Query_Source_View!$Z:$Z,0)),"")</f>
        <v>Buff Titanium</v>
      </c>
      <c r="F205" s="2" t="str">
        <f aca="false">IFERROR(INDEX(Query_Source_View!$L:$L,MATCH(ROW()-14,Query_Source_View!$Z:$Z,0)),"")</f>
        <v>White</v>
      </c>
      <c r="G205" s="2" t="str">
        <f aca="false">IFERROR(INDEX(Query_Source_View!$N:$N,MATCH(ROW()-14,Query_Source_View!$Z:$Z,0)),"")</f>
        <v>PY42</v>
      </c>
      <c r="H205" s="2" t="n">
        <f aca="false">IFERROR(INDEX(Query_Source_View!$P:$P,MATCH(ROW()-14,Query_Source_View!$Z:$Z,0)),"")</f>
        <v>3</v>
      </c>
      <c r="I205" s="2" t="str">
        <f aca="false">IFERROR(INDEX(Query_Source_View!$Q:$Q,MATCH(ROW()-14,Query_Source_View!$Z:$Z,0)),"")</f>
        <v>No</v>
      </c>
      <c r="J205" s="2" t="str">
        <f aca="false">IFERROR(INDEX(Query_Source_View!$R:$R,MATCH(ROW()-14,Query_Source_View!$Z:$Z,0)),"")</f>
        <v>Opaque</v>
      </c>
      <c r="K205" s="2" t="str">
        <f aca="false">IFERROR(INDEX(Query_Source_View!$T:$T,MATCH(ROW()-14,Query_Source_View!$Z:$Z,0)),"")</f>
        <v>Extremely Permanent</v>
      </c>
      <c r="L205" s="2" t="str">
        <f aca="false">IFERROR(INDEX(Query_Source_View!$U:$U,MATCH(ROW()-14,Query_Source_View!$Z:$Z,0)),"")</f>
        <v>I</v>
      </c>
      <c r="M205" s="2" t="n">
        <f aca="false">IFERROR(INDEX(Query_Source_View!$V:$V,MATCH(ROW()-14,Query_Source_View!$Z:$Z,0)),"")</f>
        <v>1</v>
      </c>
      <c r="N205" s="2" t="str">
        <f aca="false">IFERROR(INDEX(Query_Source_View!$W:$W,MATCH(ROW()-14,Query_Source_View!$Z:$Z,0)),"")</f>
        <v>Verified From Official Source</v>
      </c>
      <c r="O205" s="2" t="str">
        <f aca="false">IFERROR(INDEX(Query_Source_View!$X:$X,MATCH(ROW()-14,Query_Source_View!$Z:$Z,0)),"")</f>
        <v>https://www.winsornewton.com/pages/professional-acrylic-colour</v>
      </c>
    </row>
    <row r="206" customFormat="false" ht="46.25" hidden="false" customHeight="false" outlineLevel="0" collapsed="false">
      <c r="A206" s="2" t="str">
        <f aca="false">IFERROR(INDEX(Query_Source_View!$A:$A,MATCH(ROW()-14,Query_Source_View!$Z:$Z,0)),"")</f>
        <v>PNT000144</v>
      </c>
      <c r="B206" s="2" t="str">
        <f aca="false">IFERROR(INDEX(Query_Source_View!$D:$D,MATCH(ROW()-14,Query_Source_View!$Z:$Z,0)),"")</f>
        <v>Winsor And Newton</v>
      </c>
      <c r="C206" s="2" t="str">
        <f aca="false">IFERROR(INDEX(Query_Source_View!$F:$F,MATCH(ROW()-14,Query_Source_View!$Z:$Z,0)),"")</f>
        <v>Acrylic</v>
      </c>
      <c r="D206" s="2" t="str">
        <f aca="false">IFERROR(INDEX(Query_Source_View!$H:$H,MATCH(ROW()-14,Query_Source_View!$Z:$Z,0)),"")</f>
        <v>Professional Acrylic</v>
      </c>
      <c r="E206" s="2" t="str">
        <f aca="false">IFERROR(INDEX(Query_Source_View!$J:$J,MATCH(ROW()-14,Query_Source_View!$Z:$Z,0)),"")</f>
        <v>Burnt Sienna</v>
      </c>
      <c r="F206" s="2" t="str">
        <f aca="false">IFERROR(INDEX(Query_Source_View!$L:$L,MATCH(ROW()-14,Query_Source_View!$Z:$Z,0)),"")</f>
        <v>Orange</v>
      </c>
      <c r="G206" s="2" t="str">
        <f aca="false">IFERROR(INDEX(Query_Source_View!$N:$N,MATCH(ROW()-14,Query_Source_View!$Z:$Z,0)),"")</f>
        <v>PR101</v>
      </c>
      <c r="H206" s="2" t="n">
        <f aca="false">IFERROR(INDEX(Query_Source_View!$P:$P,MATCH(ROW()-14,Query_Source_View!$Z:$Z,0)),"")</f>
        <v>1</v>
      </c>
      <c r="I206" s="2" t="str">
        <f aca="false">IFERROR(INDEX(Query_Source_View!$Q:$Q,MATCH(ROW()-14,Query_Source_View!$Z:$Z,0)),"")</f>
        <v>Yes</v>
      </c>
      <c r="J206" s="2" t="str">
        <f aca="false">IFERROR(INDEX(Query_Source_View!$R:$R,MATCH(ROW()-14,Query_Source_View!$Z:$Z,0)),"")</f>
        <v>Transparent</v>
      </c>
      <c r="K206" s="2" t="str">
        <f aca="false">IFERROR(INDEX(Query_Source_View!$T:$T,MATCH(ROW()-14,Query_Source_View!$Z:$Z,0)),"")</f>
        <v>Extremely Permanent</v>
      </c>
      <c r="L206" s="2" t="str">
        <f aca="false">IFERROR(INDEX(Query_Source_View!$U:$U,MATCH(ROW()-14,Query_Source_View!$Z:$Z,0)),"")</f>
        <v>I</v>
      </c>
      <c r="M206" s="2" t="n">
        <f aca="false">IFERROR(INDEX(Query_Source_View!$V:$V,MATCH(ROW()-14,Query_Source_View!$Z:$Z,0)),"")</f>
        <v>1</v>
      </c>
      <c r="N206" s="2" t="str">
        <f aca="false">IFERROR(INDEX(Query_Source_View!$W:$W,MATCH(ROW()-14,Query_Source_View!$Z:$Z,0)),"")</f>
        <v>Verified From Official Source</v>
      </c>
      <c r="O206" s="2" t="str">
        <f aca="false">IFERROR(INDEX(Query_Source_View!$X:$X,MATCH(ROW()-14,Query_Source_View!$Z:$Z,0)),"")</f>
        <v>https://www.winsornewton.com/pages/professional-acrylic-colour</v>
      </c>
    </row>
    <row r="207" customFormat="false" ht="46.25" hidden="false" customHeight="false" outlineLevel="0" collapsed="false">
      <c r="A207" s="2" t="str">
        <f aca="false">IFERROR(INDEX(Query_Source_View!$A:$A,MATCH(ROW()-14,Query_Source_View!$Z:$Z,0)),"")</f>
        <v>PNT000145</v>
      </c>
      <c r="B207" s="2" t="str">
        <f aca="false">IFERROR(INDEX(Query_Source_View!$D:$D,MATCH(ROW()-14,Query_Source_View!$Z:$Z,0)),"")</f>
        <v>Winsor And Newton</v>
      </c>
      <c r="C207" s="2" t="str">
        <f aca="false">IFERROR(INDEX(Query_Source_View!$F:$F,MATCH(ROW()-14,Query_Source_View!$Z:$Z,0)),"")</f>
        <v>Acrylic</v>
      </c>
      <c r="D207" s="2" t="str">
        <f aca="false">IFERROR(INDEX(Query_Source_View!$H:$H,MATCH(ROW()-14,Query_Source_View!$Z:$Z,0)),"")</f>
        <v>Professional Acrylic</v>
      </c>
      <c r="E207" s="2" t="str">
        <f aca="false">IFERROR(INDEX(Query_Source_View!$J:$J,MATCH(ROW()-14,Query_Source_View!$Z:$Z,0)),"")</f>
        <v>Burnt Umber</v>
      </c>
      <c r="F207" s="2" t="str">
        <f aca="false">IFERROR(INDEX(Query_Source_View!$L:$L,MATCH(ROW()-14,Query_Source_View!$Z:$Z,0)),"")</f>
        <v>Earth</v>
      </c>
      <c r="G207" s="2" t="str">
        <f aca="false">IFERROR(INDEX(Query_Source_View!$N:$N,MATCH(ROW()-14,Query_Source_View!$Z:$Z,0)),"")</f>
        <v>PBr7</v>
      </c>
      <c r="H207" s="2" t="n">
        <f aca="false">IFERROR(INDEX(Query_Source_View!$P:$P,MATCH(ROW()-14,Query_Source_View!$Z:$Z,0)),"")</f>
        <v>1</v>
      </c>
      <c r="I207" s="2" t="str">
        <f aca="false">IFERROR(INDEX(Query_Source_View!$Q:$Q,MATCH(ROW()-14,Query_Source_View!$Z:$Z,0)),"")</f>
        <v>Yes</v>
      </c>
      <c r="J207" s="2" t="str">
        <f aca="false">IFERROR(INDEX(Query_Source_View!$R:$R,MATCH(ROW()-14,Query_Source_View!$Z:$Z,0)),"")</f>
        <v>Semi Opaque</v>
      </c>
      <c r="K207" s="2" t="str">
        <f aca="false">IFERROR(INDEX(Query_Source_View!$T:$T,MATCH(ROW()-14,Query_Source_View!$Z:$Z,0)),"")</f>
        <v>Extremely Permanent</v>
      </c>
      <c r="L207" s="2" t="str">
        <f aca="false">IFERROR(INDEX(Query_Source_View!$U:$U,MATCH(ROW()-14,Query_Source_View!$Z:$Z,0)),"")</f>
        <v>I</v>
      </c>
      <c r="M207" s="2" t="n">
        <f aca="false">IFERROR(INDEX(Query_Source_View!$V:$V,MATCH(ROW()-14,Query_Source_View!$Z:$Z,0)),"")</f>
        <v>1</v>
      </c>
      <c r="N207" s="2" t="str">
        <f aca="false">IFERROR(INDEX(Query_Source_View!$W:$W,MATCH(ROW()-14,Query_Source_View!$Z:$Z,0)),"")</f>
        <v>Verified From Official Source</v>
      </c>
      <c r="O207" s="2" t="str">
        <f aca="false">IFERROR(INDEX(Query_Source_View!$X:$X,MATCH(ROW()-14,Query_Source_View!$Z:$Z,0)),"")</f>
        <v>https://www.winsornewton.com/pages/professional-acrylic-colour</v>
      </c>
    </row>
    <row r="208" customFormat="false" ht="46.25" hidden="false" customHeight="false" outlineLevel="0" collapsed="false">
      <c r="A208" s="2" t="str">
        <f aca="false">IFERROR(INDEX(Query_Source_View!$A:$A,MATCH(ROW()-14,Query_Source_View!$Z:$Z,0)),"")</f>
        <v>PNT000146</v>
      </c>
      <c r="B208" s="2" t="str">
        <f aca="false">IFERROR(INDEX(Query_Source_View!$D:$D,MATCH(ROW()-14,Query_Source_View!$Z:$Z,0)),"")</f>
        <v>Winsor And Newton</v>
      </c>
      <c r="C208" s="2" t="str">
        <f aca="false">IFERROR(INDEX(Query_Source_View!$F:$F,MATCH(ROW()-14,Query_Source_View!$Z:$Z,0)),"")</f>
        <v>Acrylic</v>
      </c>
      <c r="D208" s="2" t="str">
        <f aca="false">IFERROR(INDEX(Query_Source_View!$H:$H,MATCH(ROW()-14,Query_Source_View!$Z:$Z,0)),"")</f>
        <v>Professional Acrylic</v>
      </c>
      <c r="E208" s="2" t="str">
        <f aca="false">IFERROR(INDEX(Query_Source_View!$J:$J,MATCH(ROW()-14,Query_Source_View!$Z:$Z,0)),"")</f>
        <v>Cadmium Lemon</v>
      </c>
      <c r="F208" s="2" t="str">
        <f aca="false">IFERROR(INDEX(Query_Source_View!$L:$L,MATCH(ROW()-14,Query_Source_View!$Z:$Z,0)),"")</f>
        <v>Yellow</v>
      </c>
      <c r="G208" s="2" t="str">
        <f aca="false">IFERROR(INDEX(Query_Source_View!$N:$N,MATCH(ROW()-14,Query_Source_View!$Z:$Z,0)),"")</f>
        <v>PY35</v>
      </c>
      <c r="H208" s="2" t="n">
        <f aca="false">IFERROR(INDEX(Query_Source_View!$P:$P,MATCH(ROW()-14,Query_Source_View!$Z:$Z,0)),"")</f>
        <v>1</v>
      </c>
      <c r="I208" s="2" t="str">
        <f aca="false">IFERROR(INDEX(Query_Source_View!$Q:$Q,MATCH(ROW()-14,Query_Source_View!$Z:$Z,0)),"")</f>
        <v>Yes</v>
      </c>
      <c r="J208" s="2" t="str">
        <f aca="false">IFERROR(INDEX(Query_Source_View!$R:$R,MATCH(ROW()-14,Query_Source_View!$Z:$Z,0)),"")</f>
        <v>Opaque</v>
      </c>
      <c r="K208" s="2" t="str">
        <f aca="false">IFERROR(INDEX(Query_Source_View!$T:$T,MATCH(ROW()-14,Query_Source_View!$Z:$Z,0)),"")</f>
        <v>Permanent</v>
      </c>
      <c r="L208" s="2" t="str">
        <f aca="false">IFERROR(INDEX(Query_Source_View!$U:$U,MATCH(ROW()-14,Query_Source_View!$Z:$Z,0)),"")</f>
        <v>I</v>
      </c>
      <c r="M208" s="2" t="n">
        <f aca="false">IFERROR(INDEX(Query_Source_View!$V:$V,MATCH(ROW()-14,Query_Source_View!$Z:$Z,0)),"")</f>
        <v>3</v>
      </c>
      <c r="N208" s="2" t="str">
        <f aca="false">IFERROR(INDEX(Query_Source_View!$W:$W,MATCH(ROW()-14,Query_Source_View!$Z:$Z,0)),"")</f>
        <v>Verified From Official Source</v>
      </c>
      <c r="O208" s="2" t="str">
        <f aca="false">IFERROR(INDEX(Query_Source_View!$X:$X,MATCH(ROW()-14,Query_Source_View!$Z:$Z,0)),"")</f>
        <v>https://www.winsornewton.com/pages/professional-acrylic-colour</v>
      </c>
    </row>
    <row r="209" customFormat="false" ht="46.25" hidden="false" customHeight="false" outlineLevel="0" collapsed="false">
      <c r="A209" s="2" t="str">
        <f aca="false">IFERROR(INDEX(Query_Source_View!$A:$A,MATCH(ROW()-14,Query_Source_View!$Z:$Z,0)),"")</f>
        <v>PNT000147</v>
      </c>
      <c r="B209" s="2" t="str">
        <f aca="false">IFERROR(INDEX(Query_Source_View!$D:$D,MATCH(ROW()-14,Query_Source_View!$Z:$Z,0)),"")</f>
        <v>Winsor And Newton</v>
      </c>
      <c r="C209" s="2" t="str">
        <f aca="false">IFERROR(INDEX(Query_Source_View!$F:$F,MATCH(ROW()-14,Query_Source_View!$Z:$Z,0)),"")</f>
        <v>Acrylic</v>
      </c>
      <c r="D209" s="2" t="str">
        <f aca="false">IFERROR(INDEX(Query_Source_View!$H:$H,MATCH(ROW()-14,Query_Source_View!$Z:$Z,0)),"")</f>
        <v>Professional Acrylic</v>
      </c>
      <c r="E209" s="2" t="str">
        <f aca="false">IFERROR(INDEX(Query_Source_View!$J:$J,MATCH(ROW()-14,Query_Source_View!$Z:$Z,0)),"")</f>
        <v>Cadmium Orange</v>
      </c>
      <c r="F209" s="2" t="str">
        <f aca="false">IFERROR(INDEX(Query_Source_View!$L:$L,MATCH(ROW()-14,Query_Source_View!$Z:$Z,0)),"")</f>
        <v>Orange</v>
      </c>
      <c r="G209" s="2" t="str">
        <f aca="false">IFERROR(INDEX(Query_Source_View!$N:$N,MATCH(ROW()-14,Query_Source_View!$Z:$Z,0)),"")</f>
        <v>PO20</v>
      </c>
      <c r="H209" s="2" t="n">
        <f aca="false">IFERROR(INDEX(Query_Source_View!$P:$P,MATCH(ROW()-14,Query_Source_View!$Z:$Z,0)),"")</f>
        <v>1</v>
      </c>
      <c r="I209" s="2" t="str">
        <f aca="false">IFERROR(INDEX(Query_Source_View!$Q:$Q,MATCH(ROW()-14,Query_Source_View!$Z:$Z,0)),"")</f>
        <v>Yes</v>
      </c>
      <c r="J209" s="2" t="str">
        <f aca="false">IFERROR(INDEX(Query_Source_View!$R:$R,MATCH(ROW()-14,Query_Source_View!$Z:$Z,0)),"")</f>
        <v>Opaque</v>
      </c>
      <c r="K209" s="2" t="str">
        <f aca="false">IFERROR(INDEX(Query_Source_View!$T:$T,MATCH(ROW()-14,Query_Source_View!$Z:$Z,0)),"")</f>
        <v>Permanent</v>
      </c>
      <c r="L209" s="2" t="str">
        <f aca="false">IFERROR(INDEX(Query_Source_View!$U:$U,MATCH(ROW()-14,Query_Source_View!$Z:$Z,0)),"")</f>
        <v>I</v>
      </c>
      <c r="M209" s="2" t="n">
        <f aca="false">IFERROR(INDEX(Query_Source_View!$V:$V,MATCH(ROW()-14,Query_Source_View!$Z:$Z,0)),"")</f>
        <v>3</v>
      </c>
      <c r="N209" s="2" t="str">
        <f aca="false">IFERROR(INDEX(Query_Source_View!$W:$W,MATCH(ROW()-14,Query_Source_View!$Z:$Z,0)),"")</f>
        <v>Verified From Official Source</v>
      </c>
      <c r="O209" s="2" t="str">
        <f aca="false">IFERROR(INDEX(Query_Source_View!$X:$X,MATCH(ROW()-14,Query_Source_View!$Z:$Z,0)),"")</f>
        <v>https://www.winsornewton.com/pages/professional-acrylic-colour</v>
      </c>
    </row>
    <row r="210" customFormat="false" ht="46.25" hidden="false" customHeight="false" outlineLevel="0" collapsed="false">
      <c r="A210" s="2" t="str">
        <f aca="false">IFERROR(INDEX(Query_Source_View!$A:$A,MATCH(ROW()-14,Query_Source_View!$Z:$Z,0)),"")</f>
        <v>PNT000148</v>
      </c>
      <c r="B210" s="2" t="str">
        <f aca="false">IFERROR(INDEX(Query_Source_View!$D:$D,MATCH(ROW()-14,Query_Source_View!$Z:$Z,0)),"")</f>
        <v>Winsor And Newton</v>
      </c>
      <c r="C210" s="2" t="str">
        <f aca="false">IFERROR(INDEX(Query_Source_View!$F:$F,MATCH(ROW()-14,Query_Source_View!$Z:$Z,0)),"")</f>
        <v>Acrylic</v>
      </c>
      <c r="D210" s="2" t="str">
        <f aca="false">IFERROR(INDEX(Query_Source_View!$H:$H,MATCH(ROW()-14,Query_Source_View!$Z:$Z,0)),"")</f>
        <v>Professional Acrylic</v>
      </c>
      <c r="E210" s="2" t="str">
        <f aca="false">IFERROR(INDEX(Query_Source_View!$J:$J,MATCH(ROW()-14,Query_Source_View!$Z:$Z,0)),"")</f>
        <v>Cadmium Red Deep</v>
      </c>
      <c r="F210" s="2" t="str">
        <f aca="false">IFERROR(INDEX(Query_Source_View!$L:$L,MATCH(ROW()-14,Query_Source_View!$Z:$Z,0)),"")</f>
        <v>Red</v>
      </c>
      <c r="G210" s="2" t="str">
        <f aca="false">IFERROR(INDEX(Query_Source_View!$N:$N,MATCH(ROW()-14,Query_Source_View!$Z:$Z,0)),"")</f>
        <v>PR108</v>
      </c>
      <c r="H210" s="2" t="n">
        <f aca="false">IFERROR(INDEX(Query_Source_View!$P:$P,MATCH(ROW()-14,Query_Source_View!$Z:$Z,0)),"")</f>
        <v>1</v>
      </c>
      <c r="I210" s="2" t="str">
        <f aca="false">IFERROR(INDEX(Query_Source_View!$Q:$Q,MATCH(ROW()-14,Query_Source_View!$Z:$Z,0)),"")</f>
        <v>Yes</v>
      </c>
      <c r="J210" s="2" t="str">
        <f aca="false">IFERROR(INDEX(Query_Source_View!$R:$R,MATCH(ROW()-14,Query_Source_View!$Z:$Z,0)),"")</f>
        <v>Opaque</v>
      </c>
      <c r="K210" s="2" t="str">
        <f aca="false">IFERROR(INDEX(Query_Source_View!$T:$T,MATCH(ROW()-14,Query_Source_View!$Z:$Z,0)),"")</f>
        <v>Permanent</v>
      </c>
      <c r="L210" s="2" t="str">
        <f aca="false">IFERROR(INDEX(Query_Source_View!$U:$U,MATCH(ROW()-14,Query_Source_View!$Z:$Z,0)),"")</f>
        <v>I</v>
      </c>
      <c r="M210" s="2" t="n">
        <f aca="false">IFERROR(INDEX(Query_Source_View!$V:$V,MATCH(ROW()-14,Query_Source_View!$Z:$Z,0)),"")</f>
        <v>3</v>
      </c>
      <c r="N210" s="2" t="str">
        <f aca="false">IFERROR(INDEX(Query_Source_View!$W:$W,MATCH(ROW()-14,Query_Source_View!$Z:$Z,0)),"")</f>
        <v>Verified From Official Source</v>
      </c>
      <c r="O210" s="2" t="str">
        <f aca="false">IFERROR(INDEX(Query_Source_View!$X:$X,MATCH(ROW()-14,Query_Source_View!$Z:$Z,0)),"")</f>
        <v>https://www.winsornewton.com/pages/professional-acrylic-colour</v>
      </c>
    </row>
    <row r="211" customFormat="false" ht="23.85" hidden="false" customHeight="false" outlineLevel="0" collapsed="false">
      <c r="A211" s="2" t="str">
        <f aca="false">IFERROR(INDEX(Query_Source_View!$A:$A,MATCH(ROW()-14,Query_Source_View!$Z:$Z,0)),"")</f>
        <v>PNT000149</v>
      </c>
      <c r="B211" s="2" t="str">
        <f aca="false">IFERROR(INDEX(Query_Source_View!$D:$D,MATCH(ROW()-14,Query_Source_View!$Z:$Z,0)),"")</f>
        <v>Winsor And Newton</v>
      </c>
      <c r="C211" s="2" t="str">
        <f aca="false">IFERROR(INDEX(Query_Source_View!$F:$F,MATCH(ROW()-14,Query_Source_View!$Z:$Z,0)),"")</f>
        <v>Acrylic</v>
      </c>
      <c r="D211" s="2" t="str">
        <f aca="false">IFERROR(INDEX(Query_Source_View!$H:$H,MATCH(ROW()-14,Query_Source_View!$Z:$Z,0)),"")</f>
        <v>Professional Acrylic</v>
      </c>
      <c r="E211" s="2" t="str">
        <f aca="false">IFERROR(INDEX(Query_Source_View!$J:$J,MATCH(ROW()-14,Query_Source_View!$Z:$Z,0)),"")</f>
        <v>CadRedMed</v>
      </c>
      <c r="F211" s="2" t="str">
        <f aca="false">IFERROR(INDEX(Query_Source_View!$L:$L,MATCH(ROW()-14,Query_Source_View!$Z:$Z,0)),"")</f>
        <v>Red</v>
      </c>
      <c r="G211" s="2" t="str">
        <f aca="false">IFERROR(INDEX(Query_Source_View!$N:$N,MATCH(ROW()-14,Query_Source_View!$Z:$Z,0)),"")</f>
        <v>Not Provided</v>
      </c>
      <c r="H211" s="2" t="n">
        <f aca="false">IFERROR(INDEX(Query_Source_View!$P:$P,MATCH(ROW()-14,Query_Source_View!$Z:$Z,0)),"")</f>
        <v>0</v>
      </c>
      <c r="I211" s="2" t="str">
        <f aca="false">IFERROR(INDEX(Query_Source_View!$Q:$Q,MATCH(ROW()-14,Query_Source_View!$Z:$Z,0)),"")</f>
        <v>Unknown</v>
      </c>
      <c r="J211" s="2" t="n">
        <f aca="false">IFERROR(INDEX(Query_Source_View!$R:$R,MATCH(ROW()-14,Query_Source_View!$Z:$Z,0)),"")</f>
        <v>0</v>
      </c>
      <c r="K211" s="2" t="n">
        <f aca="false">IFERROR(INDEX(Query_Source_View!$T:$T,MATCH(ROW()-14,Query_Source_View!$Z:$Z,0)),"")</f>
        <v>0</v>
      </c>
      <c r="L211" s="2" t="n">
        <f aca="false">IFERROR(INDEX(Query_Source_View!$U:$U,MATCH(ROW()-14,Query_Source_View!$Z:$Z,0)),"")</f>
        <v>0</v>
      </c>
      <c r="M211" s="2" t="n">
        <f aca="false">IFERROR(INDEX(Query_Source_View!$V:$V,MATCH(ROW()-14,Query_Source_View!$Z:$Z,0)),"")</f>
        <v>0</v>
      </c>
      <c r="N211" s="2" t="str">
        <f aca="false">IFERROR(INDEX(Query_Source_View!$W:$W,MATCH(ROW()-14,Query_Source_View!$Z:$Z,0)),"")</f>
        <v>Needs Review</v>
      </c>
      <c r="O211" s="2" t="str">
        <f aca="false">IFERROR(INDEX(Query_Source_View!$X:$X,MATCH(ROW()-14,Query_Source_View!$Z:$Z,0)),"")</f>
        <v>https://sensuallogic.com/artistcolordata</v>
      </c>
    </row>
    <row r="212" customFormat="false" ht="46.25" hidden="false" customHeight="false" outlineLevel="0" collapsed="false">
      <c r="A212" s="2" t="str">
        <f aca="false">IFERROR(INDEX(Query_Source_View!$A:$A,MATCH(ROW()-14,Query_Source_View!$Z:$Z,0)),"")</f>
        <v>PNT000150</v>
      </c>
      <c r="B212" s="2" t="str">
        <f aca="false">IFERROR(INDEX(Query_Source_View!$D:$D,MATCH(ROW()-14,Query_Source_View!$Z:$Z,0)),"")</f>
        <v>Winsor And Newton</v>
      </c>
      <c r="C212" s="2" t="str">
        <f aca="false">IFERROR(INDEX(Query_Source_View!$F:$F,MATCH(ROW()-14,Query_Source_View!$Z:$Z,0)),"")</f>
        <v>Acrylic</v>
      </c>
      <c r="D212" s="2" t="str">
        <f aca="false">IFERROR(INDEX(Query_Source_View!$H:$H,MATCH(ROW()-14,Query_Source_View!$Z:$Z,0)),"")</f>
        <v>Professional Acrylic</v>
      </c>
      <c r="E212" s="2" t="str">
        <f aca="false">IFERROR(INDEX(Query_Source_View!$J:$J,MATCH(ROW()-14,Query_Source_View!$Z:$Z,0)),"")</f>
        <v>Cadmium Red Light</v>
      </c>
      <c r="F212" s="2" t="str">
        <f aca="false">IFERROR(INDEX(Query_Source_View!$L:$L,MATCH(ROW()-14,Query_Source_View!$Z:$Z,0)),"")</f>
        <v>Red</v>
      </c>
      <c r="G212" s="2" t="str">
        <f aca="false">IFERROR(INDEX(Query_Source_View!$N:$N,MATCH(ROW()-14,Query_Source_View!$Z:$Z,0)),"")</f>
        <v>PR108</v>
      </c>
      <c r="H212" s="2" t="n">
        <f aca="false">IFERROR(INDEX(Query_Source_View!$P:$P,MATCH(ROW()-14,Query_Source_View!$Z:$Z,0)),"")</f>
        <v>1</v>
      </c>
      <c r="I212" s="2" t="str">
        <f aca="false">IFERROR(INDEX(Query_Source_View!$Q:$Q,MATCH(ROW()-14,Query_Source_View!$Z:$Z,0)),"")</f>
        <v>Yes</v>
      </c>
      <c r="J212" s="2" t="str">
        <f aca="false">IFERROR(INDEX(Query_Source_View!$R:$R,MATCH(ROW()-14,Query_Source_View!$Z:$Z,0)),"")</f>
        <v>Opaque</v>
      </c>
      <c r="K212" s="2" t="str">
        <f aca="false">IFERROR(INDEX(Query_Source_View!$T:$T,MATCH(ROW()-14,Query_Source_View!$Z:$Z,0)),"")</f>
        <v>Permanent</v>
      </c>
      <c r="L212" s="2" t="str">
        <f aca="false">IFERROR(INDEX(Query_Source_View!$U:$U,MATCH(ROW()-14,Query_Source_View!$Z:$Z,0)),"")</f>
        <v>I</v>
      </c>
      <c r="M212" s="2" t="n">
        <f aca="false">IFERROR(INDEX(Query_Source_View!$V:$V,MATCH(ROW()-14,Query_Source_View!$Z:$Z,0)),"")</f>
        <v>3</v>
      </c>
      <c r="N212" s="2" t="str">
        <f aca="false">IFERROR(INDEX(Query_Source_View!$W:$W,MATCH(ROW()-14,Query_Source_View!$Z:$Z,0)),"")</f>
        <v>Verified From Official Source</v>
      </c>
      <c r="O212" s="2" t="str">
        <f aca="false">IFERROR(INDEX(Query_Source_View!$X:$X,MATCH(ROW()-14,Query_Source_View!$Z:$Z,0)),"")</f>
        <v>https://www.winsornewton.com/pages/professional-acrylic-colour</v>
      </c>
    </row>
    <row r="213" customFormat="false" ht="46.25" hidden="false" customHeight="false" outlineLevel="0" collapsed="false">
      <c r="A213" s="2" t="str">
        <f aca="false">IFERROR(INDEX(Query_Source_View!$A:$A,MATCH(ROW()-14,Query_Source_View!$Z:$Z,0)),"")</f>
        <v>PNT000151</v>
      </c>
      <c r="B213" s="2" t="str">
        <f aca="false">IFERROR(INDEX(Query_Source_View!$D:$D,MATCH(ROW()-14,Query_Source_View!$Z:$Z,0)),"")</f>
        <v>Winsor And Newton</v>
      </c>
      <c r="C213" s="2" t="str">
        <f aca="false">IFERROR(INDEX(Query_Source_View!$F:$F,MATCH(ROW()-14,Query_Source_View!$Z:$Z,0)),"")</f>
        <v>Acrylic</v>
      </c>
      <c r="D213" s="2" t="str">
        <f aca="false">IFERROR(INDEX(Query_Source_View!$H:$H,MATCH(ROW()-14,Query_Source_View!$Z:$Z,0)),"")</f>
        <v>Professional Acrylic</v>
      </c>
      <c r="E213" s="2" t="str">
        <f aca="false">IFERROR(INDEX(Query_Source_View!$J:$J,MATCH(ROW()-14,Query_Source_View!$Z:$Z,0)),"")</f>
        <v>Cadmium Yellow Deep</v>
      </c>
      <c r="F213" s="2" t="str">
        <f aca="false">IFERROR(INDEX(Query_Source_View!$L:$L,MATCH(ROW()-14,Query_Source_View!$Z:$Z,0)),"")</f>
        <v>Yellow</v>
      </c>
      <c r="G213" s="2" t="str">
        <f aca="false">IFERROR(INDEX(Query_Source_View!$N:$N,MATCH(ROW()-14,Query_Source_View!$Z:$Z,0)),"")</f>
        <v>PO20</v>
      </c>
      <c r="H213" s="2" t="n">
        <f aca="false">IFERROR(INDEX(Query_Source_View!$P:$P,MATCH(ROW()-14,Query_Source_View!$Z:$Z,0)),"")</f>
        <v>2</v>
      </c>
      <c r="I213" s="2" t="str">
        <f aca="false">IFERROR(INDEX(Query_Source_View!$Q:$Q,MATCH(ROW()-14,Query_Source_View!$Z:$Z,0)),"")</f>
        <v>No</v>
      </c>
      <c r="J213" s="2" t="str">
        <f aca="false">IFERROR(INDEX(Query_Source_View!$R:$R,MATCH(ROW()-14,Query_Source_View!$Z:$Z,0)),"")</f>
        <v>Opaque</v>
      </c>
      <c r="K213" s="2" t="str">
        <f aca="false">IFERROR(INDEX(Query_Source_View!$T:$T,MATCH(ROW()-14,Query_Source_View!$Z:$Z,0)),"")</f>
        <v>Permanent</v>
      </c>
      <c r="L213" s="2" t="str">
        <f aca="false">IFERROR(INDEX(Query_Source_View!$U:$U,MATCH(ROW()-14,Query_Source_View!$Z:$Z,0)),"")</f>
        <v>I</v>
      </c>
      <c r="M213" s="2" t="n">
        <f aca="false">IFERROR(INDEX(Query_Source_View!$V:$V,MATCH(ROW()-14,Query_Source_View!$Z:$Z,0)),"")</f>
        <v>3</v>
      </c>
      <c r="N213" s="2" t="str">
        <f aca="false">IFERROR(INDEX(Query_Source_View!$W:$W,MATCH(ROW()-14,Query_Source_View!$Z:$Z,0)),"")</f>
        <v>Verified From Official Source</v>
      </c>
      <c r="O213" s="2" t="str">
        <f aca="false">IFERROR(INDEX(Query_Source_View!$X:$X,MATCH(ROW()-14,Query_Source_View!$Z:$Z,0)),"")</f>
        <v>https://www.winsornewton.com/pages/professional-acrylic-colour</v>
      </c>
    </row>
    <row r="214" customFormat="false" ht="46.25" hidden="false" customHeight="false" outlineLevel="0" collapsed="false">
      <c r="A214" s="2" t="str">
        <f aca="false">IFERROR(INDEX(Query_Source_View!$A:$A,MATCH(ROW()-14,Query_Source_View!$Z:$Z,0)),"")</f>
        <v>PNT000151</v>
      </c>
      <c r="B214" s="2" t="str">
        <f aca="false">IFERROR(INDEX(Query_Source_View!$D:$D,MATCH(ROW()-14,Query_Source_View!$Z:$Z,0)),"")</f>
        <v>Winsor And Newton</v>
      </c>
      <c r="C214" s="2" t="str">
        <f aca="false">IFERROR(INDEX(Query_Source_View!$F:$F,MATCH(ROW()-14,Query_Source_View!$Z:$Z,0)),"")</f>
        <v>Acrylic</v>
      </c>
      <c r="D214" s="2" t="str">
        <f aca="false">IFERROR(INDEX(Query_Source_View!$H:$H,MATCH(ROW()-14,Query_Source_View!$Z:$Z,0)),"")</f>
        <v>Professional Acrylic</v>
      </c>
      <c r="E214" s="2" t="str">
        <f aca="false">IFERROR(INDEX(Query_Source_View!$J:$J,MATCH(ROW()-14,Query_Source_View!$Z:$Z,0)),"")</f>
        <v>Cadmium Yellow Deep</v>
      </c>
      <c r="F214" s="2" t="str">
        <f aca="false">IFERROR(INDEX(Query_Source_View!$L:$L,MATCH(ROW()-14,Query_Source_View!$Z:$Z,0)),"")</f>
        <v>Yellow</v>
      </c>
      <c r="G214" s="2" t="str">
        <f aca="false">IFERROR(INDEX(Query_Source_View!$N:$N,MATCH(ROW()-14,Query_Source_View!$Z:$Z,0)),"")</f>
        <v>PY35</v>
      </c>
      <c r="H214" s="2" t="n">
        <f aca="false">IFERROR(INDEX(Query_Source_View!$P:$P,MATCH(ROW()-14,Query_Source_View!$Z:$Z,0)),"")</f>
        <v>2</v>
      </c>
      <c r="I214" s="2" t="str">
        <f aca="false">IFERROR(INDEX(Query_Source_View!$Q:$Q,MATCH(ROW()-14,Query_Source_View!$Z:$Z,0)),"")</f>
        <v>No</v>
      </c>
      <c r="J214" s="2" t="str">
        <f aca="false">IFERROR(INDEX(Query_Source_View!$R:$R,MATCH(ROW()-14,Query_Source_View!$Z:$Z,0)),"")</f>
        <v>Opaque</v>
      </c>
      <c r="K214" s="2" t="str">
        <f aca="false">IFERROR(INDEX(Query_Source_View!$T:$T,MATCH(ROW()-14,Query_Source_View!$Z:$Z,0)),"")</f>
        <v>Permanent</v>
      </c>
      <c r="L214" s="2" t="str">
        <f aca="false">IFERROR(INDEX(Query_Source_View!$U:$U,MATCH(ROW()-14,Query_Source_View!$Z:$Z,0)),"")</f>
        <v>I</v>
      </c>
      <c r="M214" s="2" t="n">
        <f aca="false">IFERROR(INDEX(Query_Source_View!$V:$V,MATCH(ROW()-14,Query_Source_View!$Z:$Z,0)),"")</f>
        <v>3</v>
      </c>
      <c r="N214" s="2" t="str">
        <f aca="false">IFERROR(INDEX(Query_Source_View!$W:$W,MATCH(ROW()-14,Query_Source_View!$Z:$Z,0)),"")</f>
        <v>Verified From Official Source</v>
      </c>
      <c r="O214" s="2" t="str">
        <f aca="false">IFERROR(INDEX(Query_Source_View!$X:$X,MATCH(ROW()-14,Query_Source_View!$Z:$Z,0)),"")</f>
        <v>https://www.winsornewton.com/pages/professional-acrylic-colour</v>
      </c>
    </row>
    <row r="215" customFormat="false" ht="46.25" hidden="false" customHeight="false" outlineLevel="0" collapsed="false">
      <c r="A215" s="2" t="str">
        <f aca="false">IFERROR(INDEX(Query_Source_View!$A:$A,MATCH(ROW()-14,Query_Source_View!$Z:$Z,0)),"")</f>
        <v>PNT000152</v>
      </c>
      <c r="B215" s="2" t="str">
        <f aca="false">IFERROR(INDEX(Query_Source_View!$D:$D,MATCH(ROW()-14,Query_Source_View!$Z:$Z,0)),"")</f>
        <v>Winsor And Newton</v>
      </c>
      <c r="C215" s="2" t="str">
        <f aca="false">IFERROR(INDEX(Query_Source_View!$F:$F,MATCH(ROW()-14,Query_Source_View!$Z:$Z,0)),"")</f>
        <v>Acrylic</v>
      </c>
      <c r="D215" s="2" t="str">
        <f aca="false">IFERROR(INDEX(Query_Source_View!$H:$H,MATCH(ROW()-14,Query_Source_View!$Z:$Z,0)),"")</f>
        <v>Professional Acrylic</v>
      </c>
      <c r="E215" s="2" t="str">
        <f aca="false">IFERROR(INDEX(Query_Source_View!$J:$J,MATCH(ROW()-14,Query_Source_View!$Z:$Z,0)),"")</f>
        <v>Cadmium Yellow Medium</v>
      </c>
      <c r="F215" s="2" t="str">
        <f aca="false">IFERROR(INDEX(Query_Source_View!$L:$L,MATCH(ROW()-14,Query_Source_View!$Z:$Z,0)),"")</f>
        <v>Yellow</v>
      </c>
      <c r="G215" s="2" t="str">
        <f aca="false">IFERROR(INDEX(Query_Source_View!$N:$N,MATCH(ROW()-14,Query_Source_View!$Z:$Z,0)),"")</f>
        <v>PY35</v>
      </c>
      <c r="H215" s="2" t="n">
        <f aca="false">IFERROR(INDEX(Query_Source_View!$P:$P,MATCH(ROW()-14,Query_Source_View!$Z:$Z,0)),"")</f>
        <v>1</v>
      </c>
      <c r="I215" s="2" t="str">
        <f aca="false">IFERROR(INDEX(Query_Source_View!$Q:$Q,MATCH(ROW()-14,Query_Source_View!$Z:$Z,0)),"")</f>
        <v>Yes</v>
      </c>
      <c r="J215" s="2" t="str">
        <f aca="false">IFERROR(INDEX(Query_Source_View!$R:$R,MATCH(ROW()-14,Query_Source_View!$Z:$Z,0)),"")</f>
        <v>Opaque</v>
      </c>
      <c r="K215" s="2" t="str">
        <f aca="false">IFERROR(INDEX(Query_Source_View!$T:$T,MATCH(ROW()-14,Query_Source_View!$Z:$Z,0)),"")</f>
        <v>Permanent</v>
      </c>
      <c r="L215" s="2" t="str">
        <f aca="false">IFERROR(INDEX(Query_Source_View!$U:$U,MATCH(ROW()-14,Query_Source_View!$Z:$Z,0)),"")</f>
        <v>I</v>
      </c>
      <c r="M215" s="2" t="n">
        <f aca="false">IFERROR(INDEX(Query_Source_View!$V:$V,MATCH(ROW()-14,Query_Source_View!$Z:$Z,0)),"")</f>
        <v>3</v>
      </c>
      <c r="N215" s="2" t="str">
        <f aca="false">IFERROR(INDEX(Query_Source_View!$W:$W,MATCH(ROW()-14,Query_Source_View!$Z:$Z,0)),"")</f>
        <v>Verified From Official Source</v>
      </c>
      <c r="O215" s="2" t="str">
        <f aca="false">IFERROR(INDEX(Query_Source_View!$X:$X,MATCH(ROW()-14,Query_Source_View!$Z:$Z,0)),"")</f>
        <v>https://www.winsornewton.com/pages/professional-acrylic-colour</v>
      </c>
    </row>
    <row r="216" customFormat="false" ht="46.25" hidden="false" customHeight="false" outlineLevel="0" collapsed="false">
      <c r="A216" s="2" t="str">
        <f aca="false">IFERROR(INDEX(Query_Source_View!$A:$A,MATCH(ROW()-14,Query_Source_View!$Z:$Z,0)),"")</f>
        <v>PNT000153</v>
      </c>
      <c r="B216" s="2" t="str">
        <f aca="false">IFERROR(INDEX(Query_Source_View!$D:$D,MATCH(ROW()-14,Query_Source_View!$Z:$Z,0)),"")</f>
        <v>Winsor And Newton</v>
      </c>
      <c r="C216" s="2" t="str">
        <f aca="false">IFERROR(INDEX(Query_Source_View!$F:$F,MATCH(ROW()-14,Query_Source_View!$Z:$Z,0)),"")</f>
        <v>Acrylic</v>
      </c>
      <c r="D216" s="2" t="str">
        <f aca="false">IFERROR(INDEX(Query_Source_View!$H:$H,MATCH(ROW()-14,Query_Source_View!$Z:$Z,0)),"")</f>
        <v>Professional Acrylic</v>
      </c>
      <c r="E216" s="2" t="str">
        <f aca="false">IFERROR(INDEX(Query_Source_View!$J:$J,MATCH(ROW()-14,Query_Source_View!$Z:$Z,0)),"")</f>
        <v>Cerulean Blue Chromium</v>
      </c>
      <c r="F216" s="2" t="str">
        <f aca="false">IFERROR(INDEX(Query_Source_View!$L:$L,MATCH(ROW()-14,Query_Source_View!$Z:$Z,0)),"")</f>
        <v>Blue</v>
      </c>
      <c r="G216" s="2" t="str">
        <f aca="false">IFERROR(INDEX(Query_Source_View!$N:$N,MATCH(ROW()-14,Query_Source_View!$Z:$Z,0)),"")</f>
        <v>PB36</v>
      </c>
      <c r="H216" s="2" t="n">
        <f aca="false">IFERROR(INDEX(Query_Source_View!$P:$P,MATCH(ROW()-14,Query_Source_View!$Z:$Z,0)),"")</f>
        <v>1</v>
      </c>
      <c r="I216" s="2" t="str">
        <f aca="false">IFERROR(INDEX(Query_Source_View!$Q:$Q,MATCH(ROW()-14,Query_Source_View!$Z:$Z,0)),"")</f>
        <v>Yes</v>
      </c>
      <c r="J216" s="2" t="str">
        <f aca="false">IFERROR(INDEX(Query_Source_View!$R:$R,MATCH(ROW()-14,Query_Source_View!$Z:$Z,0)),"")</f>
        <v>Opaque</v>
      </c>
      <c r="K216" s="2" t="str">
        <f aca="false">IFERROR(INDEX(Query_Source_View!$T:$T,MATCH(ROW()-14,Query_Source_View!$Z:$Z,0)),"")</f>
        <v>Extremely Permanent</v>
      </c>
      <c r="L216" s="2" t="str">
        <f aca="false">IFERROR(INDEX(Query_Source_View!$U:$U,MATCH(ROW()-14,Query_Source_View!$Z:$Z,0)),"")</f>
        <v>I</v>
      </c>
      <c r="M216" s="2" t="n">
        <f aca="false">IFERROR(INDEX(Query_Source_View!$V:$V,MATCH(ROW()-14,Query_Source_View!$Z:$Z,0)),"")</f>
        <v>4</v>
      </c>
      <c r="N216" s="2" t="str">
        <f aca="false">IFERROR(INDEX(Query_Source_View!$W:$W,MATCH(ROW()-14,Query_Source_View!$Z:$Z,0)),"")</f>
        <v>Verified From Official Source</v>
      </c>
      <c r="O216" s="2" t="str">
        <f aca="false">IFERROR(INDEX(Query_Source_View!$X:$X,MATCH(ROW()-14,Query_Source_View!$Z:$Z,0)),"")</f>
        <v>https://www.winsornewton.com/pages/professional-acrylic-colour</v>
      </c>
    </row>
    <row r="217" customFormat="false" ht="46.25" hidden="false" customHeight="false" outlineLevel="0" collapsed="false">
      <c r="A217" s="2" t="str">
        <f aca="false">IFERROR(INDEX(Query_Source_View!$A:$A,MATCH(ROW()-14,Query_Source_View!$Z:$Z,0)),"")</f>
        <v>PNT000154</v>
      </c>
      <c r="B217" s="2" t="str">
        <f aca="false">IFERROR(INDEX(Query_Source_View!$D:$D,MATCH(ROW()-14,Query_Source_View!$Z:$Z,0)),"")</f>
        <v>Winsor And Newton</v>
      </c>
      <c r="C217" s="2" t="str">
        <f aca="false">IFERROR(INDEX(Query_Source_View!$F:$F,MATCH(ROW()-14,Query_Source_View!$Z:$Z,0)),"")</f>
        <v>Acrylic</v>
      </c>
      <c r="D217" s="2" t="str">
        <f aca="false">IFERROR(INDEX(Query_Source_View!$H:$H,MATCH(ROW()-14,Query_Source_View!$Z:$Z,0)),"")</f>
        <v>Professional Acrylic</v>
      </c>
      <c r="E217" s="2" t="str">
        <f aca="false">IFERROR(INDEX(Query_Source_View!$J:$J,MATCH(ROW()-14,Query_Source_View!$Z:$Z,0)),"")</f>
        <v>Cerulean Blue</v>
      </c>
      <c r="F217" s="2" t="str">
        <f aca="false">IFERROR(INDEX(Query_Source_View!$L:$L,MATCH(ROW()-14,Query_Source_View!$Z:$Z,0)),"")</f>
        <v>Blue</v>
      </c>
      <c r="G217" s="2" t="str">
        <f aca="false">IFERROR(INDEX(Query_Source_View!$N:$N,MATCH(ROW()-14,Query_Source_View!$Z:$Z,0)),"")</f>
        <v>PB35</v>
      </c>
      <c r="H217" s="2" t="n">
        <f aca="false">IFERROR(INDEX(Query_Source_View!$P:$P,MATCH(ROW()-14,Query_Source_View!$Z:$Z,0)),"")</f>
        <v>1</v>
      </c>
      <c r="I217" s="2" t="str">
        <f aca="false">IFERROR(INDEX(Query_Source_View!$Q:$Q,MATCH(ROW()-14,Query_Source_View!$Z:$Z,0)),"")</f>
        <v>Yes</v>
      </c>
      <c r="J217" s="2" t="str">
        <f aca="false">IFERROR(INDEX(Query_Source_View!$R:$R,MATCH(ROW()-14,Query_Source_View!$Z:$Z,0)),"")</f>
        <v>Opaque</v>
      </c>
      <c r="K217" s="2" t="str">
        <f aca="false">IFERROR(INDEX(Query_Source_View!$T:$T,MATCH(ROW()-14,Query_Source_View!$Z:$Z,0)),"")</f>
        <v>Extremely Permanent</v>
      </c>
      <c r="L217" s="2" t="str">
        <f aca="false">IFERROR(INDEX(Query_Source_View!$U:$U,MATCH(ROW()-14,Query_Source_View!$Z:$Z,0)),"")</f>
        <v>I</v>
      </c>
      <c r="M217" s="2" t="n">
        <f aca="false">IFERROR(INDEX(Query_Source_View!$V:$V,MATCH(ROW()-14,Query_Source_View!$Z:$Z,0)),"")</f>
        <v>5</v>
      </c>
      <c r="N217" s="2" t="str">
        <f aca="false">IFERROR(INDEX(Query_Source_View!$W:$W,MATCH(ROW()-14,Query_Source_View!$Z:$Z,0)),"")</f>
        <v>Verified From Official Source</v>
      </c>
      <c r="O217" s="2" t="str">
        <f aca="false">IFERROR(INDEX(Query_Source_View!$X:$X,MATCH(ROW()-14,Query_Source_View!$Z:$Z,0)),"")</f>
        <v>https://www.winsornewton.com/pages/professional-acrylic-colour</v>
      </c>
    </row>
    <row r="218" customFormat="false" ht="46.25" hidden="false" customHeight="false" outlineLevel="0" collapsed="false">
      <c r="A218" s="2" t="str">
        <f aca="false">IFERROR(INDEX(Query_Source_View!$A:$A,MATCH(ROW()-14,Query_Source_View!$Z:$Z,0)),"")</f>
        <v>PNT000155</v>
      </c>
      <c r="B218" s="2" t="str">
        <f aca="false">IFERROR(INDEX(Query_Source_View!$D:$D,MATCH(ROW()-14,Query_Source_View!$Z:$Z,0)),"")</f>
        <v>Winsor And Newton</v>
      </c>
      <c r="C218" s="2" t="str">
        <f aca="false">IFERROR(INDEX(Query_Source_View!$F:$F,MATCH(ROW()-14,Query_Source_View!$Z:$Z,0)),"")</f>
        <v>Acrylic</v>
      </c>
      <c r="D218" s="2" t="str">
        <f aca="false">IFERROR(INDEX(Query_Source_View!$H:$H,MATCH(ROW()-14,Query_Source_View!$Z:$Z,0)),"")</f>
        <v>Professional Acrylic</v>
      </c>
      <c r="E218" s="2" t="str">
        <f aca="false">IFERROR(INDEX(Query_Source_View!$J:$J,MATCH(ROW()-14,Query_Source_View!$Z:$Z,0)),"")</f>
        <v>Chromium Oxide Green</v>
      </c>
      <c r="F218" s="2" t="str">
        <f aca="false">IFERROR(INDEX(Query_Source_View!$L:$L,MATCH(ROW()-14,Query_Source_View!$Z:$Z,0)),"")</f>
        <v>Green</v>
      </c>
      <c r="G218" s="2" t="str">
        <f aca="false">IFERROR(INDEX(Query_Source_View!$N:$N,MATCH(ROW()-14,Query_Source_View!$Z:$Z,0)),"")</f>
        <v>PG17</v>
      </c>
      <c r="H218" s="2" t="n">
        <f aca="false">IFERROR(INDEX(Query_Source_View!$P:$P,MATCH(ROW()-14,Query_Source_View!$Z:$Z,0)),"")</f>
        <v>1</v>
      </c>
      <c r="I218" s="2" t="str">
        <f aca="false">IFERROR(INDEX(Query_Source_View!$Q:$Q,MATCH(ROW()-14,Query_Source_View!$Z:$Z,0)),"")</f>
        <v>Yes</v>
      </c>
      <c r="J218" s="2" t="str">
        <f aca="false">IFERROR(INDEX(Query_Source_View!$R:$R,MATCH(ROW()-14,Query_Source_View!$Z:$Z,0)),"")</f>
        <v>Opaque</v>
      </c>
      <c r="K218" s="2" t="str">
        <f aca="false">IFERROR(INDEX(Query_Source_View!$T:$T,MATCH(ROW()-14,Query_Source_View!$Z:$Z,0)),"")</f>
        <v>Extremely Permanent</v>
      </c>
      <c r="L218" s="2" t="str">
        <f aca="false">IFERROR(INDEX(Query_Source_View!$U:$U,MATCH(ROW()-14,Query_Source_View!$Z:$Z,0)),"")</f>
        <v>I</v>
      </c>
      <c r="M218" s="2" t="n">
        <f aca="false">IFERROR(INDEX(Query_Source_View!$V:$V,MATCH(ROW()-14,Query_Source_View!$Z:$Z,0)),"")</f>
        <v>3</v>
      </c>
      <c r="N218" s="2" t="str">
        <f aca="false">IFERROR(INDEX(Query_Source_View!$W:$W,MATCH(ROW()-14,Query_Source_View!$Z:$Z,0)),"")</f>
        <v>Verified From Official Source</v>
      </c>
      <c r="O218" s="2" t="str">
        <f aca="false">IFERROR(INDEX(Query_Source_View!$X:$X,MATCH(ROW()-14,Query_Source_View!$Z:$Z,0)),"")</f>
        <v>https://www.winsornewton.com/pages/professional-acrylic-colour</v>
      </c>
    </row>
    <row r="219" customFormat="false" ht="46.25" hidden="false" customHeight="false" outlineLevel="0" collapsed="false">
      <c r="A219" s="2" t="str">
        <f aca="false">IFERROR(INDEX(Query_Source_View!$A:$A,MATCH(ROW()-14,Query_Source_View!$Z:$Z,0)),"")</f>
        <v>PNT000156</v>
      </c>
      <c r="B219" s="2" t="str">
        <f aca="false">IFERROR(INDEX(Query_Source_View!$D:$D,MATCH(ROW()-14,Query_Source_View!$Z:$Z,0)),"")</f>
        <v>Winsor And Newton</v>
      </c>
      <c r="C219" s="2" t="str">
        <f aca="false">IFERROR(INDEX(Query_Source_View!$F:$F,MATCH(ROW()-14,Query_Source_View!$Z:$Z,0)),"")</f>
        <v>Acrylic</v>
      </c>
      <c r="D219" s="2" t="str">
        <f aca="false">IFERROR(INDEX(Query_Source_View!$H:$H,MATCH(ROW()-14,Query_Source_View!$Z:$Z,0)),"")</f>
        <v>Professional Acrylic</v>
      </c>
      <c r="E219" s="2" t="str">
        <f aca="false">IFERROR(INDEX(Query_Source_View!$J:$J,MATCH(ROW()-14,Query_Source_View!$Z:$Z,0)),"")</f>
        <v>Cobalt Blue</v>
      </c>
      <c r="F219" s="2" t="str">
        <f aca="false">IFERROR(INDEX(Query_Source_View!$L:$L,MATCH(ROW()-14,Query_Source_View!$Z:$Z,0)),"")</f>
        <v>Blue</v>
      </c>
      <c r="G219" s="2" t="str">
        <f aca="false">IFERROR(INDEX(Query_Source_View!$N:$N,MATCH(ROW()-14,Query_Source_View!$Z:$Z,0)),"")</f>
        <v>PB28</v>
      </c>
      <c r="H219" s="2" t="n">
        <f aca="false">IFERROR(INDEX(Query_Source_View!$P:$P,MATCH(ROW()-14,Query_Source_View!$Z:$Z,0)),"")</f>
        <v>1</v>
      </c>
      <c r="I219" s="2" t="str">
        <f aca="false">IFERROR(INDEX(Query_Source_View!$Q:$Q,MATCH(ROW()-14,Query_Source_View!$Z:$Z,0)),"")</f>
        <v>Yes</v>
      </c>
      <c r="J219" s="2" t="str">
        <f aca="false">IFERROR(INDEX(Query_Source_View!$R:$R,MATCH(ROW()-14,Query_Source_View!$Z:$Z,0)),"")</f>
        <v>Opaque</v>
      </c>
      <c r="K219" s="2" t="str">
        <f aca="false">IFERROR(INDEX(Query_Source_View!$T:$T,MATCH(ROW()-14,Query_Source_View!$Z:$Z,0)),"")</f>
        <v>Extremely Permanent</v>
      </c>
      <c r="L219" s="2" t="str">
        <f aca="false">IFERROR(INDEX(Query_Source_View!$U:$U,MATCH(ROW()-14,Query_Source_View!$Z:$Z,0)),"")</f>
        <v>I</v>
      </c>
      <c r="M219" s="2" t="n">
        <f aca="false">IFERROR(INDEX(Query_Source_View!$V:$V,MATCH(ROW()-14,Query_Source_View!$Z:$Z,0)),"")</f>
        <v>4</v>
      </c>
      <c r="N219" s="2" t="str">
        <f aca="false">IFERROR(INDEX(Query_Source_View!$W:$W,MATCH(ROW()-14,Query_Source_View!$Z:$Z,0)),"")</f>
        <v>Verified From Official Source</v>
      </c>
      <c r="O219" s="2" t="str">
        <f aca="false">IFERROR(INDEX(Query_Source_View!$X:$X,MATCH(ROW()-14,Query_Source_View!$Z:$Z,0)),"")</f>
        <v>https://www.winsornewton.com/pages/professional-acrylic-colour</v>
      </c>
    </row>
    <row r="220" customFormat="false" ht="46.25" hidden="false" customHeight="false" outlineLevel="0" collapsed="false">
      <c r="A220" s="2" t="str">
        <f aca="false">IFERROR(INDEX(Query_Source_View!$A:$A,MATCH(ROW()-14,Query_Source_View!$Z:$Z,0)),"")</f>
        <v>PNT000157</v>
      </c>
      <c r="B220" s="2" t="str">
        <f aca="false">IFERROR(INDEX(Query_Source_View!$D:$D,MATCH(ROW()-14,Query_Source_View!$Z:$Z,0)),"")</f>
        <v>Winsor And Newton</v>
      </c>
      <c r="C220" s="2" t="str">
        <f aca="false">IFERROR(INDEX(Query_Source_View!$F:$F,MATCH(ROW()-14,Query_Source_View!$Z:$Z,0)),"")</f>
        <v>Acrylic</v>
      </c>
      <c r="D220" s="2" t="str">
        <f aca="false">IFERROR(INDEX(Query_Source_View!$H:$H,MATCH(ROW()-14,Query_Source_View!$Z:$Z,0)),"")</f>
        <v>Professional Acrylic</v>
      </c>
      <c r="E220" s="2" t="str">
        <f aca="false">IFERROR(INDEX(Query_Source_View!$J:$J,MATCH(ROW()-14,Query_Source_View!$Z:$Z,0)),"")</f>
        <v>Cobalt Blue Deep</v>
      </c>
      <c r="F220" s="2" t="str">
        <f aca="false">IFERROR(INDEX(Query_Source_View!$L:$L,MATCH(ROW()-14,Query_Source_View!$Z:$Z,0)),"")</f>
        <v>Blue</v>
      </c>
      <c r="G220" s="2" t="str">
        <f aca="false">IFERROR(INDEX(Query_Source_View!$N:$N,MATCH(ROW()-14,Query_Source_View!$Z:$Z,0)),"")</f>
        <v>PB73</v>
      </c>
      <c r="H220" s="2" t="n">
        <f aca="false">IFERROR(INDEX(Query_Source_View!$P:$P,MATCH(ROW()-14,Query_Source_View!$Z:$Z,0)),"")</f>
        <v>1</v>
      </c>
      <c r="I220" s="2" t="str">
        <f aca="false">IFERROR(INDEX(Query_Source_View!$Q:$Q,MATCH(ROW()-14,Query_Source_View!$Z:$Z,0)),"")</f>
        <v>Yes</v>
      </c>
      <c r="J220" s="2" t="str">
        <f aca="false">IFERROR(INDEX(Query_Source_View!$R:$R,MATCH(ROW()-14,Query_Source_View!$Z:$Z,0)),"")</f>
        <v>Semi Opaque</v>
      </c>
      <c r="K220" s="2" t="str">
        <f aca="false">IFERROR(INDEX(Query_Source_View!$T:$T,MATCH(ROW()-14,Query_Source_View!$Z:$Z,0)),"")</f>
        <v>Extremely Permanent</v>
      </c>
      <c r="L220" s="2" t="str">
        <f aca="false">IFERROR(INDEX(Query_Source_View!$U:$U,MATCH(ROW()-14,Query_Source_View!$Z:$Z,0)),"")</f>
        <v>I</v>
      </c>
      <c r="M220" s="2" t="n">
        <f aca="false">IFERROR(INDEX(Query_Source_View!$V:$V,MATCH(ROW()-14,Query_Source_View!$Z:$Z,0)),"")</f>
        <v>5</v>
      </c>
      <c r="N220" s="2" t="str">
        <f aca="false">IFERROR(INDEX(Query_Source_View!$W:$W,MATCH(ROW()-14,Query_Source_View!$Z:$Z,0)),"")</f>
        <v>Verified From Official Source</v>
      </c>
      <c r="O220" s="2" t="str">
        <f aca="false">IFERROR(INDEX(Query_Source_View!$X:$X,MATCH(ROW()-14,Query_Source_View!$Z:$Z,0)),"")</f>
        <v>https://www.winsornewton.com/pages/professional-acrylic-colour</v>
      </c>
    </row>
    <row r="221" customFormat="false" ht="46.25" hidden="false" customHeight="false" outlineLevel="0" collapsed="false">
      <c r="A221" s="2" t="str">
        <f aca="false">IFERROR(INDEX(Query_Source_View!$A:$A,MATCH(ROW()-14,Query_Source_View!$Z:$Z,0)),"")</f>
        <v>PNT000158</v>
      </c>
      <c r="B221" s="2" t="str">
        <f aca="false">IFERROR(INDEX(Query_Source_View!$D:$D,MATCH(ROW()-14,Query_Source_View!$Z:$Z,0)),"")</f>
        <v>Winsor And Newton</v>
      </c>
      <c r="C221" s="2" t="str">
        <f aca="false">IFERROR(INDEX(Query_Source_View!$F:$F,MATCH(ROW()-14,Query_Source_View!$Z:$Z,0)),"")</f>
        <v>Acrylic</v>
      </c>
      <c r="D221" s="2" t="str">
        <f aca="false">IFERROR(INDEX(Query_Source_View!$H:$H,MATCH(ROW()-14,Query_Source_View!$Z:$Z,0)),"")</f>
        <v>Professional Acrylic</v>
      </c>
      <c r="E221" s="2" t="str">
        <f aca="false">IFERROR(INDEX(Query_Source_View!$J:$J,MATCH(ROW()-14,Query_Source_View!$Z:$Z,0)),"")</f>
        <v>Cobalt Green</v>
      </c>
      <c r="F221" s="2" t="str">
        <f aca="false">IFERROR(INDEX(Query_Source_View!$L:$L,MATCH(ROW()-14,Query_Source_View!$Z:$Z,0)),"")</f>
        <v>Blue</v>
      </c>
      <c r="G221" s="2" t="str">
        <f aca="false">IFERROR(INDEX(Query_Source_View!$N:$N,MATCH(ROW()-14,Query_Source_View!$Z:$Z,0)),"")</f>
        <v>PG50</v>
      </c>
      <c r="H221" s="2" t="n">
        <f aca="false">IFERROR(INDEX(Query_Source_View!$P:$P,MATCH(ROW()-14,Query_Source_View!$Z:$Z,0)),"")</f>
        <v>1</v>
      </c>
      <c r="I221" s="2" t="str">
        <f aca="false">IFERROR(INDEX(Query_Source_View!$Q:$Q,MATCH(ROW()-14,Query_Source_View!$Z:$Z,0)),"")</f>
        <v>Yes</v>
      </c>
      <c r="J221" s="2" t="str">
        <f aca="false">IFERROR(INDEX(Query_Source_View!$R:$R,MATCH(ROW()-14,Query_Source_View!$Z:$Z,0)),"")</f>
        <v>Opaque</v>
      </c>
      <c r="K221" s="2" t="str">
        <f aca="false">IFERROR(INDEX(Query_Source_View!$T:$T,MATCH(ROW()-14,Query_Source_View!$Z:$Z,0)),"")</f>
        <v>Extremely Permanent</v>
      </c>
      <c r="L221" s="2" t="str">
        <f aca="false">IFERROR(INDEX(Query_Source_View!$U:$U,MATCH(ROW()-14,Query_Source_View!$Z:$Z,0)),"")</f>
        <v>I</v>
      </c>
      <c r="M221" s="2" t="n">
        <f aca="false">IFERROR(INDEX(Query_Source_View!$V:$V,MATCH(ROW()-14,Query_Source_View!$Z:$Z,0)),"")</f>
        <v>4</v>
      </c>
      <c r="N221" s="2" t="str">
        <f aca="false">IFERROR(INDEX(Query_Source_View!$W:$W,MATCH(ROW()-14,Query_Source_View!$Z:$Z,0)),"")</f>
        <v>Verified From Official Source</v>
      </c>
      <c r="O221" s="2" t="str">
        <f aca="false">IFERROR(INDEX(Query_Source_View!$X:$X,MATCH(ROW()-14,Query_Source_View!$Z:$Z,0)),"")</f>
        <v>https://www.winsornewton.com/pages/professional-acrylic-colour</v>
      </c>
    </row>
    <row r="222" customFormat="false" ht="46.25" hidden="false" customHeight="false" outlineLevel="0" collapsed="false">
      <c r="A222" s="2" t="str">
        <f aca="false">IFERROR(INDEX(Query_Source_View!$A:$A,MATCH(ROW()-14,Query_Source_View!$Z:$Z,0)),"")</f>
        <v>PNT000159</v>
      </c>
      <c r="B222" s="2" t="str">
        <f aca="false">IFERROR(INDEX(Query_Source_View!$D:$D,MATCH(ROW()-14,Query_Source_View!$Z:$Z,0)),"")</f>
        <v>Winsor And Newton</v>
      </c>
      <c r="C222" s="2" t="str">
        <f aca="false">IFERROR(INDEX(Query_Source_View!$F:$F,MATCH(ROW()-14,Query_Source_View!$Z:$Z,0)),"")</f>
        <v>Acrylic</v>
      </c>
      <c r="D222" s="2" t="str">
        <f aca="false">IFERROR(INDEX(Query_Source_View!$H:$H,MATCH(ROW()-14,Query_Source_View!$Z:$Z,0)),"")</f>
        <v>Professional Acrylic</v>
      </c>
      <c r="E222" s="2" t="str">
        <f aca="false">IFERROR(INDEX(Query_Source_View!$J:$J,MATCH(ROW()-14,Query_Source_View!$Z:$Z,0)),"")</f>
        <v>Cobalt Green Deep</v>
      </c>
      <c r="F222" s="2" t="str">
        <f aca="false">IFERROR(INDEX(Query_Source_View!$L:$L,MATCH(ROW()-14,Query_Source_View!$Z:$Z,0)),"")</f>
        <v>Blue</v>
      </c>
      <c r="G222" s="2" t="str">
        <f aca="false">IFERROR(INDEX(Query_Source_View!$N:$N,MATCH(ROW()-14,Query_Source_View!$Z:$Z,0)),"")</f>
        <v>PG26</v>
      </c>
      <c r="H222" s="2" t="n">
        <f aca="false">IFERROR(INDEX(Query_Source_View!$P:$P,MATCH(ROW()-14,Query_Source_View!$Z:$Z,0)),"")</f>
        <v>1</v>
      </c>
      <c r="I222" s="2" t="str">
        <f aca="false">IFERROR(INDEX(Query_Source_View!$Q:$Q,MATCH(ROW()-14,Query_Source_View!$Z:$Z,0)),"")</f>
        <v>Yes</v>
      </c>
      <c r="J222" s="2" t="str">
        <f aca="false">IFERROR(INDEX(Query_Source_View!$R:$R,MATCH(ROW()-14,Query_Source_View!$Z:$Z,0)),"")</f>
        <v>Semi Opaque</v>
      </c>
      <c r="K222" s="2" t="str">
        <f aca="false">IFERROR(INDEX(Query_Source_View!$T:$T,MATCH(ROW()-14,Query_Source_View!$Z:$Z,0)),"")</f>
        <v>Extremely Permanent</v>
      </c>
      <c r="L222" s="2" t="str">
        <f aca="false">IFERROR(INDEX(Query_Source_View!$U:$U,MATCH(ROW()-14,Query_Source_View!$Z:$Z,0)),"")</f>
        <v>I</v>
      </c>
      <c r="M222" s="2" t="n">
        <f aca="false">IFERROR(INDEX(Query_Source_View!$V:$V,MATCH(ROW()-14,Query_Source_View!$Z:$Z,0)),"")</f>
        <v>3</v>
      </c>
      <c r="N222" s="2" t="str">
        <f aca="false">IFERROR(INDEX(Query_Source_View!$W:$W,MATCH(ROW()-14,Query_Source_View!$Z:$Z,0)),"")</f>
        <v>Verified From Official Source</v>
      </c>
      <c r="O222" s="2" t="str">
        <f aca="false">IFERROR(INDEX(Query_Source_View!$X:$X,MATCH(ROW()-14,Query_Source_View!$Z:$Z,0)),"")</f>
        <v>https://www.winsornewton.com/pages/professional-acrylic-colour</v>
      </c>
    </row>
    <row r="223" customFormat="false" ht="46.25" hidden="false" customHeight="false" outlineLevel="0" collapsed="false">
      <c r="A223" s="2" t="str">
        <f aca="false">IFERROR(INDEX(Query_Source_View!$A:$A,MATCH(ROW()-14,Query_Source_View!$Z:$Z,0)),"")</f>
        <v>PNT000160</v>
      </c>
      <c r="B223" s="2" t="str">
        <f aca="false">IFERROR(INDEX(Query_Source_View!$D:$D,MATCH(ROW()-14,Query_Source_View!$Z:$Z,0)),"")</f>
        <v>Winsor And Newton</v>
      </c>
      <c r="C223" s="2" t="str">
        <f aca="false">IFERROR(INDEX(Query_Source_View!$F:$F,MATCH(ROW()-14,Query_Source_View!$Z:$Z,0)),"")</f>
        <v>Acrylic</v>
      </c>
      <c r="D223" s="2" t="str">
        <f aca="false">IFERROR(INDEX(Query_Source_View!$H:$H,MATCH(ROW()-14,Query_Source_View!$Z:$Z,0)),"")</f>
        <v>Professional Acrylic</v>
      </c>
      <c r="E223" s="2" t="str">
        <f aca="false">IFERROR(INDEX(Query_Source_View!$J:$J,MATCH(ROW()-14,Query_Source_View!$Z:$Z,0)),"")</f>
        <v>Cobalt Turquoise Light</v>
      </c>
      <c r="F223" s="2" t="str">
        <f aca="false">IFERROR(INDEX(Query_Source_View!$L:$L,MATCH(ROW()-14,Query_Source_View!$Z:$Z,0)),"")</f>
        <v>Blue</v>
      </c>
      <c r="G223" s="2" t="str">
        <f aca="false">IFERROR(INDEX(Query_Source_View!$N:$N,MATCH(ROW()-14,Query_Source_View!$Z:$Z,0)),"")</f>
        <v>PG50</v>
      </c>
      <c r="H223" s="2" t="n">
        <f aca="false">IFERROR(INDEX(Query_Source_View!$P:$P,MATCH(ROW()-14,Query_Source_View!$Z:$Z,0)),"")</f>
        <v>1</v>
      </c>
      <c r="I223" s="2" t="str">
        <f aca="false">IFERROR(INDEX(Query_Source_View!$Q:$Q,MATCH(ROW()-14,Query_Source_View!$Z:$Z,0)),"")</f>
        <v>Yes</v>
      </c>
      <c r="J223" s="2" t="str">
        <f aca="false">IFERROR(INDEX(Query_Source_View!$R:$R,MATCH(ROW()-14,Query_Source_View!$Z:$Z,0)),"")</f>
        <v>Opaque</v>
      </c>
      <c r="K223" s="2" t="str">
        <f aca="false">IFERROR(INDEX(Query_Source_View!$T:$T,MATCH(ROW()-14,Query_Source_View!$Z:$Z,0)),"")</f>
        <v>Extremely Permanent</v>
      </c>
      <c r="L223" s="2" t="str">
        <f aca="false">IFERROR(INDEX(Query_Source_View!$U:$U,MATCH(ROW()-14,Query_Source_View!$Z:$Z,0)),"")</f>
        <v>I</v>
      </c>
      <c r="M223" s="2" t="n">
        <f aca="false">IFERROR(INDEX(Query_Source_View!$V:$V,MATCH(ROW()-14,Query_Source_View!$Z:$Z,0)),"")</f>
        <v>4</v>
      </c>
      <c r="N223" s="2" t="str">
        <f aca="false">IFERROR(INDEX(Query_Source_View!$W:$W,MATCH(ROW()-14,Query_Source_View!$Z:$Z,0)),"")</f>
        <v>Verified From Official Source</v>
      </c>
      <c r="O223" s="2" t="str">
        <f aca="false">IFERROR(INDEX(Query_Source_View!$X:$X,MATCH(ROW()-14,Query_Source_View!$Z:$Z,0)),"")</f>
        <v>https://www.winsornewton.com/pages/professional-acrylic-colour</v>
      </c>
    </row>
    <row r="224" customFormat="false" ht="46.25" hidden="false" customHeight="false" outlineLevel="0" collapsed="false">
      <c r="A224" s="2" t="str">
        <f aca="false">IFERROR(INDEX(Query_Source_View!$A:$A,MATCH(ROW()-14,Query_Source_View!$Z:$Z,0)),"")</f>
        <v>PNT000161</v>
      </c>
      <c r="B224" s="2" t="str">
        <f aca="false">IFERROR(INDEX(Query_Source_View!$D:$D,MATCH(ROW()-14,Query_Source_View!$Z:$Z,0)),"")</f>
        <v>Winsor And Newton</v>
      </c>
      <c r="C224" s="2" t="str">
        <f aca="false">IFERROR(INDEX(Query_Source_View!$F:$F,MATCH(ROW()-14,Query_Source_View!$Z:$Z,0)),"")</f>
        <v>Acrylic</v>
      </c>
      <c r="D224" s="2" t="str">
        <f aca="false">IFERROR(INDEX(Query_Source_View!$H:$H,MATCH(ROW()-14,Query_Source_View!$Z:$Z,0)),"")</f>
        <v>Professional Acrylic</v>
      </c>
      <c r="E224" s="2" t="str">
        <f aca="false">IFERROR(INDEX(Query_Source_View!$J:$J,MATCH(ROW()-14,Query_Source_View!$Z:$Z,0)),"")</f>
        <v>Davy's Gray</v>
      </c>
      <c r="F224" s="2" t="str">
        <f aca="false">IFERROR(INDEX(Query_Source_View!$L:$L,MATCH(ROW()-14,Query_Source_View!$Z:$Z,0)),"")</f>
        <v>Black Or Gray</v>
      </c>
      <c r="G224" s="2" t="str">
        <f aca="false">IFERROR(INDEX(Query_Source_View!$N:$N,MATCH(ROW()-14,Query_Source_View!$Z:$Z,0)),"")</f>
        <v>PBk19</v>
      </c>
      <c r="H224" s="2" t="n">
        <f aca="false">IFERROR(INDEX(Query_Source_View!$P:$P,MATCH(ROW()-14,Query_Source_View!$Z:$Z,0)),"")</f>
        <v>2</v>
      </c>
      <c r="I224" s="2" t="str">
        <f aca="false">IFERROR(INDEX(Query_Source_View!$Q:$Q,MATCH(ROW()-14,Query_Source_View!$Z:$Z,0)),"")</f>
        <v>No</v>
      </c>
      <c r="J224" s="2" t="str">
        <f aca="false">IFERROR(INDEX(Query_Source_View!$R:$R,MATCH(ROW()-14,Query_Source_View!$Z:$Z,0)),"")</f>
        <v>Transparent</v>
      </c>
      <c r="K224" s="2" t="str">
        <f aca="false">IFERROR(INDEX(Query_Source_View!$T:$T,MATCH(ROW()-14,Query_Source_View!$Z:$Z,0)),"")</f>
        <v>Permanent</v>
      </c>
      <c r="L224" s="2" t="str">
        <f aca="false">IFERROR(INDEX(Query_Source_View!$U:$U,MATCH(ROW()-14,Query_Source_View!$Z:$Z,0)),"")</f>
        <v>I</v>
      </c>
      <c r="M224" s="2" t="n">
        <f aca="false">IFERROR(INDEX(Query_Source_View!$V:$V,MATCH(ROW()-14,Query_Source_View!$Z:$Z,0)),"")</f>
        <v>1</v>
      </c>
      <c r="N224" s="2" t="str">
        <f aca="false">IFERROR(INDEX(Query_Source_View!$W:$W,MATCH(ROW()-14,Query_Source_View!$Z:$Z,0)),"")</f>
        <v>Verified From Official Source</v>
      </c>
      <c r="O224" s="2" t="str">
        <f aca="false">IFERROR(INDEX(Query_Source_View!$X:$X,MATCH(ROW()-14,Query_Source_View!$Z:$Z,0)),"")</f>
        <v>https://www.winsornewton.com/pages/professional-acrylic-colour</v>
      </c>
    </row>
    <row r="225" customFormat="false" ht="46.25" hidden="false" customHeight="false" outlineLevel="0" collapsed="false">
      <c r="A225" s="2" t="str">
        <f aca="false">IFERROR(INDEX(Query_Source_View!$A:$A,MATCH(ROW()-14,Query_Source_View!$Z:$Z,0)),"")</f>
        <v>PNT000161</v>
      </c>
      <c r="B225" s="2" t="str">
        <f aca="false">IFERROR(INDEX(Query_Source_View!$D:$D,MATCH(ROW()-14,Query_Source_View!$Z:$Z,0)),"")</f>
        <v>Winsor And Newton</v>
      </c>
      <c r="C225" s="2" t="str">
        <f aca="false">IFERROR(INDEX(Query_Source_View!$F:$F,MATCH(ROW()-14,Query_Source_View!$Z:$Z,0)),"")</f>
        <v>Acrylic</v>
      </c>
      <c r="D225" s="2" t="str">
        <f aca="false">IFERROR(INDEX(Query_Source_View!$H:$H,MATCH(ROW()-14,Query_Source_View!$Z:$Z,0)),"")</f>
        <v>Professional Acrylic</v>
      </c>
      <c r="E225" s="2" t="str">
        <f aca="false">IFERROR(INDEX(Query_Source_View!$J:$J,MATCH(ROW()-14,Query_Source_View!$Z:$Z,0)),"")</f>
        <v>Davy's Gray</v>
      </c>
      <c r="F225" s="2" t="str">
        <f aca="false">IFERROR(INDEX(Query_Source_View!$L:$L,MATCH(ROW()-14,Query_Source_View!$Z:$Z,0)),"")</f>
        <v>Black Or Gray</v>
      </c>
      <c r="G225" s="2" t="str">
        <f aca="false">IFERROR(INDEX(Query_Source_View!$N:$N,MATCH(ROW()-14,Query_Source_View!$Z:$Z,0)),"")</f>
        <v>PY42</v>
      </c>
      <c r="H225" s="2" t="n">
        <f aca="false">IFERROR(INDEX(Query_Source_View!$P:$P,MATCH(ROW()-14,Query_Source_View!$Z:$Z,0)),"")</f>
        <v>2</v>
      </c>
      <c r="I225" s="2" t="str">
        <f aca="false">IFERROR(INDEX(Query_Source_View!$Q:$Q,MATCH(ROW()-14,Query_Source_View!$Z:$Z,0)),"")</f>
        <v>No</v>
      </c>
      <c r="J225" s="2" t="str">
        <f aca="false">IFERROR(INDEX(Query_Source_View!$R:$R,MATCH(ROW()-14,Query_Source_View!$Z:$Z,0)),"")</f>
        <v>Transparent</v>
      </c>
      <c r="K225" s="2" t="str">
        <f aca="false">IFERROR(INDEX(Query_Source_View!$T:$T,MATCH(ROW()-14,Query_Source_View!$Z:$Z,0)),"")</f>
        <v>Permanent</v>
      </c>
      <c r="L225" s="2" t="str">
        <f aca="false">IFERROR(INDEX(Query_Source_View!$U:$U,MATCH(ROW()-14,Query_Source_View!$Z:$Z,0)),"")</f>
        <v>I</v>
      </c>
      <c r="M225" s="2" t="n">
        <f aca="false">IFERROR(INDEX(Query_Source_View!$V:$V,MATCH(ROW()-14,Query_Source_View!$Z:$Z,0)),"")</f>
        <v>1</v>
      </c>
      <c r="N225" s="2" t="str">
        <f aca="false">IFERROR(INDEX(Query_Source_View!$W:$W,MATCH(ROW()-14,Query_Source_View!$Z:$Z,0)),"")</f>
        <v>Verified From Official Source</v>
      </c>
      <c r="O225" s="2" t="str">
        <f aca="false">IFERROR(INDEX(Query_Source_View!$X:$X,MATCH(ROW()-14,Query_Source_View!$Z:$Z,0)),"")</f>
        <v>https://www.winsornewton.com/pages/professional-acrylic-colour</v>
      </c>
    </row>
    <row r="226" customFormat="false" ht="46.25" hidden="false" customHeight="false" outlineLevel="0" collapsed="false">
      <c r="A226" s="2" t="str">
        <f aca="false">IFERROR(INDEX(Query_Source_View!$A:$A,MATCH(ROW()-14,Query_Source_View!$Z:$Z,0)),"")</f>
        <v>PNT000162</v>
      </c>
      <c r="B226" s="2" t="str">
        <f aca="false">IFERROR(INDEX(Query_Source_View!$D:$D,MATCH(ROW()-14,Query_Source_View!$Z:$Z,0)),"")</f>
        <v>Winsor And Newton</v>
      </c>
      <c r="C226" s="2" t="str">
        <f aca="false">IFERROR(INDEX(Query_Source_View!$F:$F,MATCH(ROW()-14,Query_Source_View!$Z:$Z,0)),"")</f>
        <v>Acrylic</v>
      </c>
      <c r="D226" s="2" t="str">
        <f aca="false">IFERROR(INDEX(Query_Source_View!$H:$H,MATCH(ROW()-14,Query_Source_View!$Z:$Z,0)),"")</f>
        <v>Professional Acrylic</v>
      </c>
      <c r="E226" s="2" t="str">
        <f aca="false">IFERROR(INDEX(Query_Source_View!$J:$J,MATCH(ROW()-14,Query_Source_View!$Z:$Z,0)),"")</f>
        <v>Dioxazine Purple</v>
      </c>
      <c r="F226" s="2" t="str">
        <f aca="false">IFERROR(INDEX(Query_Source_View!$L:$L,MATCH(ROW()-14,Query_Source_View!$Z:$Z,0)),"")</f>
        <v>Violet</v>
      </c>
      <c r="G226" s="2" t="str">
        <f aca="false">IFERROR(INDEX(Query_Source_View!$N:$N,MATCH(ROW()-14,Query_Source_View!$Z:$Z,0)),"")</f>
        <v>PV23</v>
      </c>
      <c r="H226" s="2" t="n">
        <f aca="false">IFERROR(INDEX(Query_Source_View!$P:$P,MATCH(ROW()-14,Query_Source_View!$Z:$Z,0)),"")</f>
        <v>1</v>
      </c>
      <c r="I226" s="2" t="str">
        <f aca="false">IFERROR(INDEX(Query_Source_View!$Q:$Q,MATCH(ROW()-14,Query_Source_View!$Z:$Z,0)),"")</f>
        <v>Yes</v>
      </c>
      <c r="J226" s="2" t="str">
        <f aca="false">IFERROR(INDEX(Query_Source_View!$R:$R,MATCH(ROW()-14,Query_Source_View!$Z:$Z,0)),"")</f>
        <v>Transparent</v>
      </c>
      <c r="K226" s="2" t="str">
        <f aca="false">IFERROR(INDEX(Query_Source_View!$T:$T,MATCH(ROW()-14,Query_Source_View!$Z:$Z,0)),"")</f>
        <v>Permanent</v>
      </c>
      <c r="L226" s="2" t="str">
        <f aca="false">IFERROR(INDEX(Query_Source_View!$U:$U,MATCH(ROW()-14,Query_Source_View!$Z:$Z,0)),"")</f>
        <v>II</v>
      </c>
      <c r="M226" s="2" t="n">
        <f aca="false">IFERROR(INDEX(Query_Source_View!$V:$V,MATCH(ROW()-14,Query_Source_View!$Z:$Z,0)),"")</f>
        <v>3</v>
      </c>
      <c r="N226" s="2" t="str">
        <f aca="false">IFERROR(INDEX(Query_Source_View!$W:$W,MATCH(ROW()-14,Query_Source_View!$Z:$Z,0)),"")</f>
        <v>Verified From Official Source</v>
      </c>
      <c r="O226" s="2" t="str">
        <f aca="false">IFERROR(INDEX(Query_Source_View!$X:$X,MATCH(ROW()-14,Query_Source_View!$Z:$Z,0)),"")</f>
        <v>https://www.winsornewton.com/pages/professional-acrylic-colour</v>
      </c>
    </row>
    <row r="227" customFormat="false" ht="46.25" hidden="false" customHeight="false" outlineLevel="0" collapsed="false">
      <c r="A227" s="2" t="str">
        <f aca="false">IFERROR(INDEX(Query_Source_View!$A:$A,MATCH(ROW()-14,Query_Source_View!$Z:$Z,0)),"")</f>
        <v>PNT000163</v>
      </c>
      <c r="B227" s="2" t="str">
        <f aca="false">IFERROR(INDEX(Query_Source_View!$D:$D,MATCH(ROW()-14,Query_Source_View!$Z:$Z,0)),"")</f>
        <v>Winsor And Newton</v>
      </c>
      <c r="C227" s="2" t="str">
        <f aca="false">IFERROR(INDEX(Query_Source_View!$F:$F,MATCH(ROW()-14,Query_Source_View!$Z:$Z,0)),"")</f>
        <v>Acrylic</v>
      </c>
      <c r="D227" s="2" t="str">
        <f aca="false">IFERROR(INDEX(Query_Source_View!$H:$H,MATCH(ROW()-14,Query_Source_View!$Z:$Z,0)),"")</f>
        <v>Professional Acrylic</v>
      </c>
      <c r="E227" s="2" t="str">
        <f aca="false">IFERROR(INDEX(Query_Source_View!$J:$J,MATCH(ROW()-14,Query_Source_View!$Z:$Z,0)),"")</f>
        <v>Green Gold</v>
      </c>
      <c r="F227" s="2" t="str">
        <f aca="false">IFERROR(INDEX(Query_Source_View!$L:$L,MATCH(ROW()-14,Query_Source_View!$Z:$Z,0)),"")</f>
        <v>Yellow</v>
      </c>
      <c r="G227" s="2" t="str">
        <f aca="false">IFERROR(INDEX(Query_Source_View!$N:$N,MATCH(ROW()-14,Query_Source_View!$Z:$Z,0)),"")</f>
        <v>PY129</v>
      </c>
      <c r="H227" s="2" t="n">
        <f aca="false">IFERROR(INDEX(Query_Source_View!$P:$P,MATCH(ROW()-14,Query_Source_View!$Z:$Z,0)),"")</f>
        <v>1</v>
      </c>
      <c r="I227" s="2" t="str">
        <f aca="false">IFERROR(INDEX(Query_Source_View!$Q:$Q,MATCH(ROW()-14,Query_Source_View!$Z:$Z,0)),"")</f>
        <v>Yes</v>
      </c>
      <c r="J227" s="2" t="str">
        <f aca="false">IFERROR(INDEX(Query_Source_View!$R:$R,MATCH(ROW()-14,Query_Source_View!$Z:$Z,0)),"")</f>
        <v>Transparent</v>
      </c>
      <c r="K227" s="2" t="str">
        <f aca="false">IFERROR(INDEX(Query_Source_View!$T:$T,MATCH(ROW()-14,Query_Source_View!$Z:$Z,0)),"")</f>
        <v>Permanent</v>
      </c>
      <c r="L227" s="2" t="str">
        <f aca="false">IFERROR(INDEX(Query_Source_View!$U:$U,MATCH(ROW()-14,Query_Source_View!$Z:$Z,0)),"")</f>
        <v>N/A</v>
      </c>
      <c r="M227" s="2" t="n">
        <f aca="false">IFERROR(INDEX(Query_Source_View!$V:$V,MATCH(ROW()-14,Query_Source_View!$Z:$Z,0)),"")</f>
        <v>4</v>
      </c>
      <c r="N227" s="2" t="str">
        <f aca="false">IFERROR(INDEX(Query_Source_View!$W:$W,MATCH(ROW()-14,Query_Source_View!$Z:$Z,0)),"")</f>
        <v>Verified From Official Source</v>
      </c>
      <c r="O227" s="2" t="str">
        <f aca="false">IFERROR(INDEX(Query_Source_View!$X:$X,MATCH(ROW()-14,Query_Source_View!$Z:$Z,0)),"")</f>
        <v>https://www.winsornewton.com/pages/professional-acrylic-colour</v>
      </c>
    </row>
    <row r="228" customFormat="false" ht="46.25" hidden="false" customHeight="false" outlineLevel="0" collapsed="false">
      <c r="A228" s="2" t="str">
        <f aca="false">IFERROR(INDEX(Query_Source_View!$A:$A,MATCH(ROW()-14,Query_Source_View!$Z:$Z,0)),"")</f>
        <v>PNT000164</v>
      </c>
      <c r="B228" s="2" t="str">
        <f aca="false">IFERROR(INDEX(Query_Source_View!$D:$D,MATCH(ROW()-14,Query_Source_View!$Z:$Z,0)),"")</f>
        <v>Winsor And Newton</v>
      </c>
      <c r="C228" s="2" t="str">
        <f aca="false">IFERROR(INDEX(Query_Source_View!$F:$F,MATCH(ROW()-14,Query_Source_View!$Z:$Z,0)),"")</f>
        <v>Acrylic</v>
      </c>
      <c r="D228" s="2" t="str">
        <f aca="false">IFERROR(INDEX(Query_Source_View!$H:$H,MATCH(ROW()-14,Query_Source_View!$Z:$Z,0)),"")</f>
        <v>Professional Acrylic</v>
      </c>
      <c r="E228" s="2" t="str">
        <f aca="false">IFERROR(INDEX(Query_Source_View!$J:$J,MATCH(ROW()-14,Query_Source_View!$Z:$Z,0)),"")</f>
        <v>Hooker's Green</v>
      </c>
      <c r="F228" s="2" t="str">
        <f aca="false">IFERROR(INDEX(Query_Source_View!$L:$L,MATCH(ROW()-14,Query_Source_View!$Z:$Z,0)),"")</f>
        <v>Green</v>
      </c>
      <c r="G228" s="2" t="str">
        <f aca="false">IFERROR(INDEX(Query_Source_View!$N:$N,MATCH(ROW()-14,Query_Source_View!$Z:$Z,0)),"")</f>
        <v>PG36</v>
      </c>
      <c r="H228" s="2" t="n">
        <f aca="false">IFERROR(INDEX(Query_Source_View!$P:$P,MATCH(ROW()-14,Query_Source_View!$Z:$Z,0)),"")</f>
        <v>2</v>
      </c>
      <c r="I228" s="2" t="str">
        <f aca="false">IFERROR(INDEX(Query_Source_View!$Q:$Q,MATCH(ROW()-14,Query_Source_View!$Z:$Z,0)),"")</f>
        <v>No</v>
      </c>
      <c r="J228" s="2" t="str">
        <f aca="false">IFERROR(INDEX(Query_Source_View!$R:$R,MATCH(ROW()-14,Query_Source_View!$Z:$Z,0)),"")</f>
        <v>Transparent</v>
      </c>
      <c r="K228" s="2" t="str">
        <f aca="false">IFERROR(INDEX(Query_Source_View!$T:$T,MATCH(ROW()-14,Query_Source_View!$Z:$Z,0)),"")</f>
        <v>Permanent</v>
      </c>
      <c r="L228" s="2" t="str">
        <f aca="false">IFERROR(INDEX(Query_Source_View!$U:$U,MATCH(ROW()-14,Query_Source_View!$Z:$Z,0)),"")</f>
        <v>N/A</v>
      </c>
      <c r="M228" s="2" t="n">
        <f aca="false">IFERROR(INDEX(Query_Source_View!$V:$V,MATCH(ROW()-14,Query_Source_View!$Z:$Z,0)),"")</f>
        <v>3</v>
      </c>
      <c r="N228" s="2" t="str">
        <f aca="false">IFERROR(INDEX(Query_Source_View!$W:$W,MATCH(ROW()-14,Query_Source_View!$Z:$Z,0)),"")</f>
        <v>Verified From Official Source</v>
      </c>
      <c r="O228" s="2" t="str">
        <f aca="false">IFERROR(INDEX(Query_Source_View!$X:$X,MATCH(ROW()-14,Query_Source_View!$Z:$Z,0)),"")</f>
        <v>https://www.winsornewton.com/pages/professional-acrylic-colour</v>
      </c>
    </row>
    <row r="229" customFormat="false" ht="46.25" hidden="false" customHeight="false" outlineLevel="0" collapsed="false">
      <c r="A229" s="2" t="str">
        <f aca="false">IFERROR(INDEX(Query_Source_View!$A:$A,MATCH(ROW()-14,Query_Source_View!$Z:$Z,0)),"")</f>
        <v>PNT000164</v>
      </c>
      <c r="B229" s="2" t="str">
        <f aca="false">IFERROR(INDEX(Query_Source_View!$D:$D,MATCH(ROW()-14,Query_Source_View!$Z:$Z,0)),"")</f>
        <v>Winsor And Newton</v>
      </c>
      <c r="C229" s="2" t="str">
        <f aca="false">IFERROR(INDEX(Query_Source_View!$F:$F,MATCH(ROW()-14,Query_Source_View!$Z:$Z,0)),"")</f>
        <v>Acrylic</v>
      </c>
      <c r="D229" s="2" t="str">
        <f aca="false">IFERROR(INDEX(Query_Source_View!$H:$H,MATCH(ROW()-14,Query_Source_View!$Z:$Z,0)),"")</f>
        <v>Professional Acrylic</v>
      </c>
      <c r="E229" s="2" t="str">
        <f aca="false">IFERROR(INDEX(Query_Source_View!$J:$J,MATCH(ROW()-14,Query_Source_View!$Z:$Z,0)),"")</f>
        <v>Hooker's Green</v>
      </c>
      <c r="F229" s="2" t="str">
        <f aca="false">IFERROR(INDEX(Query_Source_View!$L:$L,MATCH(ROW()-14,Query_Source_View!$Z:$Z,0)),"")</f>
        <v>Green</v>
      </c>
      <c r="G229" s="2" t="str">
        <f aca="false">IFERROR(INDEX(Query_Source_View!$N:$N,MATCH(ROW()-14,Query_Source_View!$Z:$Z,0)),"")</f>
        <v>PY110</v>
      </c>
      <c r="H229" s="2" t="n">
        <f aca="false">IFERROR(INDEX(Query_Source_View!$P:$P,MATCH(ROW()-14,Query_Source_View!$Z:$Z,0)),"")</f>
        <v>2</v>
      </c>
      <c r="I229" s="2" t="str">
        <f aca="false">IFERROR(INDEX(Query_Source_View!$Q:$Q,MATCH(ROW()-14,Query_Source_View!$Z:$Z,0)),"")</f>
        <v>No</v>
      </c>
      <c r="J229" s="2" t="str">
        <f aca="false">IFERROR(INDEX(Query_Source_View!$R:$R,MATCH(ROW()-14,Query_Source_View!$Z:$Z,0)),"")</f>
        <v>Transparent</v>
      </c>
      <c r="K229" s="2" t="str">
        <f aca="false">IFERROR(INDEX(Query_Source_View!$T:$T,MATCH(ROW()-14,Query_Source_View!$Z:$Z,0)),"")</f>
        <v>Permanent</v>
      </c>
      <c r="L229" s="2" t="str">
        <f aca="false">IFERROR(INDEX(Query_Source_View!$U:$U,MATCH(ROW()-14,Query_Source_View!$Z:$Z,0)),"")</f>
        <v>N/A</v>
      </c>
      <c r="M229" s="2" t="n">
        <f aca="false">IFERROR(INDEX(Query_Source_View!$V:$V,MATCH(ROW()-14,Query_Source_View!$Z:$Z,0)),"")</f>
        <v>3</v>
      </c>
      <c r="N229" s="2" t="str">
        <f aca="false">IFERROR(INDEX(Query_Source_View!$W:$W,MATCH(ROW()-14,Query_Source_View!$Z:$Z,0)),"")</f>
        <v>Verified From Official Source</v>
      </c>
      <c r="O229" s="2" t="str">
        <f aca="false">IFERROR(INDEX(Query_Source_View!$X:$X,MATCH(ROW()-14,Query_Source_View!$Z:$Z,0)),"")</f>
        <v>https://www.winsornewton.com/pages/professional-acrylic-colour</v>
      </c>
    </row>
    <row r="230" customFormat="false" ht="46.25" hidden="false" customHeight="false" outlineLevel="0" collapsed="false">
      <c r="A230" s="2" t="str">
        <f aca="false">IFERROR(INDEX(Query_Source_View!$A:$A,MATCH(ROW()-14,Query_Source_View!$Z:$Z,0)),"")</f>
        <v>PNT000165</v>
      </c>
      <c r="B230" s="2" t="str">
        <f aca="false">IFERROR(INDEX(Query_Source_View!$D:$D,MATCH(ROW()-14,Query_Source_View!$Z:$Z,0)),"")</f>
        <v>Winsor And Newton</v>
      </c>
      <c r="C230" s="2" t="str">
        <f aca="false">IFERROR(INDEX(Query_Source_View!$F:$F,MATCH(ROW()-14,Query_Source_View!$Z:$Z,0)),"")</f>
        <v>Acrylic</v>
      </c>
      <c r="D230" s="2" t="str">
        <f aca="false">IFERROR(INDEX(Query_Source_View!$H:$H,MATCH(ROW()-14,Query_Source_View!$Z:$Z,0)),"")</f>
        <v>Professional Acrylic</v>
      </c>
      <c r="E230" s="2" t="str">
        <f aca="false">IFERROR(INDEX(Query_Source_View!$J:$J,MATCH(ROW()-14,Query_Source_View!$Z:$Z,0)),"")</f>
        <v>Indanthrene Blue</v>
      </c>
      <c r="F230" s="2" t="str">
        <f aca="false">IFERROR(INDEX(Query_Source_View!$L:$L,MATCH(ROW()-14,Query_Source_View!$Z:$Z,0)),"")</f>
        <v>Blue</v>
      </c>
      <c r="G230" s="2" t="str">
        <f aca="false">IFERROR(INDEX(Query_Source_View!$N:$N,MATCH(ROW()-14,Query_Source_View!$Z:$Z,0)),"")</f>
        <v>PB60</v>
      </c>
      <c r="H230" s="2" t="n">
        <f aca="false">IFERROR(INDEX(Query_Source_View!$P:$P,MATCH(ROW()-14,Query_Source_View!$Z:$Z,0)),"")</f>
        <v>1</v>
      </c>
      <c r="I230" s="2" t="str">
        <f aca="false">IFERROR(INDEX(Query_Source_View!$Q:$Q,MATCH(ROW()-14,Query_Source_View!$Z:$Z,0)),"")</f>
        <v>Yes</v>
      </c>
      <c r="J230" s="2" t="str">
        <f aca="false">IFERROR(INDEX(Query_Source_View!$R:$R,MATCH(ROW()-14,Query_Source_View!$Z:$Z,0)),"")</f>
        <v>Transparent</v>
      </c>
      <c r="K230" s="2" t="str">
        <f aca="false">IFERROR(INDEX(Query_Source_View!$T:$T,MATCH(ROW()-14,Query_Source_View!$Z:$Z,0)),"")</f>
        <v>Permanent</v>
      </c>
      <c r="L230" s="2" t="str">
        <f aca="false">IFERROR(INDEX(Query_Source_View!$U:$U,MATCH(ROW()-14,Query_Source_View!$Z:$Z,0)),"")</f>
        <v>I</v>
      </c>
      <c r="M230" s="2" t="n">
        <f aca="false">IFERROR(INDEX(Query_Source_View!$V:$V,MATCH(ROW()-14,Query_Source_View!$Z:$Z,0)),"")</f>
        <v>3</v>
      </c>
      <c r="N230" s="2" t="str">
        <f aca="false">IFERROR(INDEX(Query_Source_View!$W:$W,MATCH(ROW()-14,Query_Source_View!$Z:$Z,0)),"")</f>
        <v>Verified From Official Source</v>
      </c>
      <c r="O230" s="2" t="str">
        <f aca="false">IFERROR(INDEX(Query_Source_View!$X:$X,MATCH(ROW()-14,Query_Source_View!$Z:$Z,0)),"")</f>
        <v>https://www.winsornewton.com/pages/professional-acrylic-colour</v>
      </c>
    </row>
    <row r="231" customFormat="false" ht="46.25" hidden="false" customHeight="false" outlineLevel="0" collapsed="false">
      <c r="A231" s="2" t="str">
        <f aca="false">IFERROR(INDEX(Query_Source_View!$A:$A,MATCH(ROW()-14,Query_Source_View!$Z:$Z,0)),"")</f>
        <v>PNT000166</v>
      </c>
      <c r="B231" s="2" t="str">
        <f aca="false">IFERROR(INDEX(Query_Source_View!$D:$D,MATCH(ROW()-14,Query_Source_View!$Z:$Z,0)),"")</f>
        <v>Winsor And Newton</v>
      </c>
      <c r="C231" s="2" t="str">
        <f aca="false">IFERROR(INDEX(Query_Source_View!$F:$F,MATCH(ROW()-14,Query_Source_View!$Z:$Z,0)),"")</f>
        <v>Acrylic</v>
      </c>
      <c r="D231" s="2" t="str">
        <f aca="false">IFERROR(INDEX(Query_Source_View!$H:$H,MATCH(ROW()-14,Query_Source_View!$Z:$Z,0)),"")</f>
        <v>Professional Acrylic</v>
      </c>
      <c r="E231" s="2" t="str">
        <f aca="false">IFERROR(INDEX(Query_Source_View!$J:$J,MATCH(ROW()-14,Query_Source_View!$Z:$Z,0)),"")</f>
        <v>Ivory Black</v>
      </c>
      <c r="F231" s="2" t="str">
        <f aca="false">IFERROR(INDEX(Query_Source_View!$L:$L,MATCH(ROW()-14,Query_Source_View!$Z:$Z,0)),"")</f>
        <v>Black Or Gray</v>
      </c>
      <c r="G231" s="2" t="str">
        <f aca="false">IFERROR(INDEX(Query_Source_View!$N:$N,MATCH(ROW()-14,Query_Source_View!$Z:$Z,0)),"")</f>
        <v>PBk9</v>
      </c>
      <c r="H231" s="2" t="n">
        <f aca="false">IFERROR(INDEX(Query_Source_View!$P:$P,MATCH(ROW()-14,Query_Source_View!$Z:$Z,0)),"")</f>
        <v>1</v>
      </c>
      <c r="I231" s="2" t="str">
        <f aca="false">IFERROR(INDEX(Query_Source_View!$Q:$Q,MATCH(ROW()-14,Query_Source_View!$Z:$Z,0)),"")</f>
        <v>Yes</v>
      </c>
      <c r="J231" s="2" t="str">
        <f aca="false">IFERROR(INDEX(Query_Source_View!$R:$R,MATCH(ROW()-14,Query_Source_View!$Z:$Z,0)),"")</f>
        <v>Opaque</v>
      </c>
      <c r="K231" s="2" t="str">
        <f aca="false">IFERROR(INDEX(Query_Source_View!$T:$T,MATCH(ROW()-14,Query_Source_View!$Z:$Z,0)),"")</f>
        <v>Extremely Permanent</v>
      </c>
      <c r="L231" s="2" t="str">
        <f aca="false">IFERROR(INDEX(Query_Source_View!$U:$U,MATCH(ROW()-14,Query_Source_View!$Z:$Z,0)),"")</f>
        <v>I</v>
      </c>
      <c r="M231" s="2" t="n">
        <f aca="false">IFERROR(INDEX(Query_Source_View!$V:$V,MATCH(ROW()-14,Query_Source_View!$Z:$Z,0)),"")</f>
        <v>1</v>
      </c>
      <c r="N231" s="2" t="str">
        <f aca="false">IFERROR(INDEX(Query_Source_View!$W:$W,MATCH(ROW()-14,Query_Source_View!$Z:$Z,0)),"")</f>
        <v>Verified From Official Source</v>
      </c>
      <c r="O231" s="2" t="str">
        <f aca="false">IFERROR(INDEX(Query_Source_View!$X:$X,MATCH(ROW()-14,Query_Source_View!$Z:$Z,0)),"")</f>
        <v>https://www.winsornewton.com/pages/professional-acrylic-colour</v>
      </c>
    </row>
    <row r="232" customFormat="false" ht="46.25" hidden="false" customHeight="false" outlineLevel="0" collapsed="false">
      <c r="A232" s="2" t="str">
        <f aca="false">IFERROR(INDEX(Query_Source_View!$A:$A,MATCH(ROW()-14,Query_Source_View!$Z:$Z,0)),"")</f>
        <v>PNT000167</v>
      </c>
      <c r="B232" s="2" t="str">
        <f aca="false">IFERROR(INDEX(Query_Source_View!$D:$D,MATCH(ROW()-14,Query_Source_View!$Z:$Z,0)),"")</f>
        <v>Winsor And Newton</v>
      </c>
      <c r="C232" s="2" t="str">
        <f aca="false">IFERROR(INDEX(Query_Source_View!$F:$F,MATCH(ROW()-14,Query_Source_View!$Z:$Z,0)),"")</f>
        <v>Acrylic</v>
      </c>
      <c r="D232" s="2" t="str">
        <f aca="false">IFERROR(INDEX(Query_Source_View!$H:$H,MATCH(ROW()-14,Query_Source_View!$Z:$Z,0)),"")</f>
        <v>Professional Acrylic</v>
      </c>
      <c r="E232" s="2" t="str">
        <f aca="false">IFERROR(INDEX(Query_Source_View!$J:$J,MATCH(ROW()-14,Query_Source_View!$Z:$Z,0)),"")</f>
        <v>Lemon Yellow</v>
      </c>
      <c r="F232" s="2" t="str">
        <f aca="false">IFERROR(INDEX(Query_Source_View!$L:$L,MATCH(ROW()-14,Query_Source_View!$Z:$Z,0)),"")</f>
        <v>Yellow</v>
      </c>
      <c r="G232" s="2" t="str">
        <f aca="false">IFERROR(INDEX(Query_Source_View!$N:$N,MATCH(ROW()-14,Query_Source_View!$Z:$Z,0)),"")</f>
        <v>PY3</v>
      </c>
      <c r="H232" s="2" t="n">
        <f aca="false">IFERROR(INDEX(Query_Source_View!$P:$P,MATCH(ROW()-14,Query_Source_View!$Z:$Z,0)),"")</f>
        <v>1</v>
      </c>
      <c r="I232" s="2" t="str">
        <f aca="false">IFERROR(INDEX(Query_Source_View!$Q:$Q,MATCH(ROW()-14,Query_Source_View!$Z:$Z,0)),"")</f>
        <v>Yes</v>
      </c>
      <c r="J232" s="2" t="str">
        <f aca="false">IFERROR(INDEX(Query_Source_View!$R:$R,MATCH(ROW()-14,Query_Source_View!$Z:$Z,0)),"")</f>
        <v>Semi Transparent</v>
      </c>
      <c r="K232" s="2" t="str">
        <f aca="false">IFERROR(INDEX(Query_Source_View!$T:$T,MATCH(ROW()-14,Query_Source_View!$Z:$Z,0)),"")</f>
        <v>Permanent</v>
      </c>
      <c r="L232" s="2" t="str">
        <f aca="false">IFERROR(INDEX(Query_Source_View!$U:$U,MATCH(ROW()-14,Query_Source_View!$Z:$Z,0)),"")</f>
        <v>II</v>
      </c>
      <c r="M232" s="2" t="n">
        <f aca="false">IFERROR(INDEX(Query_Source_View!$V:$V,MATCH(ROW()-14,Query_Source_View!$Z:$Z,0)),"")</f>
        <v>2</v>
      </c>
      <c r="N232" s="2" t="str">
        <f aca="false">IFERROR(INDEX(Query_Source_View!$W:$W,MATCH(ROW()-14,Query_Source_View!$Z:$Z,0)),"")</f>
        <v>Verified From Official Source</v>
      </c>
      <c r="O232" s="2" t="str">
        <f aca="false">IFERROR(INDEX(Query_Source_View!$X:$X,MATCH(ROW()-14,Query_Source_View!$Z:$Z,0)),"")</f>
        <v>https://www.winsornewton.com/pages/professional-acrylic-colour</v>
      </c>
    </row>
    <row r="233" customFormat="false" ht="46.25" hidden="false" customHeight="false" outlineLevel="0" collapsed="false">
      <c r="A233" s="2" t="str">
        <f aca="false">IFERROR(INDEX(Query_Source_View!$A:$A,MATCH(ROW()-14,Query_Source_View!$Z:$Z,0)),"")</f>
        <v>PNT000168</v>
      </c>
      <c r="B233" s="2" t="str">
        <f aca="false">IFERROR(INDEX(Query_Source_View!$D:$D,MATCH(ROW()-14,Query_Source_View!$Z:$Z,0)),"")</f>
        <v>Winsor And Newton</v>
      </c>
      <c r="C233" s="2" t="str">
        <f aca="false">IFERROR(INDEX(Query_Source_View!$F:$F,MATCH(ROW()-14,Query_Source_View!$Z:$Z,0)),"")</f>
        <v>Acrylic</v>
      </c>
      <c r="D233" s="2" t="str">
        <f aca="false">IFERROR(INDEX(Query_Source_View!$H:$H,MATCH(ROW()-14,Query_Source_View!$Z:$Z,0)),"")</f>
        <v>Professional Acrylic</v>
      </c>
      <c r="E233" s="2" t="str">
        <f aca="false">IFERROR(INDEX(Query_Source_View!$J:$J,MATCH(ROW()-14,Query_Source_View!$Z:$Z,0)),"")</f>
        <v>Light Red</v>
      </c>
      <c r="F233" s="2" t="str">
        <f aca="false">IFERROR(INDEX(Query_Source_View!$L:$L,MATCH(ROW()-14,Query_Source_View!$Z:$Z,0)),"")</f>
        <v>Red</v>
      </c>
      <c r="G233" s="2" t="str">
        <f aca="false">IFERROR(INDEX(Query_Source_View!$N:$N,MATCH(ROW()-14,Query_Source_View!$Z:$Z,0)),"")</f>
        <v>PR102</v>
      </c>
      <c r="H233" s="2" t="n">
        <f aca="false">IFERROR(INDEX(Query_Source_View!$P:$P,MATCH(ROW()-14,Query_Source_View!$Z:$Z,0)),"")</f>
        <v>1</v>
      </c>
      <c r="I233" s="2" t="str">
        <f aca="false">IFERROR(INDEX(Query_Source_View!$Q:$Q,MATCH(ROW()-14,Query_Source_View!$Z:$Z,0)),"")</f>
        <v>Yes</v>
      </c>
      <c r="J233" s="2" t="str">
        <f aca="false">IFERROR(INDEX(Query_Source_View!$R:$R,MATCH(ROW()-14,Query_Source_View!$Z:$Z,0)),"")</f>
        <v>Semi Opaque</v>
      </c>
      <c r="K233" s="2" t="str">
        <f aca="false">IFERROR(INDEX(Query_Source_View!$T:$T,MATCH(ROW()-14,Query_Source_View!$Z:$Z,0)),"")</f>
        <v>Extremely Permanent</v>
      </c>
      <c r="L233" s="2" t="str">
        <f aca="false">IFERROR(INDEX(Query_Source_View!$U:$U,MATCH(ROW()-14,Query_Source_View!$Z:$Z,0)),"")</f>
        <v>I</v>
      </c>
      <c r="M233" s="2" t="n">
        <f aca="false">IFERROR(INDEX(Query_Source_View!$V:$V,MATCH(ROW()-14,Query_Source_View!$Z:$Z,0)),"")</f>
        <v>1</v>
      </c>
      <c r="N233" s="2" t="str">
        <f aca="false">IFERROR(INDEX(Query_Source_View!$W:$W,MATCH(ROW()-14,Query_Source_View!$Z:$Z,0)),"")</f>
        <v>Verified From Official Source</v>
      </c>
      <c r="O233" s="2" t="str">
        <f aca="false">IFERROR(INDEX(Query_Source_View!$X:$X,MATCH(ROW()-14,Query_Source_View!$Z:$Z,0)),"")</f>
        <v>https://www.winsornewton.com/pages/professional-acrylic-colour</v>
      </c>
    </row>
    <row r="234" customFormat="false" ht="46.25" hidden="false" customHeight="false" outlineLevel="0" collapsed="false">
      <c r="A234" s="2" t="str">
        <f aca="false">IFERROR(INDEX(Query_Source_View!$A:$A,MATCH(ROW()-14,Query_Source_View!$Z:$Z,0)),"")</f>
        <v>PNT000169</v>
      </c>
      <c r="B234" s="2" t="str">
        <f aca="false">IFERROR(INDEX(Query_Source_View!$D:$D,MATCH(ROW()-14,Query_Source_View!$Z:$Z,0)),"")</f>
        <v>Winsor And Newton</v>
      </c>
      <c r="C234" s="2" t="str">
        <f aca="false">IFERROR(INDEX(Query_Source_View!$F:$F,MATCH(ROW()-14,Query_Source_View!$Z:$Z,0)),"")</f>
        <v>Acrylic</v>
      </c>
      <c r="D234" s="2" t="str">
        <f aca="false">IFERROR(INDEX(Query_Source_View!$H:$H,MATCH(ROW()-14,Query_Source_View!$Z:$Z,0)),"")</f>
        <v>Professional Acrylic</v>
      </c>
      <c r="E234" s="2" t="str">
        <f aca="false">IFERROR(INDEX(Query_Source_View!$J:$J,MATCH(ROW()-14,Query_Source_View!$Z:$Z,0)),"")</f>
        <v>Mars Black</v>
      </c>
      <c r="F234" s="2" t="str">
        <f aca="false">IFERROR(INDEX(Query_Source_View!$L:$L,MATCH(ROW()-14,Query_Source_View!$Z:$Z,0)),"")</f>
        <v>Black Or Gray</v>
      </c>
      <c r="G234" s="2" t="str">
        <f aca="false">IFERROR(INDEX(Query_Source_View!$N:$N,MATCH(ROW()-14,Query_Source_View!$Z:$Z,0)),"")</f>
        <v>PBk11</v>
      </c>
      <c r="H234" s="2" t="n">
        <f aca="false">IFERROR(INDEX(Query_Source_View!$P:$P,MATCH(ROW()-14,Query_Source_View!$Z:$Z,0)),"")</f>
        <v>1</v>
      </c>
      <c r="I234" s="2" t="str">
        <f aca="false">IFERROR(INDEX(Query_Source_View!$Q:$Q,MATCH(ROW()-14,Query_Source_View!$Z:$Z,0)),"")</f>
        <v>Yes</v>
      </c>
      <c r="J234" s="2" t="str">
        <f aca="false">IFERROR(INDEX(Query_Source_View!$R:$R,MATCH(ROW()-14,Query_Source_View!$Z:$Z,0)),"")</f>
        <v>Opaque</v>
      </c>
      <c r="K234" s="2" t="str">
        <f aca="false">IFERROR(INDEX(Query_Source_View!$T:$T,MATCH(ROW()-14,Query_Source_View!$Z:$Z,0)),"")</f>
        <v>Extremely Permanent</v>
      </c>
      <c r="L234" s="2" t="str">
        <f aca="false">IFERROR(INDEX(Query_Source_View!$U:$U,MATCH(ROW()-14,Query_Source_View!$Z:$Z,0)),"")</f>
        <v>I</v>
      </c>
      <c r="M234" s="2" t="n">
        <f aca="false">IFERROR(INDEX(Query_Source_View!$V:$V,MATCH(ROW()-14,Query_Source_View!$Z:$Z,0)),"")</f>
        <v>1</v>
      </c>
      <c r="N234" s="2" t="str">
        <f aca="false">IFERROR(INDEX(Query_Source_View!$W:$W,MATCH(ROW()-14,Query_Source_View!$Z:$Z,0)),"")</f>
        <v>Verified From Official Source</v>
      </c>
      <c r="O234" s="2" t="str">
        <f aca="false">IFERROR(INDEX(Query_Source_View!$X:$X,MATCH(ROW()-14,Query_Source_View!$Z:$Z,0)),"")</f>
        <v>https://www.winsornewton.com/pages/professional-acrylic-colour</v>
      </c>
    </row>
    <row r="235" customFormat="false" ht="46.25" hidden="false" customHeight="false" outlineLevel="0" collapsed="false">
      <c r="A235" s="2" t="str">
        <f aca="false">IFERROR(INDEX(Query_Source_View!$A:$A,MATCH(ROW()-14,Query_Source_View!$Z:$Z,0)),"")</f>
        <v>PNT000170</v>
      </c>
      <c r="B235" s="2" t="str">
        <f aca="false">IFERROR(INDEX(Query_Source_View!$D:$D,MATCH(ROW()-14,Query_Source_View!$Z:$Z,0)),"")</f>
        <v>Winsor And Newton</v>
      </c>
      <c r="C235" s="2" t="str">
        <f aca="false">IFERROR(INDEX(Query_Source_View!$F:$F,MATCH(ROW()-14,Query_Source_View!$Z:$Z,0)),"")</f>
        <v>Acrylic</v>
      </c>
      <c r="D235" s="2" t="str">
        <f aca="false">IFERROR(INDEX(Query_Source_View!$H:$H,MATCH(ROW()-14,Query_Source_View!$Z:$Z,0)),"")</f>
        <v>Professional Acrylic</v>
      </c>
      <c r="E235" s="2" t="str">
        <f aca="false">IFERROR(INDEX(Query_Source_View!$J:$J,MATCH(ROW()-14,Query_Source_View!$Z:$Z,0)),"")</f>
        <v>Naphthol Red Light</v>
      </c>
      <c r="F235" s="2" t="str">
        <f aca="false">IFERROR(INDEX(Query_Source_View!$L:$L,MATCH(ROW()-14,Query_Source_View!$Z:$Z,0)),"")</f>
        <v>Red</v>
      </c>
      <c r="G235" s="2" t="str">
        <f aca="false">IFERROR(INDEX(Query_Source_View!$N:$N,MATCH(ROW()-14,Query_Source_View!$Z:$Z,0)),"")</f>
        <v>PR112</v>
      </c>
      <c r="H235" s="2" t="n">
        <f aca="false">IFERROR(INDEX(Query_Source_View!$P:$P,MATCH(ROW()-14,Query_Source_View!$Z:$Z,0)),"")</f>
        <v>1</v>
      </c>
      <c r="I235" s="2" t="str">
        <f aca="false">IFERROR(INDEX(Query_Source_View!$Q:$Q,MATCH(ROW()-14,Query_Source_View!$Z:$Z,0)),"")</f>
        <v>Yes</v>
      </c>
      <c r="J235" s="2" t="str">
        <f aca="false">IFERROR(INDEX(Query_Source_View!$R:$R,MATCH(ROW()-14,Query_Source_View!$Z:$Z,0)),"")</f>
        <v>Semi Transparent</v>
      </c>
      <c r="K235" s="2" t="str">
        <f aca="false">IFERROR(INDEX(Query_Source_View!$T:$T,MATCH(ROW()-14,Query_Source_View!$Z:$Z,0)),"")</f>
        <v>Permanent</v>
      </c>
      <c r="L235" s="2" t="str">
        <f aca="false">IFERROR(INDEX(Query_Source_View!$U:$U,MATCH(ROW()-14,Query_Source_View!$Z:$Z,0)),"")</f>
        <v>II</v>
      </c>
      <c r="M235" s="2" t="n">
        <f aca="false">IFERROR(INDEX(Query_Source_View!$V:$V,MATCH(ROW()-14,Query_Source_View!$Z:$Z,0)),"")</f>
        <v>2</v>
      </c>
      <c r="N235" s="2" t="str">
        <f aca="false">IFERROR(INDEX(Query_Source_View!$W:$W,MATCH(ROW()-14,Query_Source_View!$Z:$Z,0)),"")</f>
        <v>Verified From Official Source</v>
      </c>
      <c r="O235" s="2" t="str">
        <f aca="false">IFERROR(INDEX(Query_Source_View!$X:$X,MATCH(ROW()-14,Query_Source_View!$Z:$Z,0)),"")</f>
        <v>https://www.winsornewton.com/pages/professional-acrylic-colour</v>
      </c>
    </row>
    <row r="236" customFormat="false" ht="46.25" hidden="false" customHeight="false" outlineLevel="0" collapsed="false">
      <c r="A236" s="2" t="str">
        <f aca="false">IFERROR(INDEX(Query_Source_View!$A:$A,MATCH(ROW()-14,Query_Source_View!$Z:$Z,0)),"")</f>
        <v>PNT000171</v>
      </c>
      <c r="B236" s="2" t="str">
        <f aca="false">IFERROR(INDEX(Query_Source_View!$D:$D,MATCH(ROW()-14,Query_Source_View!$Z:$Z,0)),"")</f>
        <v>Winsor And Newton</v>
      </c>
      <c r="C236" s="2" t="str">
        <f aca="false">IFERROR(INDEX(Query_Source_View!$F:$F,MATCH(ROW()-14,Query_Source_View!$Z:$Z,0)),"")</f>
        <v>Acrylic</v>
      </c>
      <c r="D236" s="2" t="str">
        <f aca="false">IFERROR(INDEX(Query_Source_View!$H:$H,MATCH(ROW()-14,Query_Source_View!$Z:$Z,0)),"")</f>
        <v>Professional Acrylic</v>
      </c>
      <c r="E236" s="2" t="str">
        <f aca="false">IFERROR(INDEX(Query_Source_View!$J:$J,MATCH(ROW()-14,Query_Source_View!$Z:$Z,0)),"")</f>
        <v>Naphthol Red Medium</v>
      </c>
      <c r="F236" s="2" t="str">
        <f aca="false">IFERROR(INDEX(Query_Source_View!$L:$L,MATCH(ROW()-14,Query_Source_View!$Z:$Z,0)),"")</f>
        <v>Red</v>
      </c>
      <c r="G236" s="2" t="str">
        <f aca="false">IFERROR(INDEX(Query_Source_View!$N:$N,MATCH(ROW()-14,Query_Source_View!$Z:$Z,0)),"")</f>
        <v>PR170</v>
      </c>
      <c r="H236" s="2" t="n">
        <f aca="false">IFERROR(INDEX(Query_Source_View!$P:$P,MATCH(ROW()-14,Query_Source_View!$Z:$Z,0)),"")</f>
        <v>1</v>
      </c>
      <c r="I236" s="2" t="str">
        <f aca="false">IFERROR(INDEX(Query_Source_View!$Q:$Q,MATCH(ROW()-14,Query_Source_View!$Z:$Z,0)),"")</f>
        <v>Yes</v>
      </c>
      <c r="J236" s="2" t="str">
        <f aca="false">IFERROR(INDEX(Query_Source_View!$R:$R,MATCH(ROW()-14,Query_Source_View!$Z:$Z,0)),"")</f>
        <v>Semi Transparent</v>
      </c>
      <c r="K236" s="2" t="str">
        <f aca="false">IFERROR(INDEX(Query_Source_View!$T:$T,MATCH(ROW()-14,Query_Source_View!$Z:$Z,0)),"")</f>
        <v>Permanent</v>
      </c>
      <c r="L236" s="2" t="str">
        <f aca="false">IFERROR(INDEX(Query_Source_View!$U:$U,MATCH(ROW()-14,Query_Source_View!$Z:$Z,0)),"")</f>
        <v>II</v>
      </c>
      <c r="M236" s="2" t="n">
        <f aca="false">IFERROR(INDEX(Query_Source_View!$V:$V,MATCH(ROW()-14,Query_Source_View!$Z:$Z,0)),"")</f>
        <v>2</v>
      </c>
      <c r="N236" s="2" t="str">
        <f aca="false">IFERROR(INDEX(Query_Source_View!$W:$W,MATCH(ROW()-14,Query_Source_View!$Z:$Z,0)),"")</f>
        <v>Verified From Official Source</v>
      </c>
      <c r="O236" s="2" t="str">
        <f aca="false">IFERROR(INDEX(Query_Source_View!$X:$X,MATCH(ROW()-14,Query_Source_View!$Z:$Z,0)),"")</f>
        <v>https://www.winsornewton.com/pages/professional-acrylic-colour</v>
      </c>
    </row>
    <row r="237" customFormat="false" ht="46.25" hidden="false" customHeight="false" outlineLevel="0" collapsed="false">
      <c r="A237" s="2" t="str">
        <f aca="false">IFERROR(INDEX(Query_Source_View!$A:$A,MATCH(ROW()-14,Query_Source_View!$Z:$Z,0)),"")</f>
        <v>PNT000172</v>
      </c>
      <c r="B237" s="2" t="str">
        <f aca="false">IFERROR(INDEX(Query_Source_View!$D:$D,MATCH(ROW()-14,Query_Source_View!$Z:$Z,0)),"")</f>
        <v>Winsor And Newton</v>
      </c>
      <c r="C237" s="2" t="str">
        <f aca="false">IFERROR(INDEX(Query_Source_View!$F:$F,MATCH(ROW()-14,Query_Source_View!$Z:$Z,0)),"")</f>
        <v>Acrylic</v>
      </c>
      <c r="D237" s="2" t="str">
        <f aca="false">IFERROR(INDEX(Query_Source_View!$H:$H,MATCH(ROW()-14,Query_Source_View!$Z:$Z,0)),"")</f>
        <v>Professional Acrylic</v>
      </c>
      <c r="E237" s="2" t="str">
        <f aca="false">IFERROR(INDEX(Query_Source_View!$J:$J,MATCH(ROW()-14,Query_Source_View!$Z:$Z,0)),"")</f>
        <v>Naples Yellow Deep</v>
      </c>
      <c r="F237" s="2" t="str">
        <f aca="false">IFERROR(INDEX(Query_Source_View!$L:$L,MATCH(ROW()-14,Query_Source_View!$Z:$Z,0)),"")</f>
        <v>Yellow</v>
      </c>
      <c r="G237" s="2" t="str">
        <f aca="false">IFERROR(INDEX(Query_Source_View!$N:$N,MATCH(ROW()-14,Query_Source_View!$Z:$Z,0)),"")</f>
        <v>PBr24</v>
      </c>
      <c r="H237" s="2" t="n">
        <f aca="false">IFERROR(INDEX(Query_Source_View!$P:$P,MATCH(ROW()-14,Query_Source_View!$Z:$Z,0)),"")</f>
        <v>1</v>
      </c>
      <c r="I237" s="2" t="str">
        <f aca="false">IFERROR(INDEX(Query_Source_View!$Q:$Q,MATCH(ROW()-14,Query_Source_View!$Z:$Z,0)),"")</f>
        <v>Yes</v>
      </c>
      <c r="J237" s="2" t="str">
        <f aca="false">IFERROR(INDEX(Query_Source_View!$R:$R,MATCH(ROW()-14,Query_Source_View!$Z:$Z,0)),"")</f>
        <v>Opaque</v>
      </c>
      <c r="K237" s="2" t="str">
        <f aca="false">IFERROR(INDEX(Query_Source_View!$T:$T,MATCH(ROW()-14,Query_Source_View!$Z:$Z,0)),"")</f>
        <v>Extremely Permanent</v>
      </c>
      <c r="L237" s="2" t="str">
        <f aca="false">IFERROR(INDEX(Query_Source_View!$U:$U,MATCH(ROW()-14,Query_Source_View!$Z:$Z,0)),"")</f>
        <v>N/A</v>
      </c>
      <c r="M237" s="2" t="n">
        <f aca="false">IFERROR(INDEX(Query_Source_View!$V:$V,MATCH(ROW()-14,Query_Source_View!$Z:$Z,0)),"")</f>
        <v>2</v>
      </c>
      <c r="N237" s="2" t="str">
        <f aca="false">IFERROR(INDEX(Query_Source_View!$W:$W,MATCH(ROW()-14,Query_Source_View!$Z:$Z,0)),"")</f>
        <v>Verified From Official Source</v>
      </c>
      <c r="O237" s="2" t="str">
        <f aca="false">IFERROR(INDEX(Query_Source_View!$X:$X,MATCH(ROW()-14,Query_Source_View!$Z:$Z,0)),"")</f>
        <v>https://www.winsornewton.com/pages/professional-acrylic-colour</v>
      </c>
    </row>
    <row r="238" customFormat="false" ht="46.25" hidden="false" customHeight="false" outlineLevel="0" collapsed="false">
      <c r="A238" s="2" t="str">
        <f aca="false">IFERROR(INDEX(Query_Source_View!$A:$A,MATCH(ROW()-14,Query_Source_View!$Z:$Z,0)),"")</f>
        <v>PNT000173</v>
      </c>
      <c r="B238" s="2" t="str">
        <f aca="false">IFERROR(INDEX(Query_Source_View!$D:$D,MATCH(ROW()-14,Query_Source_View!$Z:$Z,0)),"")</f>
        <v>Winsor And Newton</v>
      </c>
      <c r="C238" s="2" t="str">
        <f aca="false">IFERROR(INDEX(Query_Source_View!$F:$F,MATCH(ROW()-14,Query_Source_View!$Z:$Z,0)),"")</f>
        <v>Acrylic</v>
      </c>
      <c r="D238" s="2" t="str">
        <f aca="false">IFERROR(INDEX(Query_Source_View!$H:$H,MATCH(ROW()-14,Query_Source_View!$Z:$Z,0)),"")</f>
        <v>Professional Acrylic</v>
      </c>
      <c r="E238" s="2" t="str">
        <f aca="false">IFERROR(INDEX(Query_Source_View!$J:$J,MATCH(ROW()-14,Query_Source_View!$Z:$Z,0)),"")</f>
        <v>Nickel Azo Yellow</v>
      </c>
      <c r="F238" s="2" t="str">
        <f aca="false">IFERROR(INDEX(Query_Source_View!$L:$L,MATCH(ROW()-14,Query_Source_View!$Z:$Z,0)),"")</f>
        <v>Yellow</v>
      </c>
      <c r="G238" s="2" t="str">
        <f aca="false">IFERROR(INDEX(Query_Source_View!$N:$N,MATCH(ROW()-14,Query_Source_View!$Z:$Z,0)),"")</f>
        <v>PY150</v>
      </c>
      <c r="H238" s="2" t="n">
        <f aca="false">IFERROR(INDEX(Query_Source_View!$P:$P,MATCH(ROW()-14,Query_Source_View!$Z:$Z,0)),"")</f>
        <v>1</v>
      </c>
      <c r="I238" s="2" t="str">
        <f aca="false">IFERROR(INDEX(Query_Source_View!$Q:$Q,MATCH(ROW()-14,Query_Source_View!$Z:$Z,0)),"")</f>
        <v>Yes</v>
      </c>
      <c r="J238" s="2" t="str">
        <f aca="false">IFERROR(INDEX(Query_Source_View!$R:$R,MATCH(ROW()-14,Query_Source_View!$Z:$Z,0)),"")</f>
        <v>Transparent</v>
      </c>
      <c r="K238" s="2" t="str">
        <f aca="false">IFERROR(INDEX(Query_Source_View!$T:$T,MATCH(ROW()-14,Query_Source_View!$Z:$Z,0)),"")</f>
        <v>Permanent</v>
      </c>
      <c r="L238" s="2" t="str">
        <f aca="false">IFERROR(INDEX(Query_Source_View!$U:$U,MATCH(ROW()-14,Query_Source_View!$Z:$Z,0)),"")</f>
        <v>N/A</v>
      </c>
      <c r="M238" s="2" t="n">
        <f aca="false">IFERROR(INDEX(Query_Source_View!$V:$V,MATCH(ROW()-14,Query_Source_View!$Z:$Z,0)),"")</f>
        <v>3</v>
      </c>
      <c r="N238" s="2" t="str">
        <f aca="false">IFERROR(INDEX(Query_Source_View!$W:$W,MATCH(ROW()-14,Query_Source_View!$Z:$Z,0)),"")</f>
        <v>Verified From Official Source</v>
      </c>
      <c r="O238" s="2" t="str">
        <f aca="false">IFERROR(INDEX(Query_Source_View!$X:$X,MATCH(ROW()-14,Query_Source_View!$Z:$Z,0)),"")</f>
        <v>https://www.winsornewton.com/pages/professional-acrylic-colour</v>
      </c>
    </row>
    <row r="239" customFormat="false" ht="46.25" hidden="false" customHeight="false" outlineLevel="0" collapsed="false">
      <c r="A239" s="2" t="str">
        <f aca="false">IFERROR(INDEX(Query_Source_View!$A:$A,MATCH(ROW()-14,Query_Source_View!$Z:$Z,0)),"")</f>
        <v>PNT000174</v>
      </c>
      <c r="B239" s="2" t="str">
        <f aca="false">IFERROR(INDEX(Query_Source_View!$D:$D,MATCH(ROW()-14,Query_Source_View!$Z:$Z,0)),"")</f>
        <v>Winsor And Newton</v>
      </c>
      <c r="C239" s="2" t="str">
        <f aca="false">IFERROR(INDEX(Query_Source_View!$F:$F,MATCH(ROW()-14,Query_Source_View!$Z:$Z,0)),"")</f>
        <v>Acrylic</v>
      </c>
      <c r="D239" s="2" t="str">
        <f aca="false">IFERROR(INDEX(Query_Source_View!$H:$H,MATCH(ROW()-14,Query_Source_View!$Z:$Z,0)),"")</f>
        <v>Professional Acrylic</v>
      </c>
      <c r="E239" s="2" t="str">
        <f aca="false">IFERROR(INDEX(Query_Source_View!$J:$J,MATCH(ROW()-14,Query_Source_View!$Z:$Z,0)),"")</f>
        <v>Olive Green</v>
      </c>
      <c r="F239" s="2" t="str">
        <f aca="false">IFERROR(INDEX(Query_Source_View!$L:$L,MATCH(ROW()-14,Query_Source_View!$Z:$Z,0)),"")</f>
        <v>Green</v>
      </c>
      <c r="G239" s="2" t="str">
        <f aca="false">IFERROR(INDEX(Query_Source_View!$N:$N,MATCH(ROW()-14,Query_Source_View!$Z:$Z,0)),"")</f>
        <v>PBk9</v>
      </c>
      <c r="H239" s="2" t="n">
        <f aca="false">IFERROR(INDEX(Query_Source_View!$P:$P,MATCH(ROW()-14,Query_Source_View!$Z:$Z,0)),"")</f>
        <v>3</v>
      </c>
      <c r="I239" s="2" t="str">
        <f aca="false">IFERROR(INDEX(Query_Source_View!$Q:$Q,MATCH(ROW()-14,Query_Source_View!$Z:$Z,0)),"")</f>
        <v>No</v>
      </c>
      <c r="J239" s="2" t="str">
        <f aca="false">IFERROR(INDEX(Query_Source_View!$R:$R,MATCH(ROW()-14,Query_Source_View!$Z:$Z,0)),"")</f>
        <v>Transparent</v>
      </c>
      <c r="K239" s="2" t="str">
        <f aca="false">IFERROR(INDEX(Query_Source_View!$T:$T,MATCH(ROW()-14,Query_Source_View!$Z:$Z,0)),"")</f>
        <v>Permanent</v>
      </c>
      <c r="L239" s="2" t="str">
        <f aca="false">IFERROR(INDEX(Query_Source_View!$U:$U,MATCH(ROW()-14,Query_Source_View!$Z:$Z,0)),"")</f>
        <v>N/A</v>
      </c>
      <c r="M239" s="2" t="n">
        <f aca="false">IFERROR(INDEX(Query_Source_View!$V:$V,MATCH(ROW()-14,Query_Source_View!$Z:$Z,0)),"")</f>
        <v>2</v>
      </c>
      <c r="N239" s="2" t="str">
        <f aca="false">IFERROR(INDEX(Query_Source_View!$W:$W,MATCH(ROW()-14,Query_Source_View!$Z:$Z,0)),"")</f>
        <v>Verified From Official Source</v>
      </c>
      <c r="O239" s="2" t="str">
        <f aca="false">IFERROR(INDEX(Query_Source_View!$X:$X,MATCH(ROW()-14,Query_Source_View!$Z:$Z,0)),"")</f>
        <v>https://www.winsornewton.com/pages/professional-acrylic-colour</v>
      </c>
    </row>
    <row r="240" customFormat="false" ht="46.25" hidden="false" customHeight="false" outlineLevel="0" collapsed="false">
      <c r="A240" s="2" t="str">
        <f aca="false">IFERROR(INDEX(Query_Source_View!$A:$A,MATCH(ROW()-14,Query_Source_View!$Z:$Z,0)),"")</f>
        <v>PNT000174</v>
      </c>
      <c r="B240" s="2" t="str">
        <f aca="false">IFERROR(INDEX(Query_Source_View!$D:$D,MATCH(ROW()-14,Query_Source_View!$Z:$Z,0)),"")</f>
        <v>Winsor And Newton</v>
      </c>
      <c r="C240" s="2" t="str">
        <f aca="false">IFERROR(INDEX(Query_Source_View!$F:$F,MATCH(ROW()-14,Query_Source_View!$Z:$Z,0)),"")</f>
        <v>Acrylic</v>
      </c>
      <c r="D240" s="2" t="str">
        <f aca="false">IFERROR(INDEX(Query_Source_View!$H:$H,MATCH(ROW()-14,Query_Source_View!$Z:$Z,0)),"")</f>
        <v>Professional Acrylic</v>
      </c>
      <c r="E240" s="2" t="str">
        <f aca="false">IFERROR(INDEX(Query_Source_View!$J:$J,MATCH(ROW()-14,Query_Source_View!$Z:$Z,0)),"")</f>
        <v>Olive Green</v>
      </c>
      <c r="F240" s="2" t="str">
        <f aca="false">IFERROR(INDEX(Query_Source_View!$L:$L,MATCH(ROW()-14,Query_Source_View!$Z:$Z,0)),"")</f>
        <v>Green</v>
      </c>
      <c r="G240" s="2" t="str">
        <f aca="false">IFERROR(INDEX(Query_Source_View!$N:$N,MATCH(ROW()-14,Query_Source_View!$Z:$Z,0)),"")</f>
        <v>PY129</v>
      </c>
      <c r="H240" s="2" t="n">
        <f aca="false">IFERROR(INDEX(Query_Source_View!$P:$P,MATCH(ROW()-14,Query_Source_View!$Z:$Z,0)),"")</f>
        <v>3</v>
      </c>
      <c r="I240" s="2" t="str">
        <f aca="false">IFERROR(INDEX(Query_Source_View!$Q:$Q,MATCH(ROW()-14,Query_Source_View!$Z:$Z,0)),"")</f>
        <v>No</v>
      </c>
      <c r="J240" s="2" t="str">
        <f aca="false">IFERROR(INDEX(Query_Source_View!$R:$R,MATCH(ROW()-14,Query_Source_View!$Z:$Z,0)),"")</f>
        <v>Transparent</v>
      </c>
      <c r="K240" s="2" t="str">
        <f aca="false">IFERROR(INDEX(Query_Source_View!$T:$T,MATCH(ROW()-14,Query_Source_View!$Z:$Z,0)),"")</f>
        <v>Permanent</v>
      </c>
      <c r="L240" s="2" t="str">
        <f aca="false">IFERROR(INDEX(Query_Source_View!$U:$U,MATCH(ROW()-14,Query_Source_View!$Z:$Z,0)),"")</f>
        <v>N/A</v>
      </c>
      <c r="M240" s="2" t="n">
        <f aca="false">IFERROR(INDEX(Query_Source_View!$V:$V,MATCH(ROW()-14,Query_Source_View!$Z:$Z,0)),"")</f>
        <v>2</v>
      </c>
      <c r="N240" s="2" t="str">
        <f aca="false">IFERROR(INDEX(Query_Source_View!$W:$W,MATCH(ROW()-14,Query_Source_View!$Z:$Z,0)),"")</f>
        <v>Verified From Official Source</v>
      </c>
      <c r="O240" s="2" t="str">
        <f aca="false">IFERROR(INDEX(Query_Source_View!$X:$X,MATCH(ROW()-14,Query_Source_View!$Z:$Z,0)),"")</f>
        <v>https://www.winsornewton.com/pages/professional-acrylic-colour</v>
      </c>
    </row>
    <row r="241" customFormat="false" ht="46.25" hidden="false" customHeight="false" outlineLevel="0" collapsed="false">
      <c r="A241" s="2" t="str">
        <f aca="false">IFERROR(INDEX(Query_Source_View!$A:$A,MATCH(ROW()-14,Query_Source_View!$Z:$Z,0)),"")</f>
        <v>PNT000174</v>
      </c>
      <c r="B241" s="2" t="str">
        <f aca="false">IFERROR(INDEX(Query_Source_View!$D:$D,MATCH(ROW()-14,Query_Source_View!$Z:$Z,0)),"")</f>
        <v>Winsor And Newton</v>
      </c>
      <c r="C241" s="2" t="str">
        <f aca="false">IFERROR(INDEX(Query_Source_View!$F:$F,MATCH(ROW()-14,Query_Source_View!$Z:$Z,0)),"")</f>
        <v>Acrylic</v>
      </c>
      <c r="D241" s="2" t="str">
        <f aca="false">IFERROR(INDEX(Query_Source_View!$H:$H,MATCH(ROW()-14,Query_Source_View!$Z:$Z,0)),"")</f>
        <v>Professional Acrylic</v>
      </c>
      <c r="E241" s="2" t="str">
        <f aca="false">IFERROR(INDEX(Query_Source_View!$J:$J,MATCH(ROW()-14,Query_Source_View!$Z:$Z,0)),"")</f>
        <v>Olive Green</v>
      </c>
      <c r="F241" s="2" t="str">
        <f aca="false">IFERROR(INDEX(Query_Source_View!$L:$L,MATCH(ROW()-14,Query_Source_View!$Z:$Z,0)),"")</f>
        <v>Green</v>
      </c>
      <c r="G241" s="2" t="str">
        <f aca="false">IFERROR(INDEX(Query_Source_View!$N:$N,MATCH(ROW()-14,Query_Source_View!$Z:$Z,0)),"")</f>
        <v>PY139</v>
      </c>
      <c r="H241" s="2" t="n">
        <f aca="false">IFERROR(INDEX(Query_Source_View!$P:$P,MATCH(ROW()-14,Query_Source_View!$Z:$Z,0)),"")</f>
        <v>3</v>
      </c>
      <c r="I241" s="2" t="str">
        <f aca="false">IFERROR(INDEX(Query_Source_View!$Q:$Q,MATCH(ROW()-14,Query_Source_View!$Z:$Z,0)),"")</f>
        <v>No</v>
      </c>
      <c r="J241" s="2" t="str">
        <f aca="false">IFERROR(INDEX(Query_Source_View!$R:$R,MATCH(ROW()-14,Query_Source_View!$Z:$Z,0)),"")</f>
        <v>Transparent</v>
      </c>
      <c r="K241" s="2" t="str">
        <f aca="false">IFERROR(INDEX(Query_Source_View!$T:$T,MATCH(ROW()-14,Query_Source_View!$Z:$Z,0)),"")</f>
        <v>Permanent</v>
      </c>
      <c r="L241" s="2" t="str">
        <f aca="false">IFERROR(INDEX(Query_Source_View!$U:$U,MATCH(ROW()-14,Query_Source_View!$Z:$Z,0)),"")</f>
        <v>N/A</v>
      </c>
      <c r="M241" s="2" t="n">
        <f aca="false">IFERROR(INDEX(Query_Source_View!$V:$V,MATCH(ROW()-14,Query_Source_View!$Z:$Z,0)),"")</f>
        <v>2</v>
      </c>
      <c r="N241" s="2" t="str">
        <f aca="false">IFERROR(INDEX(Query_Source_View!$W:$W,MATCH(ROW()-14,Query_Source_View!$Z:$Z,0)),"")</f>
        <v>Verified From Official Source</v>
      </c>
      <c r="O241" s="2" t="str">
        <f aca="false">IFERROR(INDEX(Query_Source_View!$X:$X,MATCH(ROW()-14,Query_Source_View!$Z:$Z,0)),"")</f>
        <v>https://www.winsornewton.com/pages/professional-acrylic-colour</v>
      </c>
    </row>
    <row r="242" customFormat="false" ht="46.25" hidden="false" customHeight="false" outlineLevel="0" collapsed="false">
      <c r="A242" s="2" t="str">
        <f aca="false">IFERROR(INDEX(Query_Source_View!$A:$A,MATCH(ROW()-14,Query_Source_View!$Z:$Z,0)),"")</f>
        <v>PNT000175</v>
      </c>
      <c r="B242" s="2" t="str">
        <f aca="false">IFERROR(INDEX(Query_Source_View!$D:$D,MATCH(ROW()-14,Query_Source_View!$Z:$Z,0)),"")</f>
        <v>Winsor And Newton</v>
      </c>
      <c r="C242" s="2" t="str">
        <f aca="false">IFERROR(INDEX(Query_Source_View!$F:$F,MATCH(ROW()-14,Query_Source_View!$Z:$Z,0)),"")</f>
        <v>Acrylic</v>
      </c>
      <c r="D242" s="2" t="str">
        <f aca="false">IFERROR(INDEX(Query_Source_View!$H:$H,MATCH(ROW()-14,Query_Source_View!$Z:$Z,0)),"")</f>
        <v>Professional Acrylic</v>
      </c>
      <c r="E242" s="2" t="str">
        <f aca="false">IFERROR(INDEX(Query_Source_View!$J:$J,MATCH(ROW()-14,Query_Source_View!$Z:$Z,0)),"")</f>
        <v>Perylene Green</v>
      </c>
      <c r="F242" s="2" t="str">
        <f aca="false">IFERROR(INDEX(Query_Source_View!$L:$L,MATCH(ROW()-14,Query_Source_View!$Z:$Z,0)),"")</f>
        <v>Green</v>
      </c>
      <c r="G242" s="2" t="str">
        <f aca="false">IFERROR(INDEX(Query_Source_View!$N:$N,MATCH(ROW()-14,Query_Source_View!$Z:$Z,0)),"")</f>
        <v>PBk31</v>
      </c>
      <c r="H242" s="2" t="n">
        <f aca="false">IFERROR(INDEX(Query_Source_View!$P:$P,MATCH(ROW()-14,Query_Source_View!$Z:$Z,0)),"")</f>
        <v>1</v>
      </c>
      <c r="I242" s="2" t="str">
        <f aca="false">IFERROR(INDEX(Query_Source_View!$Q:$Q,MATCH(ROW()-14,Query_Source_View!$Z:$Z,0)),"")</f>
        <v>Yes</v>
      </c>
      <c r="J242" s="2" t="str">
        <f aca="false">IFERROR(INDEX(Query_Source_View!$R:$R,MATCH(ROW()-14,Query_Source_View!$Z:$Z,0)),"")</f>
        <v>Semi Transparent</v>
      </c>
      <c r="K242" s="2" t="str">
        <f aca="false">IFERROR(INDEX(Query_Source_View!$T:$T,MATCH(ROW()-14,Query_Source_View!$Z:$Z,0)),"")</f>
        <v>Permanent</v>
      </c>
      <c r="L242" s="2" t="str">
        <f aca="false">IFERROR(INDEX(Query_Source_View!$U:$U,MATCH(ROW()-14,Query_Source_View!$Z:$Z,0)),"")</f>
        <v>N/A</v>
      </c>
      <c r="M242" s="2" t="n">
        <f aca="false">IFERROR(INDEX(Query_Source_View!$V:$V,MATCH(ROW()-14,Query_Source_View!$Z:$Z,0)),"")</f>
        <v>4</v>
      </c>
      <c r="N242" s="2" t="str">
        <f aca="false">IFERROR(INDEX(Query_Source_View!$W:$W,MATCH(ROW()-14,Query_Source_View!$Z:$Z,0)),"")</f>
        <v>Verified From Official Source</v>
      </c>
      <c r="O242" s="2" t="str">
        <f aca="false">IFERROR(INDEX(Query_Source_View!$X:$X,MATCH(ROW()-14,Query_Source_View!$Z:$Z,0)),"")</f>
        <v>https://www.winsornewton.com/pages/professional-acrylic-colour</v>
      </c>
    </row>
    <row r="243" customFormat="false" ht="46.25" hidden="false" customHeight="false" outlineLevel="0" collapsed="false">
      <c r="A243" s="2" t="str">
        <f aca="false">IFERROR(INDEX(Query_Source_View!$A:$A,MATCH(ROW()-14,Query_Source_View!$Z:$Z,0)),"")</f>
        <v>PNT000176</v>
      </c>
      <c r="B243" s="2" t="str">
        <f aca="false">IFERROR(INDEX(Query_Source_View!$D:$D,MATCH(ROW()-14,Query_Source_View!$Z:$Z,0)),"")</f>
        <v>Winsor And Newton</v>
      </c>
      <c r="C243" s="2" t="str">
        <f aca="false">IFERROR(INDEX(Query_Source_View!$F:$F,MATCH(ROW()-14,Query_Source_View!$Z:$Z,0)),"")</f>
        <v>Acrylic</v>
      </c>
      <c r="D243" s="2" t="str">
        <f aca="false">IFERROR(INDEX(Query_Source_View!$H:$H,MATCH(ROW()-14,Query_Source_View!$Z:$Z,0)),"")</f>
        <v>Professional Acrylic</v>
      </c>
      <c r="E243" s="2" t="str">
        <f aca="false">IFERROR(INDEX(Query_Source_View!$J:$J,MATCH(ROW()-14,Query_Source_View!$Z:$Z,0)),"")</f>
        <v>Perylene Red</v>
      </c>
      <c r="F243" s="2" t="str">
        <f aca="false">IFERROR(INDEX(Query_Source_View!$L:$L,MATCH(ROW()-14,Query_Source_View!$Z:$Z,0)),"")</f>
        <v>Red</v>
      </c>
      <c r="G243" s="2" t="str">
        <f aca="false">IFERROR(INDEX(Query_Source_View!$N:$N,MATCH(ROW()-14,Query_Source_View!$Z:$Z,0)),"")</f>
        <v>PR149</v>
      </c>
      <c r="H243" s="2" t="n">
        <f aca="false">IFERROR(INDEX(Query_Source_View!$P:$P,MATCH(ROW()-14,Query_Source_View!$Z:$Z,0)),"")</f>
        <v>1</v>
      </c>
      <c r="I243" s="2" t="str">
        <f aca="false">IFERROR(INDEX(Query_Source_View!$Q:$Q,MATCH(ROW()-14,Query_Source_View!$Z:$Z,0)),"")</f>
        <v>Yes</v>
      </c>
      <c r="J243" s="2" t="str">
        <f aca="false">IFERROR(INDEX(Query_Source_View!$R:$R,MATCH(ROW()-14,Query_Source_View!$Z:$Z,0)),"")</f>
        <v>Transparent</v>
      </c>
      <c r="K243" s="2" t="str">
        <f aca="false">IFERROR(INDEX(Query_Source_View!$T:$T,MATCH(ROW()-14,Query_Source_View!$Z:$Z,0)),"")</f>
        <v>Permanent</v>
      </c>
      <c r="L243" s="2" t="str">
        <f aca="false">IFERROR(INDEX(Query_Source_View!$U:$U,MATCH(ROW()-14,Query_Source_View!$Z:$Z,0)),"")</f>
        <v>I</v>
      </c>
      <c r="M243" s="2" t="n">
        <f aca="false">IFERROR(INDEX(Query_Source_View!$V:$V,MATCH(ROW()-14,Query_Source_View!$Z:$Z,0)),"")</f>
        <v>4</v>
      </c>
      <c r="N243" s="2" t="str">
        <f aca="false">IFERROR(INDEX(Query_Source_View!$W:$W,MATCH(ROW()-14,Query_Source_View!$Z:$Z,0)),"")</f>
        <v>Verified From Official Source</v>
      </c>
      <c r="O243" s="2" t="str">
        <f aca="false">IFERROR(INDEX(Query_Source_View!$X:$X,MATCH(ROW()-14,Query_Source_View!$Z:$Z,0)),"")</f>
        <v>https://www.winsornewton.com/pages/professional-acrylic-colour</v>
      </c>
    </row>
    <row r="244" customFormat="false" ht="46.25" hidden="false" customHeight="false" outlineLevel="0" collapsed="false">
      <c r="A244" s="2" t="str">
        <f aca="false">IFERROR(INDEX(Query_Source_View!$A:$A,MATCH(ROW()-14,Query_Source_View!$Z:$Z,0)),"")</f>
        <v>PNT000177</v>
      </c>
      <c r="B244" s="2" t="str">
        <f aca="false">IFERROR(INDEX(Query_Source_View!$D:$D,MATCH(ROW()-14,Query_Source_View!$Z:$Z,0)),"")</f>
        <v>Winsor And Newton</v>
      </c>
      <c r="C244" s="2" t="str">
        <f aca="false">IFERROR(INDEX(Query_Source_View!$F:$F,MATCH(ROW()-14,Query_Source_View!$Z:$Z,0)),"")</f>
        <v>Acrylic</v>
      </c>
      <c r="D244" s="2" t="str">
        <f aca="false">IFERROR(INDEX(Query_Source_View!$H:$H,MATCH(ROW()-14,Query_Source_View!$Z:$Z,0)),"")</f>
        <v>Professional Acrylic</v>
      </c>
      <c r="E244" s="2" t="str">
        <f aca="false">IFERROR(INDEX(Query_Source_View!$J:$J,MATCH(ROW()-14,Query_Source_View!$Z:$Z,0)),"")</f>
        <v>Permanent Alizarin Crimson</v>
      </c>
      <c r="F244" s="2" t="str">
        <f aca="false">IFERROR(INDEX(Query_Source_View!$L:$L,MATCH(ROW()-14,Query_Source_View!$Z:$Z,0)),"")</f>
        <v>Red</v>
      </c>
      <c r="G244" s="2" t="str">
        <f aca="false">IFERROR(INDEX(Query_Source_View!$N:$N,MATCH(ROW()-14,Query_Source_View!$Z:$Z,0)),"")</f>
        <v>PR177</v>
      </c>
      <c r="H244" s="2" t="n">
        <f aca="false">IFERROR(INDEX(Query_Source_View!$P:$P,MATCH(ROW()-14,Query_Source_View!$Z:$Z,0)),"")</f>
        <v>2</v>
      </c>
      <c r="I244" s="2" t="str">
        <f aca="false">IFERROR(INDEX(Query_Source_View!$Q:$Q,MATCH(ROW()-14,Query_Source_View!$Z:$Z,0)),"")</f>
        <v>No</v>
      </c>
      <c r="J244" s="2" t="str">
        <f aca="false">IFERROR(INDEX(Query_Source_View!$R:$R,MATCH(ROW()-14,Query_Source_View!$Z:$Z,0)),"")</f>
        <v>Transparent</v>
      </c>
      <c r="K244" s="2" t="str">
        <f aca="false">IFERROR(INDEX(Query_Source_View!$T:$T,MATCH(ROW()-14,Query_Source_View!$Z:$Z,0)),"")</f>
        <v>Permanent</v>
      </c>
      <c r="L244" s="2" t="str">
        <f aca="false">IFERROR(INDEX(Query_Source_View!$U:$U,MATCH(ROW()-14,Query_Source_View!$Z:$Z,0)),"")</f>
        <v>N/A</v>
      </c>
      <c r="M244" s="2" t="n">
        <f aca="false">IFERROR(INDEX(Query_Source_View!$V:$V,MATCH(ROW()-14,Query_Source_View!$Z:$Z,0)),"")</f>
        <v>3</v>
      </c>
      <c r="N244" s="2" t="str">
        <f aca="false">IFERROR(INDEX(Query_Source_View!$W:$W,MATCH(ROW()-14,Query_Source_View!$Z:$Z,0)),"")</f>
        <v>Verified From Official Source</v>
      </c>
      <c r="O244" s="2" t="str">
        <f aca="false">IFERROR(INDEX(Query_Source_View!$X:$X,MATCH(ROW()-14,Query_Source_View!$Z:$Z,0)),"")</f>
        <v>https://www.winsornewton.com/pages/professional-acrylic-colour</v>
      </c>
    </row>
    <row r="245" customFormat="false" ht="46.25" hidden="false" customHeight="false" outlineLevel="0" collapsed="false">
      <c r="A245" s="2" t="str">
        <f aca="false">IFERROR(INDEX(Query_Source_View!$A:$A,MATCH(ROW()-14,Query_Source_View!$Z:$Z,0)),"")</f>
        <v>PNT000177</v>
      </c>
      <c r="B245" s="2" t="str">
        <f aca="false">IFERROR(INDEX(Query_Source_View!$D:$D,MATCH(ROW()-14,Query_Source_View!$Z:$Z,0)),"")</f>
        <v>Winsor And Newton</v>
      </c>
      <c r="C245" s="2" t="str">
        <f aca="false">IFERROR(INDEX(Query_Source_View!$F:$F,MATCH(ROW()-14,Query_Source_View!$Z:$Z,0)),"")</f>
        <v>Acrylic</v>
      </c>
      <c r="D245" s="2" t="str">
        <f aca="false">IFERROR(INDEX(Query_Source_View!$H:$H,MATCH(ROW()-14,Query_Source_View!$Z:$Z,0)),"")</f>
        <v>Professional Acrylic</v>
      </c>
      <c r="E245" s="2" t="str">
        <f aca="false">IFERROR(INDEX(Query_Source_View!$J:$J,MATCH(ROW()-14,Query_Source_View!$Z:$Z,0)),"")</f>
        <v>Permanent Alizarin Crimson</v>
      </c>
      <c r="F245" s="2" t="str">
        <f aca="false">IFERROR(INDEX(Query_Source_View!$L:$L,MATCH(ROW()-14,Query_Source_View!$Z:$Z,0)),"")</f>
        <v>Red</v>
      </c>
      <c r="G245" s="2" t="str">
        <f aca="false">IFERROR(INDEX(Query_Source_View!$N:$N,MATCH(ROW()-14,Query_Source_View!$Z:$Z,0)),"")</f>
        <v>PV23</v>
      </c>
      <c r="H245" s="2" t="n">
        <f aca="false">IFERROR(INDEX(Query_Source_View!$P:$P,MATCH(ROW()-14,Query_Source_View!$Z:$Z,0)),"")</f>
        <v>2</v>
      </c>
      <c r="I245" s="2" t="str">
        <f aca="false">IFERROR(INDEX(Query_Source_View!$Q:$Q,MATCH(ROW()-14,Query_Source_View!$Z:$Z,0)),"")</f>
        <v>No</v>
      </c>
      <c r="J245" s="2" t="str">
        <f aca="false">IFERROR(INDEX(Query_Source_View!$R:$R,MATCH(ROW()-14,Query_Source_View!$Z:$Z,0)),"")</f>
        <v>Transparent</v>
      </c>
      <c r="K245" s="2" t="str">
        <f aca="false">IFERROR(INDEX(Query_Source_View!$T:$T,MATCH(ROW()-14,Query_Source_View!$Z:$Z,0)),"")</f>
        <v>Permanent</v>
      </c>
      <c r="L245" s="2" t="str">
        <f aca="false">IFERROR(INDEX(Query_Source_View!$U:$U,MATCH(ROW()-14,Query_Source_View!$Z:$Z,0)),"")</f>
        <v>N/A</v>
      </c>
      <c r="M245" s="2" t="n">
        <f aca="false">IFERROR(INDEX(Query_Source_View!$V:$V,MATCH(ROW()-14,Query_Source_View!$Z:$Z,0)),"")</f>
        <v>3</v>
      </c>
      <c r="N245" s="2" t="str">
        <f aca="false">IFERROR(INDEX(Query_Source_View!$W:$W,MATCH(ROW()-14,Query_Source_View!$Z:$Z,0)),"")</f>
        <v>Verified From Official Source</v>
      </c>
      <c r="O245" s="2" t="str">
        <f aca="false">IFERROR(INDEX(Query_Source_View!$X:$X,MATCH(ROW()-14,Query_Source_View!$Z:$Z,0)),"")</f>
        <v>https://www.winsornewton.com/pages/professional-acrylic-colour</v>
      </c>
    </row>
    <row r="246" customFormat="false" ht="46.25" hidden="false" customHeight="false" outlineLevel="0" collapsed="false">
      <c r="A246" s="2" t="str">
        <f aca="false">IFERROR(INDEX(Query_Source_View!$A:$A,MATCH(ROW()-14,Query_Source_View!$Z:$Z,0)),"")</f>
        <v>PNT000178</v>
      </c>
      <c r="B246" s="2" t="str">
        <f aca="false">IFERROR(INDEX(Query_Source_View!$D:$D,MATCH(ROW()-14,Query_Source_View!$Z:$Z,0)),"")</f>
        <v>Winsor And Newton</v>
      </c>
      <c r="C246" s="2" t="str">
        <f aca="false">IFERROR(INDEX(Query_Source_View!$F:$F,MATCH(ROW()-14,Query_Source_View!$Z:$Z,0)),"")</f>
        <v>Acrylic</v>
      </c>
      <c r="D246" s="2" t="str">
        <f aca="false">IFERROR(INDEX(Query_Source_View!$H:$H,MATCH(ROW()-14,Query_Source_View!$Z:$Z,0)),"")</f>
        <v>Professional Acrylic</v>
      </c>
      <c r="E246" s="2" t="str">
        <f aca="false">IFERROR(INDEX(Query_Source_View!$J:$J,MATCH(ROW()-14,Query_Source_View!$Z:$Z,0)),"")</f>
        <v>Perylene Violet</v>
      </c>
      <c r="F246" s="2" t="str">
        <f aca="false">IFERROR(INDEX(Query_Source_View!$L:$L,MATCH(ROW()-14,Query_Source_View!$Z:$Z,0)),"")</f>
        <v>Violet</v>
      </c>
      <c r="G246" s="2" t="str">
        <f aca="false">IFERROR(INDEX(Query_Source_View!$N:$N,MATCH(ROW()-14,Query_Source_View!$Z:$Z,0)),"")</f>
        <v>PV29</v>
      </c>
      <c r="H246" s="2" t="n">
        <f aca="false">IFERROR(INDEX(Query_Source_View!$P:$P,MATCH(ROW()-14,Query_Source_View!$Z:$Z,0)),"")</f>
        <v>1</v>
      </c>
      <c r="I246" s="2" t="str">
        <f aca="false">IFERROR(INDEX(Query_Source_View!$Q:$Q,MATCH(ROW()-14,Query_Source_View!$Z:$Z,0)),"")</f>
        <v>Yes</v>
      </c>
      <c r="J246" s="2" t="str">
        <f aca="false">IFERROR(INDEX(Query_Source_View!$R:$R,MATCH(ROW()-14,Query_Source_View!$Z:$Z,0)),"")</f>
        <v>Transparent</v>
      </c>
      <c r="K246" s="2" t="str">
        <f aca="false">IFERROR(INDEX(Query_Source_View!$T:$T,MATCH(ROW()-14,Query_Source_View!$Z:$Z,0)),"")</f>
        <v>Permanent</v>
      </c>
      <c r="L246" s="2" t="str">
        <f aca="false">IFERROR(INDEX(Query_Source_View!$U:$U,MATCH(ROW()-14,Query_Source_View!$Z:$Z,0)),"")</f>
        <v>N/A</v>
      </c>
      <c r="M246" s="2" t="n">
        <f aca="false">IFERROR(INDEX(Query_Source_View!$V:$V,MATCH(ROW()-14,Query_Source_View!$Z:$Z,0)),"")</f>
        <v>4</v>
      </c>
      <c r="N246" s="2" t="str">
        <f aca="false">IFERROR(INDEX(Query_Source_View!$W:$W,MATCH(ROW()-14,Query_Source_View!$Z:$Z,0)),"")</f>
        <v>Verified From Official Source</v>
      </c>
      <c r="O246" s="2" t="str">
        <f aca="false">IFERROR(INDEX(Query_Source_View!$X:$X,MATCH(ROW()-14,Query_Source_View!$Z:$Z,0)),"")</f>
        <v>https://www.winsornewton.com/pages/professional-acrylic-colour</v>
      </c>
    </row>
    <row r="247" customFormat="false" ht="46.25" hidden="false" customHeight="false" outlineLevel="0" collapsed="false">
      <c r="A247" s="2" t="str">
        <f aca="false">IFERROR(INDEX(Query_Source_View!$A:$A,MATCH(ROW()-14,Query_Source_View!$Z:$Z,0)),"")</f>
        <v>PNT000179</v>
      </c>
      <c r="B247" s="2" t="str">
        <f aca="false">IFERROR(INDEX(Query_Source_View!$D:$D,MATCH(ROW()-14,Query_Source_View!$Z:$Z,0)),"")</f>
        <v>Winsor And Newton</v>
      </c>
      <c r="C247" s="2" t="str">
        <f aca="false">IFERROR(INDEX(Query_Source_View!$F:$F,MATCH(ROW()-14,Query_Source_View!$Z:$Z,0)),"")</f>
        <v>Acrylic</v>
      </c>
      <c r="D247" s="2" t="str">
        <f aca="false">IFERROR(INDEX(Query_Source_View!$H:$H,MATCH(ROW()-14,Query_Source_View!$Z:$Z,0)),"")</f>
        <v>Professional Acrylic</v>
      </c>
      <c r="E247" s="2" t="str">
        <f aca="false">IFERROR(INDEX(Query_Source_View!$J:$J,MATCH(ROW()-14,Query_Source_View!$Z:$Z,0)),"")</f>
        <v>Permanent Sap Green</v>
      </c>
      <c r="F247" s="2" t="str">
        <f aca="false">IFERROR(INDEX(Query_Source_View!$L:$L,MATCH(ROW()-14,Query_Source_View!$Z:$Z,0)),"")</f>
        <v>Green</v>
      </c>
      <c r="G247" s="2" t="str">
        <f aca="false">IFERROR(INDEX(Query_Source_View!$N:$N,MATCH(ROW()-14,Query_Source_View!$Z:$Z,0)),"")</f>
        <v>PB15:3</v>
      </c>
      <c r="H247" s="2" t="n">
        <f aca="false">IFERROR(INDEX(Query_Source_View!$P:$P,MATCH(ROW()-14,Query_Source_View!$Z:$Z,0)),"")</f>
        <v>3</v>
      </c>
      <c r="I247" s="2" t="str">
        <f aca="false">IFERROR(INDEX(Query_Source_View!$Q:$Q,MATCH(ROW()-14,Query_Source_View!$Z:$Z,0)),"")</f>
        <v>No</v>
      </c>
      <c r="J247" s="2" t="str">
        <f aca="false">IFERROR(INDEX(Query_Source_View!$R:$R,MATCH(ROW()-14,Query_Source_View!$Z:$Z,0)),"")</f>
        <v>Transparent</v>
      </c>
      <c r="K247" s="2" t="str">
        <f aca="false">IFERROR(INDEX(Query_Source_View!$T:$T,MATCH(ROW()-14,Query_Source_View!$Z:$Z,0)),"")</f>
        <v>Permanent</v>
      </c>
      <c r="L247" s="2" t="str">
        <f aca="false">IFERROR(INDEX(Query_Source_View!$U:$U,MATCH(ROW()-14,Query_Source_View!$Z:$Z,0)),"")</f>
        <v>I</v>
      </c>
      <c r="M247" s="2" t="n">
        <f aca="false">IFERROR(INDEX(Query_Source_View!$V:$V,MATCH(ROW()-14,Query_Source_View!$Z:$Z,0)),"")</f>
        <v>3</v>
      </c>
      <c r="N247" s="2" t="str">
        <f aca="false">IFERROR(INDEX(Query_Source_View!$W:$W,MATCH(ROW()-14,Query_Source_View!$Z:$Z,0)),"")</f>
        <v>Verified From Official Source</v>
      </c>
      <c r="O247" s="2" t="str">
        <f aca="false">IFERROR(INDEX(Query_Source_View!$X:$X,MATCH(ROW()-14,Query_Source_View!$Z:$Z,0)),"")</f>
        <v>https://www.winsornewton.com/pages/professional-acrylic-colour</v>
      </c>
    </row>
    <row r="248" customFormat="false" ht="46.25" hidden="false" customHeight="false" outlineLevel="0" collapsed="false">
      <c r="A248" s="2" t="str">
        <f aca="false">IFERROR(INDEX(Query_Source_View!$A:$A,MATCH(ROW()-14,Query_Source_View!$Z:$Z,0)),"")</f>
        <v>PNT000179</v>
      </c>
      <c r="B248" s="2" t="str">
        <f aca="false">IFERROR(INDEX(Query_Source_View!$D:$D,MATCH(ROW()-14,Query_Source_View!$Z:$Z,0)),"")</f>
        <v>Winsor And Newton</v>
      </c>
      <c r="C248" s="2" t="str">
        <f aca="false">IFERROR(INDEX(Query_Source_View!$F:$F,MATCH(ROW()-14,Query_Source_View!$Z:$Z,0)),"")</f>
        <v>Acrylic</v>
      </c>
      <c r="D248" s="2" t="str">
        <f aca="false">IFERROR(INDEX(Query_Source_View!$H:$H,MATCH(ROW()-14,Query_Source_View!$Z:$Z,0)),"")</f>
        <v>Professional Acrylic</v>
      </c>
      <c r="E248" s="2" t="str">
        <f aca="false">IFERROR(INDEX(Query_Source_View!$J:$J,MATCH(ROW()-14,Query_Source_View!$Z:$Z,0)),"")</f>
        <v>Permanent Sap Green</v>
      </c>
      <c r="F248" s="2" t="str">
        <f aca="false">IFERROR(INDEX(Query_Source_View!$L:$L,MATCH(ROW()-14,Query_Source_View!$Z:$Z,0)),"")</f>
        <v>Green</v>
      </c>
      <c r="G248" s="2" t="str">
        <f aca="false">IFERROR(INDEX(Query_Source_View!$N:$N,MATCH(ROW()-14,Query_Source_View!$Z:$Z,0)),"")</f>
        <v>PBk9</v>
      </c>
      <c r="H248" s="2" t="n">
        <f aca="false">IFERROR(INDEX(Query_Source_View!$P:$P,MATCH(ROW()-14,Query_Source_View!$Z:$Z,0)),"")</f>
        <v>3</v>
      </c>
      <c r="I248" s="2" t="str">
        <f aca="false">IFERROR(INDEX(Query_Source_View!$Q:$Q,MATCH(ROW()-14,Query_Source_View!$Z:$Z,0)),"")</f>
        <v>No</v>
      </c>
      <c r="J248" s="2" t="str">
        <f aca="false">IFERROR(INDEX(Query_Source_View!$R:$R,MATCH(ROW()-14,Query_Source_View!$Z:$Z,0)),"")</f>
        <v>Transparent</v>
      </c>
      <c r="K248" s="2" t="str">
        <f aca="false">IFERROR(INDEX(Query_Source_View!$T:$T,MATCH(ROW()-14,Query_Source_View!$Z:$Z,0)),"")</f>
        <v>Permanent</v>
      </c>
      <c r="L248" s="2" t="str">
        <f aca="false">IFERROR(INDEX(Query_Source_View!$U:$U,MATCH(ROW()-14,Query_Source_View!$Z:$Z,0)),"")</f>
        <v>I</v>
      </c>
      <c r="M248" s="2" t="n">
        <f aca="false">IFERROR(INDEX(Query_Source_View!$V:$V,MATCH(ROW()-14,Query_Source_View!$Z:$Z,0)),"")</f>
        <v>3</v>
      </c>
      <c r="N248" s="2" t="str">
        <f aca="false">IFERROR(INDEX(Query_Source_View!$W:$W,MATCH(ROW()-14,Query_Source_View!$Z:$Z,0)),"")</f>
        <v>Verified From Official Source</v>
      </c>
      <c r="O248" s="2" t="str">
        <f aca="false">IFERROR(INDEX(Query_Source_View!$X:$X,MATCH(ROW()-14,Query_Source_View!$Z:$Z,0)),"")</f>
        <v>https://www.winsornewton.com/pages/professional-acrylic-colour</v>
      </c>
    </row>
    <row r="249" customFormat="false" ht="46.25" hidden="false" customHeight="false" outlineLevel="0" collapsed="false">
      <c r="A249" s="2" t="str">
        <f aca="false">IFERROR(INDEX(Query_Source_View!$A:$A,MATCH(ROW()-14,Query_Source_View!$Z:$Z,0)),"")</f>
        <v>PNT000179</v>
      </c>
      <c r="B249" s="2" t="str">
        <f aca="false">IFERROR(INDEX(Query_Source_View!$D:$D,MATCH(ROW()-14,Query_Source_View!$Z:$Z,0)),"")</f>
        <v>Winsor And Newton</v>
      </c>
      <c r="C249" s="2" t="str">
        <f aca="false">IFERROR(INDEX(Query_Source_View!$F:$F,MATCH(ROW()-14,Query_Source_View!$Z:$Z,0)),"")</f>
        <v>Acrylic</v>
      </c>
      <c r="D249" s="2" t="str">
        <f aca="false">IFERROR(INDEX(Query_Source_View!$H:$H,MATCH(ROW()-14,Query_Source_View!$Z:$Z,0)),"")</f>
        <v>Professional Acrylic</v>
      </c>
      <c r="E249" s="2" t="str">
        <f aca="false">IFERROR(INDEX(Query_Source_View!$J:$J,MATCH(ROW()-14,Query_Source_View!$Z:$Z,0)),"")</f>
        <v>Permanent Sap Green</v>
      </c>
      <c r="F249" s="2" t="str">
        <f aca="false">IFERROR(INDEX(Query_Source_View!$L:$L,MATCH(ROW()-14,Query_Source_View!$Z:$Z,0)),"")</f>
        <v>Green</v>
      </c>
      <c r="G249" s="2" t="str">
        <f aca="false">IFERROR(INDEX(Query_Source_View!$N:$N,MATCH(ROW()-14,Query_Source_View!$Z:$Z,0)),"")</f>
        <v>PY83</v>
      </c>
      <c r="H249" s="2" t="n">
        <f aca="false">IFERROR(INDEX(Query_Source_View!$P:$P,MATCH(ROW()-14,Query_Source_View!$Z:$Z,0)),"")</f>
        <v>3</v>
      </c>
      <c r="I249" s="2" t="str">
        <f aca="false">IFERROR(INDEX(Query_Source_View!$Q:$Q,MATCH(ROW()-14,Query_Source_View!$Z:$Z,0)),"")</f>
        <v>No</v>
      </c>
      <c r="J249" s="2" t="str">
        <f aca="false">IFERROR(INDEX(Query_Source_View!$R:$R,MATCH(ROW()-14,Query_Source_View!$Z:$Z,0)),"")</f>
        <v>Transparent</v>
      </c>
      <c r="K249" s="2" t="str">
        <f aca="false">IFERROR(INDEX(Query_Source_View!$T:$T,MATCH(ROW()-14,Query_Source_View!$Z:$Z,0)),"")</f>
        <v>Permanent</v>
      </c>
      <c r="L249" s="2" t="str">
        <f aca="false">IFERROR(INDEX(Query_Source_View!$U:$U,MATCH(ROW()-14,Query_Source_View!$Z:$Z,0)),"")</f>
        <v>I</v>
      </c>
      <c r="M249" s="2" t="n">
        <f aca="false">IFERROR(INDEX(Query_Source_View!$V:$V,MATCH(ROW()-14,Query_Source_View!$Z:$Z,0)),"")</f>
        <v>3</v>
      </c>
      <c r="N249" s="2" t="str">
        <f aca="false">IFERROR(INDEX(Query_Source_View!$W:$W,MATCH(ROW()-14,Query_Source_View!$Z:$Z,0)),"")</f>
        <v>Verified From Official Source</v>
      </c>
      <c r="O249" s="2" t="str">
        <f aca="false">IFERROR(INDEX(Query_Source_View!$X:$X,MATCH(ROW()-14,Query_Source_View!$Z:$Z,0)),"")</f>
        <v>https://www.winsornewton.com/pages/professional-acrylic-colour</v>
      </c>
    </row>
    <row r="250" customFormat="false" ht="46.25" hidden="false" customHeight="false" outlineLevel="0" collapsed="false">
      <c r="A250" s="2" t="str">
        <f aca="false">IFERROR(INDEX(Query_Source_View!$A:$A,MATCH(ROW()-14,Query_Source_View!$Z:$Z,0)),"")</f>
        <v>PNT000180</v>
      </c>
      <c r="B250" s="2" t="str">
        <f aca="false">IFERROR(INDEX(Query_Source_View!$D:$D,MATCH(ROW()-14,Query_Source_View!$Z:$Z,0)),"")</f>
        <v>Winsor And Newton</v>
      </c>
      <c r="C250" s="2" t="str">
        <f aca="false">IFERROR(INDEX(Query_Source_View!$F:$F,MATCH(ROW()-14,Query_Source_View!$Z:$Z,0)),"")</f>
        <v>Acrylic</v>
      </c>
      <c r="D250" s="2" t="str">
        <f aca="false">IFERROR(INDEX(Query_Source_View!$H:$H,MATCH(ROW()-14,Query_Source_View!$Z:$Z,0)),"")</f>
        <v>Professional Acrylic</v>
      </c>
      <c r="E250" s="2" t="str">
        <f aca="false">IFERROR(INDEX(Query_Source_View!$J:$J,MATCH(ROW()-14,Query_Source_View!$Z:$Z,0)),"")</f>
        <v>Perylene Maroon</v>
      </c>
      <c r="F250" s="2" t="str">
        <f aca="false">IFERROR(INDEX(Query_Source_View!$L:$L,MATCH(ROW()-14,Query_Source_View!$Z:$Z,0)),"")</f>
        <v>Red</v>
      </c>
      <c r="G250" s="2" t="str">
        <f aca="false">IFERROR(INDEX(Query_Source_View!$N:$N,MATCH(ROW()-14,Query_Source_View!$Z:$Z,0)),"")</f>
        <v>PR179</v>
      </c>
      <c r="H250" s="2" t="n">
        <f aca="false">IFERROR(INDEX(Query_Source_View!$P:$P,MATCH(ROW()-14,Query_Source_View!$Z:$Z,0)),"")</f>
        <v>1</v>
      </c>
      <c r="I250" s="2" t="str">
        <f aca="false">IFERROR(INDEX(Query_Source_View!$Q:$Q,MATCH(ROW()-14,Query_Source_View!$Z:$Z,0)),"")</f>
        <v>Yes</v>
      </c>
      <c r="J250" s="2" t="str">
        <f aca="false">IFERROR(INDEX(Query_Source_View!$R:$R,MATCH(ROW()-14,Query_Source_View!$Z:$Z,0)),"")</f>
        <v>Transparent</v>
      </c>
      <c r="K250" s="2" t="str">
        <f aca="false">IFERROR(INDEX(Query_Source_View!$T:$T,MATCH(ROW()-14,Query_Source_View!$Z:$Z,0)),"")</f>
        <v>Permanent</v>
      </c>
      <c r="L250" s="2" t="str">
        <f aca="false">IFERROR(INDEX(Query_Source_View!$U:$U,MATCH(ROW()-14,Query_Source_View!$Z:$Z,0)),"")</f>
        <v>N/A</v>
      </c>
      <c r="M250" s="2" t="n">
        <f aca="false">IFERROR(INDEX(Query_Source_View!$V:$V,MATCH(ROW()-14,Query_Source_View!$Z:$Z,0)),"")</f>
        <v>4</v>
      </c>
      <c r="N250" s="2" t="str">
        <f aca="false">IFERROR(INDEX(Query_Source_View!$W:$W,MATCH(ROW()-14,Query_Source_View!$Z:$Z,0)),"")</f>
        <v>Verified From Official Source</v>
      </c>
      <c r="O250" s="2" t="str">
        <f aca="false">IFERROR(INDEX(Query_Source_View!$X:$X,MATCH(ROW()-14,Query_Source_View!$Z:$Z,0)),"")</f>
        <v>https://www.winsornewton.com/pages/professional-acrylic-colour</v>
      </c>
    </row>
    <row r="251" customFormat="false" ht="46.25" hidden="false" customHeight="false" outlineLevel="0" collapsed="false">
      <c r="A251" s="2" t="str">
        <f aca="false">IFERROR(INDEX(Query_Source_View!$A:$A,MATCH(ROW()-14,Query_Source_View!$Z:$Z,0)),"")</f>
        <v>PNT000181</v>
      </c>
      <c r="B251" s="2" t="str">
        <f aca="false">IFERROR(INDEX(Query_Source_View!$D:$D,MATCH(ROW()-14,Query_Source_View!$Z:$Z,0)),"")</f>
        <v>Winsor And Newton</v>
      </c>
      <c r="C251" s="2" t="str">
        <f aca="false">IFERROR(INDEX(Query_Source_View!$F:$F,MATCH(ROW()-14,Query_Source_View!$Z:$Z,0)),"")</f>
        <v>Acrylic</v>
      </c>
      <c r="D251" s="2" t="str">
        <f aca="false">IFERROR(INDEX(Query_Source_View!$H:$H,MATCH(ROW()-14,Query_Source_View!$Z:$Z,0)),"")</f>
        <v>Professional Acrylic</v>
      </c>
      <c r="E251" s="2" t="str">
        <f aca="false">IFERROR(INDEX(Query_Source_View!$J:$J,MATCH(ROW()-14,Query_Source_View!$Z:$Z,0)),"")</f>
        <v>Phthalo Blue (Red Shade)</v>
      </c>
      <c r="F251" s="2" t="str">
        <f aca="false">IFERROR(INDEX(Query_Source_View!$L:$L,MATCH(ROW()-14,Query_Source_View!$Z:$Z,0)),"")</f>
        <v>Red</v>
      </c>
      <c r="G251" s="2" t="str">
        <f aca="false">IFERROR(INDEX(Query_Source_View!$N:$N,MATCH(ROW()-14,Query_Source_View!$Z:$Z,0)),"")</f>
        <v>PB15:1</v>
      </c>
      <c r="H251" s="2" t="n">
        <f aca="false">IFERROR(INDEX(Query_Source_View!$P:$P,MATCH(ROW()-14,Query_Source_View!$Z:$Z,0)),"")</f>
        <v>1</v>
      </c>
      <c r="I251" s="2" t="str">
        <f aca="false">IFERROR(INDEX(Query_Source_View!$Q:$Q,MATCH(ROW()-14,Query_Source_View!$Z:$Z,0)),"")</f>
        <v>Yes</v>
      </c>
      <c r="J251" s="2" t="str">
        <f aca="false">IFERROR(INDEX(Query_Source_View!$R:$R,MATCH(ROW()-14,Query_Source_View!$Z:$Z,0)),"")</f>
        <v>Transparent</v>
      </c>
      <c r="K251" s="2" t="str">
        <f aca="false">IFERROR(INDEX(Query_Source_View!$T:$T,MATCH(ROW()-14,Query_Source_View!$Z:$Z,0)),"")</f>
        <v>Permanent</v>
      </c>
      <c r="L251" s="2" t="str">
        <f aca="false">IFERROR(INDEX(Query_Source_View!$U:$U,MATCH(ROW()-14,Query_Source_View!$Z:$Z,0)),"")</f>
        <v>I</v>
      </c>
      <c r="M251" s="2" t="n">
        <f aca="false">IFERROR(INDEX(Query_Source_View!$V:$V,MATCH(ROW()-14,Query_Source_View!$Z:$Z,0)),"")</f>
        <v>2</v>
      </c>
      <c r="N251" s="2" t="str">
        <f aca="false">IFERROR(INDEX(Query_Source_View!$W:$W,MATCH(ROW()-14,Query_Source_View!$Z:$Z,0)),"")</f>
        <v>Verified From Official Source</v>
      </c>
      <c r="O251" s="2" t="str">
        <f aca="false">IFERROR(INDEX(Query_Source_View!$X:$X,MATCH(ROW()-14,Query_Source_View!$Z:$Z,0)),"")</f>
        <v>https://www.winsornewton.com/pages/professional-acrylic-colour</v>
      </c>
    </row>
    <row r="252" customFormat="false" ht="46.25" hidden="false" customHeight="false" outlineLevel="0" collapsed="false">
      <c r="A252" s="2" t="str">
        <f aca="false">IFERROR(INDEX(Query_Source_View!$A:$A,MATCH(ROW()-14,Query_Source_View!$Z:$Z,0)),"")</f>
        <v>PNT000182</v>
      </c>
      <c r="B252" s="2" t="str">
        <f aca="false">IFERROR(INDEX(Query_Source_View!$D:$D,MATCH(ROW()-14,Query_Source_View!$Z:$Z,0)),"")</f>
        <v>Winsor And Newton</v>
      </c>
      <c r="C252" s="2" t="str">
        <f aca="false">IFERROR(INDEX(Query_Source_View!$F:$F,MATCH(ROW()-14,Query_Source_View!$Z:$Z,0)),"")</f>
        <v>Acrylic</v>
      </c>
      <c r="D252" s="2" t="str">
        <f aca="false">IFERROR(INDEX(Query_Source_View!$H:$H,MATCH(ROW()-14,Query_Source_View!$Z:$Z,0)),"")</f>
        <v>Professional Acrylic</v>
      </c>
      <c r="E252" s="2" t="str">
        <f aca="false">IFERROR(INDEX(Query_Source_View!$J:$J,MATCH(ROW()-14,Query_Source_View!$Z:$Z,0)),"")</f>
        <v>Phthalo Blue (Green Shade)</v>
      </c>
      <c r="F252" s="2" t="str">
        <f aca="false">IFERROR(INDEX(Query_Source_View!$L:$L,MATCH(ROW()-14,Query_Source_View!$Z:$Z,0)),"")</f>
        <v>Blue</v>
      </c>
      <c r="G252" s="2" t="str">
        <f aca="false">IFERROR(INDEX(Query_Source_View!$N:$N,MATCH(ROW()-14,Query_Source_View!$Z:$Z,0)),"")</f>
        <v>PB15:3</v>
      </c>
      <c r="H252" s="2" t="n">
        <f aca="false">IFERROR(INDEX(Query_Source_View!$P:$P,MATCH(ROW()-14,Query_Source_View!$Z:$Z,0)),"")</f>
        <v>1</v>
      </c>
      <c r="I252" s="2" t="str">
        <f aca="false">IFERROR(INDEX(Query_Source_View!$Q:$Q,MATCH(ROW()-14,Query_Source_View!$Z:$Z,0)),"")</f>
        <v>Yes</v>
      </c>
      <c r="J252" s="2" t="str">
        <f aca="false">IFERROR(INDEX(Query_Source_View!$R:$R,MATCH(ROW()-14,Query_Source_View!$Z:$Z,0)),"")</f>
        <v>Transparent</v>
      </c>
      <c r="K252" s="2" t="str">
        <f aca="false">IFERROR(INDEX(Query_Source_View!$T:$T,MATCH(ROW()-14,Query_Source_View!$Z:$Z,0)),"")</f>
        <v>Permanent</v>
      </c>
      <c r="L252" s="2" t="str">
        <f aca="false">IFERROR(INDEX(Query_Source_View!$U:$U,MATCH(ROW()-14,Query_Source_View!$Z:$Z,0)),"")</f>
        <v>I</v>
      </c>
      <c r="M252" s="2" t="n">
        <f aca="false">IFERROR(INDEX(Query_Source_View!$V:$V,MATCH(ROW()-14,Query_Source_View!$Z:$Z,0)),"")</f>
        <v>2</v>
      </c>
      <c r="N252" s="2" t="str">
        <f aca="false">IFERROR(INDEX(Query_Source_View!$W:$W,MATCH(ROW()-14,Query_Source_View!$Z:$Z,0)),"")</f>
        <v>Verified From Official Source</v>
      </c>
      <c r="O252" s="2" t="str">
        <f aca="false">IFERROR(INDEX(Query_Source_View!$X:$X,MATCH(ROW()-14,Query_Source_View!$Z:$Z,0)),"")</f>
        <v>https://www.winsornewton.com/pages/professional-acrylic-colour</v>
      </c>
    </row>
    <row r="253" customFormat="false" ht="46.25" hidden="false" customHeight="false" outlineLevel="0" collapsed="false">
      <c r="A253" s="2" t="str">
        <f aca="false">IFERROR(INDEX(Query_Source_View!$A:$A,MATCH(ROW()-14,Query_Source_View!$Z:$Z,0)),"")</f>
        <v>PNT000183</v>
      </c>
      <c r="B253" s="2" t="str">
        <f aca="false">IFERROR(INDEX(Query_Source_View!$D:$D,MATCH(ROW()-14,Query_Source_View!$Z:$Z,0)),"")</f>
        <v>Winsor And Newton</v>
      </c>
      <c r="C253" s="2" t="str">
        <f aca="false">IFERROR(INDEX(Query_Source_View!$F:$F,MATCH(ROW()-14,Query_Source_View!$Z:$Z,0)),"")</f>
        <v>Acrylic</v>
      </c>
      <c r="D253" s="2" t="str">
        <f aca="false">IFERROR(INDEX(Query_Source_View!$H:$H,MATCH(ROW()-14,Query_Source_View!$Z:$Z,0)),"")</f>
        <v>Professional Acrylic</v>
      </c>
      <c r="E253" s="2" t="str">
        <f aca="false">IFERROR(INDEX(Query_Source_View!$J:$J,MATCH(ROW()-14,Query_Source_View!$Z:$Z,0)),"")</f>
        <v>Pyrrole Orange</v>
      </c>
      <c r="F253" s="2" t="str">
        <f aca="false">IFERROR(INDEX(Query_Source_View!$L:$L,MATCH(ROW()-14,Query_Source_View!$Z:$Z,0)),"")</f>
        <v>Orange</v>
      </c>
      <c r="G253" s="2" t="str">
        <f aca="false">IFERROR(INDEX(Query_Source_View!$N:$N,MATCH(ROW()-14,Query_Source_View!$Z:$Z,0)),"")</f>
        <v>PO73</v>
      </c>
      <c r="H253" s="2" t="n">
        <f aca="false">IFERROR(INDEX(Query_Source_View!$P:$P,MATCH(ROW()-14,Query_Source_View!$Z:$Z,0)),"")</f>
        <v>1</v>
      </c>
      <c r="I253" s="2" t="str">
        <f aca="false">IFERROR(INDEX(Query_Source_View!$Q:$Q,MATCH(ROW()-14,Query_Source_View!$Z:$Z,0)),"")</f>
        <v>Yes</v>
      </c>
      <c r="J253" s="2" t="str">
        <f aca="false">IFERROR(INDEX(Query_Source_View!$R:$R,MATCH(ROW()-14,Query_Source_View!$Z:$Z,0)),"")</f>
        <v>Semi Transparent</v>
      </c>
      <c r="K253" s="2" t="str">
        <f aca="false">IFERROR(INDEX(Query_Source_View!$T:$T,MATCH(ROW()-14,Query_Source_View!$Z:$Z,0)),"")</f>
        <v>Permanent</v>
      </c>
      <c r="L253" s="2" t="str">
        <f aca="false">IFERROR(INDEX(Query_Source_View!$U:$U,MATCH(ROW()-14,Query_Source_View!$Z:$Z,0)),"")</f>
        <v>N/A</v>
      </c>
      <c r="M253" s="2" t="n">
        <f aca="false">IFERROR(INDEX(Query_Source_View!$V:$V,MATCH(ROW()-14,Query_Source_View!$Z:$Z,0)),"")</f>
        <v>4</v>
      </c>
      <c r="N253" s="2" t="str">
        <f aca="false">IFERROR(INDEX(Query_Source_View!$W:$W,MATCH(ROW()-14,Query_Source_View!$Z:$Z,0)),"")</f>
        <v>Verified From Official Source</v>
      </c>
      <c r="O253" s="2" t="str">
        <f aca="false">IFERROR(INDEX(Query_Source_View!$X:$X,MATCH(ROW()-14,Query_Source_View!$Z:$Z,0)),"")</f>
        <v>https://www.winsornewton.com/pages/professional-acrylic-colour</v>
      </c>
    </row>
    <row r="254" customFormat="false" ht="46.25" hidden="false" customHeight="false" outlineLevel="0" collapsed="false">
      <c r="A254" s="2" t="str">
        <f aca="false">IFERROR(INDEX(Query_Source_View!$A:$A,MATCH(ROW()-14,Query_Source_View!$Z:$Z,0)),"")</f>
        <v>PNT000184</v>
      </c>
      <c r="B254" s="2" t="str">
        <f aca="false">IFERROR(INDEX(Query_Source_View!$D:$D,MATCH(ROW()-14,Query_Source_View!$Z:$Z,0)),"")</f>
        <v>Winsor And Newton</v>
      </c>
      <c r="C254" s="2" t="str">
        <f aca="false">IFERROR(INDEX(Query_Source_View!$F:$F,MATCH(ROW()-14,Query_Source_View!$Z:$Z,0)),"")</f>
        <v>Acrylic</v>
      </c>
      <c r="D254" s="2" t="str">
        <f aca="false">IFERROR(INDEX(Query_Source_View!$H:$H,MATCH(ROW()-14,Query_Source_View!$Z:$Z,0)),"")</f>
        <v>Professional Acrylic</v>
      </c>
      <c r="E254" s="2" t="str">
        <f aca="false">IFERROR(INDEX(Query_Source_View!$J:$J,MATCH(ROW()-14,Query_Source_View!$Z:$Z,0)),"")</f>
        <v>Phthalo Green (Yellow Shade)</v>
      </c>
      <c r="F254" s="2" t="str">
        <f aca="false">IFERROR(INDEX(Query_Source_View!$L:$L,MATCH(ROW()-14,Query_Source_View!$Z:$Z,0)),"")</f>
        <v>Yellow</v>
      </c>
      <c r="G254" s="2" t="str">
        <f aca="false">IFERROR(INDEX(Query_Source_View!$N:$N,MATCH(ROW()-14,Query_Source_View!$Z:$Z,0)),"")</f>
        <v>PG36</v>
      </c>
      <c r="H254" s="2" t="n">
        <f aca="false">IFERROR(INDEX(Query_Source_View!$P:$P,MATCH(ROW()-14,Query_Source_View!$Z:$Z,0)),"")</f>
        <v>1</v>
      </c>
      <c r="I254" s="2" t="str">
        <f aca="false">IFERROR(INDEX(Query_Source_View!$Q:$Q,MATCH(ROW()-14,Query_Source_View!$Z:$Z,0)),"")</f>
        <v>Yes</v>
      </c>
      <c r="J254" s="2" t="str">
        <f aca="false">IFERROR(INDEX(Query_Source_View!$R:$R,MATCH(ROW()-14,Query_Source_View!$Z:$Z,0)),"")</f>
        <v>Transparent</v>
      </c>
      <c r="K254" s="2" t="str">
        <f aca="false">IFERROR(INDEX(Query_Source_View!$T:$T,MATCH(ROW()-14,Query_Source_View!$Z:$Z,0)),"")</f>
        <v>Permanent</v>
      </c>
      <c r="L254" s="2" t="str">
        <f aca="false">IFERROR(INDEX(Query_Source_View!$U:$U,MATCH(ROW()-14,Query_Source_View!$Z:$Z,0)),"")</f>
        <v>I</v>
      </c>
      <c r="M254" s="2" t="n">
        <f aca="false">IFERROR(INDEX(Query_Source_View!$V:$V,MATCH(ROW()-14,Query_Source_View!$Z:$Z,0)),"")</f>
        <v>2</v>
      </c>
      <c r="N254" s="2" t="str">
        <f aca="false">IFERROR(INDEX(Query_Source_View!$W:$W,MATCH(ROW()-14,Query_Source_View!$Z:$Z,0)),"")</f>
        <v>Verified From Official Source</v>
      </c>
      <c r="O254" s="2" t="str">
        <f aca="false">IFERROR(INDEX(Query_Source_View!$X:$X,MATCH(ROW()-14,Query_Source_View!$Z:$Z,0)),"")</f>
        <v>https://www.winsornewton.com/pages/professional-acrylic-colour</v>
      </c>
    </row>
    <row r="255" customFormat="false" ht="46.25" hidden="false" customHeight="false" outlineLevel="0" collapsed="false">
      <c r="A255" s="2" t="str">
        <f aca="false">IFERROR(INDEX(Query_Source_View!$A:$A,MATCH(ROW()-14,Query_Source_View!$Z:$Z,0)),"")</f>
        <v>PNT000185</v>
      </c>
      <c r="B255" s="2" t="str">
        <f aca="false">IFERROR(INDEX(Query_Source_View!$D:$D,MATCH(ROW()-14,Query_Source_View!$Z:$Z,0)),"")</f>
        <v>Winsor And Newton</v>
      </c>
      <c r="C255" s="2" t="str">
        <f aca="false">IFERROR(INDEX(Query_Source_View!$F:$F,MATCH(ROW()-14,Query_Source_View!$Z:$Z,0)),"")</f>
        <v>Acrylic</v>
      </c>
      <c r="D255" s="2" t="str">
        <f aca="false">IFERROR(INDEX(Query_Source_View!$H:$H,MATCH(ROW()-14,Query_Source_View!$Z:$Z,0)),"")</f>
        <v>Professional Acrylic</v>
      </c>
      <c r="E255" s="2" t="str">
        <f aca="false">IFERROR(INDEX(Query_Source_View!$J:$J,MATCH(ROW()-14,Query_Source_View!$Z:$Z,0)),"")</f>
        <v>Phthalo Green (Blue Shade)</v>
      </c>
      <c r="F255" s="2" t="str">
        <f aca="false">IFERROR(INDEX(Query_Source_View!$L:$L,MATCH(ROW()-14,Query_Source_View!$Z:$Z,0)),"")</f>
        <v>Blue</v>
      </c>
      <c r="G255" s="2" t="str">
        <f aca="false">IFERROR(INDEX(Query_Source_View!$N:$N,MATCH(ROW()-14,Query_Source_View!$Z:$Z,0)),"")</f>
        <v>PG7</v>
      </c>
      <c r="H255" s="2" t="n">
        <f aca="false">IFERROR(INDEX(Query_Source_View!$P:$P,MATCH(ROW()-14,Query_Source_View!$Z:$Z,0)),"")</f>
        <v>1</v>
      </c>
      <c r="I255" s="2" t="str">
        <f aca="false">IFERROR(INDEX(Query_Source_View!$Q:$Q,MATCH(ROW()-14,Query_Source_View!$Z:$Z,0)),"")</f>
        <v>Yes</v>
      </c>
      <c r="J255" s="2" t="str">
        <f aca="false">IFERROR(INDEX(Query_Source_View!$R:$R,MATCH(ROW()-14,Query_Source_View!$Z:$Z,0)),"")</f>
        <v>Transparent</v>
      </c>
      <c r="K255" s="2" t="str">
        <f aca="false">IFERROR(INDEX(Query_Source_View!$T:$T,MATCH(ROW()-14,Query_Source_View!$Z:$Z,0)),"")</f>
        <v>Permanent</v>
      </c>
      <c r="L255" s="2" t="str">
        <f aca="false">IFERROR(INDEX(Query_Source_View!$U:$U,MATCH(ROW()-14,Query_Source_View!$Z:$Z,0)),"")</f>
        <v>I</v>
      </c>
      <c r="M255" s="2" t="n">
        <f aca="false">IFERROR(INDEX(Query_Source_View!$V:$V,MATCH(ROW()-14,Query_Source_View!$Z:$Z,0)),"")</f>
        <v>2</v>
      </c>
      <c r="N255" s="2" t="str">
        <f aca="false">IFERROR(INDEX(Query_Source_View!$W:$W,MATCH(ROW()-14,Query_Source_View!$Z:$Z,0)),"")</f>
        <v>Verified From Official Source</v>
      </c>
      <c r="O255" s="2" t="str">
        <f aca="false">IFERROR(INDEX(Query_Source_View!$X:$X,MATCH(ROW()-14,Query_Source_View!$Z:$Z,0)),"")</f>
        <v>https://www.winsornewton.com/pages/professional-acrylic-colour</v>
      </c>
    </row>
    <row r="256" customFormat="false" ht="46.25" hidden="false" customHeight="false" outlineLevel="0" collapsed="false">
      <c r="A256" s="2" t="str">
        <f aca="false">IFERROR(INDEX(Query_Source_View!$A:$A,MATCH(ROW()-14,Query_Source_View!$Z:$Z,0)),"")</f>
        <v>PNT000186</v>
      </c>
      <c r="B256" s="2" t="str">
        <f aca="false">IFERROR(INDEX(Query_Source_View!$D:$D,MATCH(ROW()-14,Query_Source_View!$Z:$Z,0)),"")</f>
        <v>Winsor And Newton</v>
      </c>
      <c r="C256" s="2" t="str">
        <f aca="false">IFERROR(INDEX(Query_Source_View!$F:$F,MATCH(ROW()-14,Query_Source_View!$Z:$Z,0)),"")</f>
        <v>Acrylic</v>
      </c>
      <c r="D256" s="2" t="str">
        <f aca="false">IFERROR(INDEX(Query_Source_View!$H:$H,MATCH(ROW()-14,Query_Source_View!$Z:$Z,0)),"")</f>
        <v>Professional Acrylic</v>
      </c>
      <c r="E256" s="2" t="str">
        <f aca="false">IFERROR(INDEX(Query_Source_View!$J:$J,MATCH(ROW()-14,Query_Source_View!$Z:$Z,0)),"")</f>
        <v>Phthalo Turquoise</v>
      </c>
      <c r="F256" s="2" t="str">
        <f aca="false">IFERROR(INDEX(Query_Source_View!$L:$L,MATCH(ROW()-14,Query_Source_View!$Z:$Z,0)),"")</f>
        <v>Blue</v>
      </c>
      <c r="G256" s="2" t="str">
        <f aca="false">IFERROR(INDEX(Query_Source_View!$N:$N,MATCH(ROW()-14,Query_Source_View!$Z:$Z,0)),"")</f>
        <v>PB16</v>
      </c>
      <c r="H256" s="2" t="n">
        <f aca="false">IFERROR(INDEX(Query_Source_View!$P:$P,MATCH(ROW()-14,Query_Source_View!$Z:$Z,0)),"")</f>
        <v>1</v>
      </c>
      <c r="I256" s="2" t="str">
        <f aca="false">IFERROR(INDEX(Query_Source_View!$Q:$Q,MATCH(ROW()-14,Query_Source_View!$Z:$Z,0)),"")</f>
        <v>Yes</v>
      </c>
      <c r="J256" s="2" t="str">
        <f aca="false">IFERROR(INDEX(Query_Source_View!$R:$R,MATCH(ROW()-14,Query_Source_View!$Z:$Z,0)),"")</f>
        <v>Transparent</v>
      </c>
      <c r="K256" s="2" t="str">
        <f aca="false">IFERROR(INDEX(Query_Source_View!$T:$T,MATCH(ROW()-14,Query_Source_View!$Z:$Z,0)),"")</f>
        <v>Permanent</v>
      </c>
      <c r="L256" s="2" t="str">
        <f aca="false">IFERROR(INDEX(Query_Source_View!$U:$U,MATCH(ROW()-14,Query_Source_View!$Z:$Z,0)),"")</f>
        <v>N/A</v>
      </c>
      <c r="M256" s="2" t="n">
        <f aca="false">IFERROR(INDEX(Query_Source_View!$V:$V,MATCH(ROW()-14,Query_Source_View!$Z:$Z,0)),"")</f>
        <v>3</v>
      </c>
      <c r="N256" s="2" t="str">
        <f aca="false">IFERROR(INDEX(Query_Source_View!$W:$W,MATCH(ROW()-14,Query_Source_View!$Z:$Z,0)),"")</f>
        <v>Verified From Official Source</v>
      </c>
      <c r="O256" s="2" t="str">
        <f aca="false">IFERROR(INDEX(Query_Source_View!$X:$X,MATCH(ROW()-14,Query_Source_View!$Z:$Z,0)),"")</f>
        <v>https://www.winsornewton.com/pages/professional-acrylic-colour</v>
      </c>
    </row>
    <row r="257" customFormat="false" ht="46.25" hidden="false" customHeight="false" outlineLevel="0" collapsed="false">
      <c r="A257" s="2" t="str">
        <f aca="false">IFERROR(INDEX(Query_Source_View!$A:$A,MATCH(ROW()-14,Query_Source_View!$Z:$Z,0)),"")</f>
        <v>PNT000187</v>
      </c>
      <c r="B257" s="2" t="str">
        <f aca="false">IFERROR(INDEX(Query_Source_View!$D:$D,MATCH(ROW()-14,Query_Source_View!$Z:$Z,0)),"")</f>
        <v>Winsor And Newton</v>
      </c>
      <c r="C257" s="2" t="str">
        <f aca="false">IFERROR(INDEX(Query_Source_View!$F:$F,MATCH(ROW()-14,Query_Source_View!$Z:$Z,0)),"")</f>
        <v>Acrylic</v>
      </c>
      <c r="D257" s="2" t="str">
        <f aca="false">IFERROR(INDEX(Query_Source_View!$H:$H,MATCH(ROW()-14,Query_Source_View!$Z:$Z,0)),"")</f>
        <v>Professional Acrylic</v>
      </c>
      <c r="E257" s="2" t="str">
        <f aca="false">IFERROR(INDEX(Query_Source_View!$J:$J,MATCH(ROW()-14,Query_Source_View!$Z:$Z,0)),"")</f>
        <v>Pyrrole Red</v>
      </c>
      <c r="F257" s="2" t="str">
        <f aca="false">IFERROR(INDEX(Query_Source_View!$L:$L,MATCH(ROW()-14,Query_Source_View!$Z:$Z,0)),"")</f>
        <v>Red</v>
      </c>
      <c r="G257" s="2" t="str">
        <f aca="false">IFERROR(INDEX(Query_Source_View!$N:$N,MATCH(ROW()-14,Query_Source_View!$Z:$Z,0)),"")</f>
        <v>PR254</v>
      </c>
      <c r="H257" s="2" t="n">
        <f aca="false">IFERROR(INDEX(Query_Source_View!$P:$P,MATCH(ROW()-14,Query_Source_View!$Z:$Z,0)),"")</f>
        <v>1</v>
      </c>
      <c r="I257" s="2" t="str">
        <f aca="false">IFERROR(INDEX(Query_Source_View!$Q:$Q,MATCH(ROW()-14,Query_Source_View!$Z:$Z,0)),"")</f>
        <v>Yes</v>
      </c>
      <c r="J257" s="2" t="str">
        <f aca="false">IFERROR(INDEX(Query_Source_View!$R:$R,MATCH(ROW()-14,Query_Source_View!$Z:$Z,0)),"")</f>
        <v>Opaque</v>
      </c>
      <c r="K257" s="2" t="str">
        <f aca="false">IFERROR(INDEX(Query_Source_View!$T:$T,MATCH(ROW()-14,Query_Source_View!$Z:$Z,0)),"")</f>
        <v>Permanent</v>
      </c>
      <c r="L257" s="2" t="str">
        <f aca="false">IFERROR(INDEX(Query_Source_View!$U:$U,MATCH(ROW()-14,Query_Source_View!$Z:$Z,0)),"")</f>
        <v>I</v>
      </c>
      <c r="M257" s="2" t="n">
        <f aca="false">IFERROR(INDEX(Query_Source_View!$V:$V,MATCH(ROW()-14,Query_Source_View!$Z:$Z,0)),"")</f>
        <v>4</v>
      </c>
      <c r="N257" s="2" t="str">
        <f aca="false">IFERROR(INDEX(Query_Source_View!$W:$W,MATCH(ROW()-14,Query_Source_View!$Z:$Z,0)),"")</f>
        <v>Verified From Official Source</v>
      </c>
      <c r="O257" s="2" t="str">
        <f aca="false">IFERROR(INDEX(Query_Source_View!$X:$X,MATCH(ROW()-14,Query_Source_View!$Z:$Z,0)),"")</f>
        <v>https://www.winsornewton.com/pages/professional-acrylic-colour</v>
      </c>
    </row>
    <row r="258" customFormat="false" ht="46.25" hidden="false" customHeight="false" outlineLevel="0" collapsed="false">
      <c r="A258" s="2" t="str">
        <f aca="false">IFERROR(INDEX(Query_Source_View!$A:$A,MATCH(ROW()-14,Query_Source_View!$Z:$Z,0)),"")</f>
        <v>PNT000188</v>
      </c>
      <c r="B258" s="2" t="str">
        <f aca="false">IFERROR(INDEX(Query_Source_View!$D:$D,MATCH(ROW()-14,Query_Source_View!$Z:$Z,0)),"")</f>
        <v>Winsor And Newton</v>
      </c>
      <c r="C258" s="2" t="str">
        <f aca="false">IFERROR(INDEX(Query_Source_View!$F:$F,MATCH(ROW()-14,Query_Source_View!$Z:$Z,0)),"")</f>
        <v>Acrylic</v>
      </c>
      <c r="D258" s="2" t="str">
        <f aca="false">IFERROR(INDEX(Query_Source_View!$H:$H,MATCH(ROW()-14,Query_Source_View!$Z:$Z,0)),"")</f>
        <v>Professional Acrylic</v>
      </c>
      <c r="E258" s="2" t="str">
        <f aca="false">IFERROR(INDEX(Query_Source_View!$J:$J,MATCH(ROW()-14,Query_Source_View!$Z:$Z,0)),"")</f>
        <v>Pyrrole Red Light</v>
      </c>
      <c r="F258" s="2" t="str">
        <f aca="false">IFERROR(INDEX(Query_Source_View!$L:$L,MATCH(ROW()-14,Query_Source_View!$Z:$Z,0)),"")</f>
        <v>Red</v>
      </c>
      <c r="G258" s="2" t="str">
        <f aca="false">IFERROR(INDEX(Query_Source_View!$N:$N,MATCH(ROW()-14,Query_Source_View!$Z:$Z,0)),"")</f>
        <v>PR255</v>
      </c>
      <c r="H258" s="2" t="n">
        <f aca="false">IFERROR(INDEX(Query_Source_View!$P:$P,MATCH(ROW()-14,Query_Source_View!$Z:$Z,0)),"")</f>
        <v>1</v>
      </c>
      <c r="I258" s="2" t="str">
        <f aca="false">IFERROR(INDEX(Query_Source_View!$Q:$Q,MATCH(ROW()-14,Query_Source_View!$Z:$Z,0)),"")</f>
        <v>Yes</v>
      </c>
      <c r="J258" s="2" t="str">
        <f aca="false">IFERROR(INDEX(Query_Source_View!$R:$R,MATCH(ROW()-14,Query_Source_View!$Z:$Z,0)),"")</f>
        <v>Opaque</v>
      </c>
      <c r="K258" s="2" t="str">
        <f aca="false">IFERROR(INDEX(Query_Source_View!$T:$T,MATCH(ROW()-14,Query_Source_View!$Z:$Z,0)),"")</f>
        <v>Permanent</v>
      </c>
      <c r="L258" s="2" t="str">
        <f aca="false">IFERROR(INDEX(Query_Source_View!$U:$U,MATCH(ROW()-14,Query_Source_View!$Z:$Z,0)),"")</f>
        <v>I</v>
      </c>
      <c r="M258" s="2" t="n">
        <f aca="false">IFERROR(INDEX(Query_Source_View!$V:$V,MATCH(ROW()-14,Query_Source_View!$Z:$Z,0)),"")</f>
        <v>4</v>
      </c>
      <c r="N258" s="2" t="str">
        <f aca="false">IFERROR(INDEX(Query_Source_View!$W:$W,MATCH(ROW()-14,Query_Source_View!$Z:$Z,0)),"")</f>
        <v>Verified From Official Source</v>
      </c>
      <c r="O258" s="2" t="str">
        <f aca="false">IFERROR(INDEX(Query_Source_View!$X:$X,MATCH(ROW()-14,Query_Source_View!$Z:$Z,0)),"")</f>
        <v>https://www.winsornewton.com/pages/professional-acrylic-colour</v>
      </c>
    </row>
    <row r="259" customFormat="false" ht="46.25" hidden="false" customHeight="false" outlineLevel="0" collapsed="false">
      <c r="A259" s="2" t="str">
        <f aca="false">IFERROR(INDEX(Query_Source_View!$A:$A,MATCH(ROW()-14,Query_Source_View!$Z:$Z,0)),"")</f>
        <v>PNT000189</v>
      </c>
      <c r="B259" s="2" t="str">
        <f aca="false">IFERROR(INDEX(Query_Source_View!$D:$D,MATCH(ROW()-14,Query_Source_View!$Z:$Z,0)),"")</f>
        <v>Winsor And Newton</v>
      </c>
      <c r="C259" s="2" t="str">
        <f aca="false">IFERROR(INDEX(Query_Source_View!$F:$F,MATCH(ROW()-14,Query_Source_View!$Z:$Z,0)),"")</f>
        <v>Acrylic</v>
      </c>
      <c r="D259" s="2" t="str">
        <f aca="false">IFERROR(INDEX(Query_Source_View!$H:$H,MATCH(ROW()-14,Query_Source_View!$Z:$Z,0)),"")</f>
        <v>Professional Acrylic</v>
      </c>
      <c r="E259" s="2" t="str">
        <f aca="false">IFERROR(INDEX(Query_Source_View!$J:$J,MATCH(ROW()-14,Query_Source_View!$Z:$Z,0)),"")</f>
        <v>Potter's Pink</v>
      </c>
      <c r="F259" s="2" t="str">
        <f aca="false">IFERROR(INDEX(Query_Source_View!$L:$L,MATCH(ROW()-14,Query_Source_View!$Z:$Z,0)),"")</f>
        <v>Red</v>
      </c>
      <c r="G259" s="2" t="str">
        <f aca="false">IFERROR(INDEX(Query_Source_View!$N:$N,MATCH(ROW()-14,Query_Source_View!$Z:$Z,0)),"")</f>
        <v>PR233</v>
      </c>
      <c r="H259" s="2" t="n">
        <f aca="false">IFERROR(INDEX(Query_Source_View!$P:$P,MATCH(ROW()-14,Query_Source_View!$Z:$Z,0)),"")</f>
        <v>1</v>
      </c>
      <c r="I259" s="2" t="str">
        <f aca="false">IFERROR(INDEX(Query_Source_View!$Q:$Q,MATCH(ROW()-14,Query_Source_View!$Z:$Z,0)),"")</f>
        <v>Yes</v>
      </c>
      <c r="J259" s="2" t="str">
        <f aca="false">IFERROR(INDEX(Query_Source_View!$R:$R,MATCH(ROW()-14,Query_Source_View!$Z:$Z,0)),"")</f>
        <v>Semi Opaque</v>
      </c>
      <c r="K259" s="2" t="str">
        <f aca="false">IFERROR(INDEX(Query_Source_View!$T:$T,MATCH(ROW()-14,Query_Source_View!$Z:$Z,0)),"")</f>
        <v>Extremely Permanent</v>
      </c>
      <c r="L259" s="2" t="str">
        <f aca="false">IFERROR(INDEX(Query_Source_View!$U:$U,MATCH(ROW()-14,Query_Source_View!$Z:$Z,0)),"")</f>
        <v>N/A</v>
      </c>
      <c r="M259" s="2" t="n">
        <f aca="false">IFERROR(INDEX(Query_Source_View!$V:$V,MATCH(ROW()-14,Query_Source_View!$Z:$Z,0)),"")</f>
        <v>3</v>
      </c>
      <c r="N259" s="2" t="str">
        <f aca="false">IFERROR(INDEX(Query_Source_View!$W:$W,MATCH(ROW()-14,Query_Source_View!$Z:$Z,0)),"")</f>
        <v>Verified From Official Source</v>
      </c>
      <c r="O259" s="2" t="str">
        <f aca="false">IFERROR(INDEX(Query_Source_View!$X:$X,MATCH(ROW()-14,Query_Source_View!$Z:$Z,0)),"")</f>
        <v>https://www.winsornewton.com/pages/professional-acrylic-colour</v>
      </c>
    </row>
    <row r="260" customFormat="false" ht="46.25" hidden="false" customHeight="false" outlineLevel="0" collapsed="false">
      <c r="A260" s="2" t="str">
        <f aca="false">IFERROR(INDEX(Query_Source_View!$A:$A,MATCH(ROW()-14,Query_Source_View!$Z:$Z,0)),"")</f>
        <v>PNT000190</v>
      </c>
      <c r="B260" s="2" t="str">
        <f aca="false">IFERROR(INDEX(Query_Source_View!$D:$D,MATCH(ROW()-14,Query_Source_View!$Z:$Z,0)),"")</f>
        <v>Winsor And Newton</v>
      </c>
      <c r="C260" s="2" t="str">
        <f aca="false">IFERROR(INDEX(Query_Source_View!$F:$F,MATCH(ROW()-14,Query_Source_View!$Z:$Z,0)),"")</f>
        <v>Acrylic</v>
      </c>
      <c r="D260" s="2" t="str">
        <f aca="false">IFERROR(INDEX(Query_Source_View!$H:$H,MATCH(ROW()-14,Query_Source_View!$Z:$Z,0)),"")</f>
        <v>Professional Acrylic</v>
      </c>
      <c r="E260" s="2" t="str">
        <f aca="false">IFERROR(INDEX(Query_Source_View!$J:$J,MATCH(ROW()-14,Query_Source_View!$Z:$Z,0)),"")</f>
        <v>Quinacridone Magenta</v>
      </c>
      <c r="F260" s="2" t="str">
        <f aca="false">IFERROR(INDEX(Query_Source_View!$L:$L,MATCH(ROW()-14,Query_Source_View!$Z:$Z,0)),"")</f>
        <v>Red</v>
      </c>
      <c r="G260" s="2" t="str">
        <f aca="false">IFERROR(INDEX(Query_Source_View!$N:$N,MATCH(ROW()-14,Query_Source_View!$Z:$Z,0)),"")</f>
        <v>PV19</v>
      </c>
      <c r="H260" s="2" t="n">
        <f aca="false">IFERROR(INDEX(Query_Source_View!$P:$P,MATCH(ROW()-14,Query_Source_View!$Z:$Z,0)),"")</f>
        <v>1</v>
      </c>
      <c r="I260" s="2" t="str">
        <f aca="false">IFERROR(INDEX(Query_Source_View!$Q:$Q,MATCH(ROW()-14,Query_Source_View!$Z:$Z,0)),"")</f>
        <v>Yes</v>
      </c>
      <c r="J260" s="2" t="str">
        <f aca="false">IFERROR(INDEX(Query_Source_View!$R:$R,MATCH(ROW()-14,Query_Source_View!$Z:$Z,0)),"")</f>
        <v>Transparent</v>
      </c>
      <c r="K260" s="2" t="str">
        <f aca="false">IFERROR(INDEX(Query_Source_View!$T:$T,MATCH(ROW()-14,Query_Source_View!$Z:$Z,0)),"")</f>
        <v>Permanent</v>
      </c>
      <c r="L260" s="2" t="str">
        <f aca="false">IFERROR(INDEX(Query_Source_View!$U:$U,MATCH(ROW()-14,Query_Source_View!$Z:$Z,0)),"")</f>
        <v>I</v>
      </c>
      <c r="M260" s="2" t="n">
        <f aca="false">IFERROR(INDEX(Query_Source_View!$V:$V,MATCH(ROW()-14,Query_Source_View!$Z:$Z,0)),"")</f>
        <v>3</v>
      </c>
      <c r="N260" s="2" t="str">
        <f aca="false">IFERROR(INDEX(Query_Source_View!$W:$W,MATCH(ROW()-14,Query_Source_View!$Z:$Z,0)),"")</f>
        <v>Verified From Official Source</v>
      </c>
      <c r="O260" s="2" t="str">
        <f aca="false">IFERROR(INDEX(Query_Source_View!$X:$X,MATCH(ROW()-14,Query_Source_View!$Z:$Z,0)),"")</f>
        <v>https://www.winsornewton.com/pages/professional-acrylic-colour</v>
      </c>
    </row>
    <row r="261" customFormat="false" ht="46.25" hidden="false" customHeight="false" outlineLevel="0" collapsed="false">
      <c r="A261" s="2" t="str">
        <f aca="false">IFERROR(INDEX(Query_Source_View!$A:$A,MATCH(ROW()-14,Query_Source_View!$Z:$Z,0)),"")</f>
        <v>PNT000191</v>
      </c>
      <c r="B261" s="2" t="str">
        <f aca="false">IFERROR(INDEX(Query_Source_View!$D:$D,MATCH(ROW()-14,Query_Source_View!$Z:$Z,0)),"")</f>
        <v>Winsor And Newton</v>
      </c>
      <c r="C261" s="2" t="str">
        <f aca="false">IFERROR(INDEX(Query_Source_View!$F:$F,MATCH(ROW()-14,Query_Source_View!$Z:$Z,0)),"")</f>
        <v>Acrylic</v>
      </c>
      <c r="D261" s="2" t="str">
        <f aca="false">IFERROR(INDEX(Query_Source_View!$H:$H,MATCH(ROW()-14,Query_Source_View!$Z:$Z,0)),"")</f>
        <v>Professional Acrylic</v>
      </c>
      <c r="E261" s="2" t="str">
        <f aca="false">IFERROR(INDEX(Query_Source_View!$J:$J,MATCH(ROW()-14,Query_Source_View!$Z:$Z,0)),"")</f>
        <v>Quinacridone Red</v>
      </c>
      <c r="F261" s="2" t="str">
        <f aca="false">IFERROR(INDEX(Query_Source_View!$L:$L,MATCH(ROW()-14,Query_Source_View!$Z:$Z,0)),"")</f>
        <v>Red</v>
      </c>
      <c r="G261" s="2" t="str">
        <f aca="false">IFERROR(INDEX(Query_Source_View!$N:$N,MATCH(ROW()-14,Query_Source_View!$Z:$Z,0)),"")</f>
        <v>PR209</v>
      </c>
      <c r="H261" s="2" t="n">
        <f aca="false">IFERROR(INDEX(Query_Source_View!$P:$P,MATCH(ROW()-14,Query_Source_View!$Z:$Z,0)),"")</f>
        <v>1</v>
      </c>
      <c r="I261" s="2" t="str">
        <f aca="false">IFERROR(INDEX(Query_Source_View!$Q:$Q,MATCH(ROW()-14,Query_Source_View!$Z:$Z,0)),"")</f>
        <v>Yes</v>
      </c>
      <c r="J261" s="2" t="str">
        <f aca="false">IFERROR(INDEX(Query_Source_View!$R:$R,MATCH(ROW()-14,Query_Source_View!$Z:$Z,0)),"")</f>
        <v>Transparent</v>
      </c>
      <c r="K261" s="2" t="str">
        <f aca="false">IFERROR(INDEX(Query_Source_View!$T:$T,MATCH(ROW()-14,Query_Source_View!$Z:$Z,0)),"")</f>
        <v>Permanent</v>
      </c>
      <c r="L261" s="2" t="str">
        <f aca="false">IFERROR(INDEX(Query_Source_View!$U:$U,MATCH(ROW()-14,Query_Source_View!$Z:$Z,0)),"")</f>
        <v>I</v>
      </c>
      <c r="M261" s="2" t="n">
        <f aca="false">IFERROR(INDEX(Query_Source_View!$V:$V,MATCH(ROW()-14,Query_Source_View!$Z:$Z,0)),"")</f>
        <v>3</v>
      </c>
      <c r="N261" s="2" t="str">
        <f aca="false">IFERROR(INDEX(Query_Source_View!$W:$W,MATCH(ROW()-14,Query_Source_View!$Z:$Z,0)),"")</f>
        <v>Verified From Official Source</v>
      </c>
      <c r="O261" s="2" t="str">
        <f aca="false">IFERROR(INDEX(Query_Source_View!$X:$X,MATCH(ROW()-14,Query_Source_View!$Z:$Z,0)),"")</f>
        <v>https://www.winsornewton.com/pages/professional-acrylic-colour</v>
      </c>
    </row>
    <row r="262" customFormat="false" ht="46.25" hidden="false" customHeight="false" outlineLevel="0" collapsed="false">
      <c r="A262" s="2" t="str">
        <f aca="false">IFERROR(INDEX(Query_Source_View!$A:$A,MATCH(ROW()-14,Query_Source_View!$Z:$Z,0)),"")</f>
        <v>PNT000192</v>
      </c>
      <c r="B262" s="2" t="str">
        <f aca="false">IFERROR(INDEX(Query_Source_View!$D:$D,MATCH(ROW()-14,Query_Source_View!$Z:$Z,0)),"")</f>
        <v>Winsor And Newton</v>
      </c>
      <c r="C262" s="2" t="str">
        <f aca="false">IFERROR(INDEX(Query_Source_View!$F:$F,MATCH(ROW()-14,Query_Source_View!$Z:$Z,0)),"")</f>
        <v>Acrylic</v>
      </c>
      <c r="D262" s="2" t="str">
        <f aca="false">IFERROR(INDEX(Query_Source_View!$H:$H,MATCH(ROW()-14,Query_Source_View!$Z:$Z,0)),"")</f>
        <v>Professional Acrylic</v>
      </c>
      <c r="E262" s="2" t="str">
        <f aca="false">IFERROR(INDEX(Query_Source_View!$J:$J,MATCH(ROW()-14,Query_Source_View!$Z:$Z,0)),"")</f>
        <v>Quinacridone Burnt Orange</v>
      </c>
      <c r="F262" s="2" t="str">
        <f aca="false">IFERROR(INDEX(Query_Source_View!$L:$L,MATCH(ROW()-14,Query_Source_View!$Z:$Z,0)),"")</f>
        <v>Orange</v>
      </c>
      <c r="G262" s="2" t="str">
        <f aca="false">IFERROR(INDEX(Query_Source_View!$N:$N,MATCH(ROW()-14,Query_Source_View!$Z:$Z,0)),"")</f>
        <v>PR179</v>
      </c>
      <c r="H262" s="2" t="n">
        <f aca="false">IFERROR(INDEX(Query_Source_View!$P:$P,MATCH(ROW()-14,Query_Source_View!$Z:$Z,0)),"")</f>
        <v>1</v>
      </c>
      <c r="I262" s="2" t="str">
        <f aca="false">IFERROR(INDEX(Query_Source_View!$Q:$Q,MATCH(ROW()-14,Query_Source_View!$Z:$Z,0)),"")</f>
        <v>Yes</v>
      </c>
      <c r="J262" s="2" t="str">
        <f aca="false">IFERROR(INDEX(Query_Source_View!$R:$R,MATCH(ROW()-14,Query_Source_View!$Z:$Z,0)),"")</f>
        <v>Transparent</v>
      </c>
      <c r="K262" s="2" t="str">
        <f aca="false">IFERROR(INDEX(Query_Source_View!$T:$T,MATCH(ROW()-14,Query_Source_View!$Z:$Z,0)),"")</f>
        <v>Permanent</v>
      </c>
      <c r="L262" s="2" t="str">
        <f aca="false">IFERROR(INDEX(Query_Source_View!$U:$U,MATCH(ROW()-14,Query_Source_View!$Z:$Z,0)),"")</f>
        <v>I</v>
      </c>
      <c r="M262" s="2" t="n">
        <f aca="false">IFERROR(INDEX(Query_Source_View!$V:$V,MATCH(ROW()-14,Query_Source_View!$Z:$Z,0)),"")</f>
        <v>4</v>
      </c>
      <c r="N262" s="2" t="str">
        <f aca="false">IFERROR(INDEX(Query_Source_View!$W:$W,MATCH(ROW()-14,Query_Source_View!$Z:$Z,0)),"")</f>
        <v>Verified From Official Source</v>
      </c>
      <c r="O262" s="2" t="str">
        <f aca="false">IFERROR(INDEX(Query_Source_View!$X:$X,MATCH(ROW()-14,Query_Source_View!$Z:$Z,0)),"")</f>
        <v>https://www.winsornewton.com/pages/professional-acrylic-colour</v>
      </c>
    </row>
    <row r="263" customFormat="false" ht="46.25" hidden="false" customHeight="false" outlineLevel="0" collapsed="false">
      <c r="A263" s="2" t="str">
        <f aca="false">IFERROR(INDEX(Query_Source_View!$A:$A,MATCH(ROW()-14,Query_Source_View!$Z:$Z,0)),"")</f>
        <v>PNT000193</v>
      </c>
      <c r="B263" s="2" t="str">
        <f aca="false">IFERROR(INDEX(Query_Source_View!$D:$D,MATCH(ROW()-14,Query_Source_View!$Z:$Z,0)),"")</f>
        <v>Winsor And Newton</v>
      </c>
      <c r="C263" s="2" t="str">
        <f aca="false">IFERROR(INDEX(Query_Source_View!$F:$F,MATCH(ROW()-14,Query_Source_View!$Z:$Z,0)),"")</f>
        <v>Acrylic</v>
      </c>
      <c r="D263" s="2" t="str">
        <f aca="false">IFERROR(INDEX(Query_Source_View!$H:$H,MATCH(ROW()-14,Query_Source_View!$Z:$Z,0)),"")</f>
        <v>Professional Acrylic</v>
      </c>
      <c r="E263" s="2" t="str">
        <f aca="false">IFERROR(INDEX(Query_Source_View!$J:$J,MATCH(ROW()-14,Query_Source_View!$Z:$Z,0)),"")</f>
        <v>Quinacridone Violet</v>
      </c>
      <c r="F263" s="2" t="str">
        <f aca="false">IFERROR(INDEX(Query_Source_View!$L:$L,MATCH(ROW()-14,Query_Source_View!$Z:$Z,0)),"")</f>
        <v>Violet</v>
      </c>
      <c r="G263" s="2" t="str">
        <f aca="false">IFERROR(INDEX(Query_Source_View!$N:$N,MATCH(ROW()-14,Query_Source_View!$Z:$Z,0)),"")</f>
        <v>PR122</v>
      </c>
      <c r="H263" s="2" t="n">
        <f aca="false">IFERROR(INDEX(Query_Source_View!$P:$P,MATCH(ROW()-14,Query_Source_View!$Z:$Z,0)),"")</f>
        <v>1</v>
      </c>
      <c r="I263" s="2" t="str">
        <f aca="false">IFERROR(INDEX(Query_Source_View!$Q:$Q,MATCH(ROW()-14,Query_Source_View!$Z:$Z,0)),"")</f>
        <v>Yes</v>
      </c>
      <c r="J263" s="2" t="str">
        <f aca="false">IFERROR(INDEX(Query_Source_View!$R:$R,MATCH(ROW()-14,Query_Source_View!$Z:$Z,0)),"")</f>
        <v>Transparent</v>
      </c>
      <c r="K263" s="2" t="str">
        <f aca="false">IFERROR(INDEX(Query_Source_View!$T:$T,MATCH(ROW()-14,Query_Source_View!$Z:$Z,0)),"")</f>
        <v>Permanent</v>
      </c>
      <c r="L263" s="2" t="str">
        <f aca="false">IFERROR(INDEX(Query_Source_View!$U:$U,MATCH(ROW()-14,Query_Source_View!$Z:$Z,0)),"")</f>
        <v>I</v>
      </c>
      <c r="M263" s="2" t="n">
        <f aca="false">IFERROR(INDEX(Query_Source_View!$V:$V,MATCH(ROW()-14,Query_Source_View!$Z:$Z,0)),"")</f>
        <v>3</v>
      </c>
      <c r="N263" s="2" t="str">
        <f aca="false">IFERROR(INDEX(Query_Source_View!$W:$W,MATCH(ROW()-14,Query_Source_View!$Z:$Z,0)),"")</f>
        <v>Verified From Official Source</v>
      </c>
      <c r="O263" s="2" t="str">
        <f aca="false">IFERROR(INDEX(Query_Source_View!$X:$X,MATCH(ROW()-14,Query_Source_View!$Z:$Z,0)),"")</f>
        <v>https://www.winsornewton.com/pages/professional-acrylic-colour</v>
      </c>
    </row>
    <row r="264" customFormat="false" ht="46.25" hidden="false" customHeight="false" outlineLevel="0" collapsed="false">
      <c r="A264" s="2" t="str">
        <f aca="false">IFERROR(INDEX(Query_Source_View!$A:$A,MATCH(ROW()-14,Query_Source_View!$Z:$Z,0)),"")</f>
        <v>PNT000194</v>
      </c>
      <c r="B264" s="2" t="str">
        <f aca="false">IFERROR(INDEX(Query_Source_View!$D:$D,MATCH(ROW()-14,Query_Source_View!$Z:$Z,0)),"")</f>
        <v>Winsor And Newton</v>
      </c>
      <c r="C264" s="2" t="str">
        <f aca="false">IFERROR(INDEX(Query_Source_View!$F:$F,MATCH(ROW()-14,Query_Source_View!$Z:$Z,0)),"")</f>
        <v>Acrylic</v>
      </c>
      <c r="D264" s="2" t="str">
        <f aca="false">IFERROR(INDEX(Query_Source_View!$H:$H,MATCH(ROW()-14,Query_Source_View!$Z:$Z,0)),"")</f>
        <v>Professional Acrylic</v>
      </c>
      <c r="E264" s="2" t="str">
        <f aca="false">IFERROR(INDEX(Query_Source_View!$J:$J,MATCH(ROW()-14,Query_Source_View!$Z:$Z,0)),"")</f>
        <v>Raw Sienna</v>
      </c>
      <c r="F264" s="2" t="str">
        <f aca="false">IFERROR(INDEX(Query_Source_View!$L:$L,MATCH(ROW()-14,Query_Source_View!$Z:$Z,0)),"")</f>
        <v>Orange</v>
      </c>
      <c r="G264" s="2" t="str">
        <f aca="false">IFERROR(INDEX(Query_Source_View!$N:$N,MATCH(ROW()-14,Query_Source_View!$Z:$Z,0)),"")</f>
        <v>PR101</v>
      </c>
      <c r="H264" s="2" t="n">
        <f aca="false">IFERROR(INDEX(Query_Source_View!$P:$P,MATCH(ROW()-14,Query_Source_View!$Z:$Z,0)),"")</f>
        <v>2</v>
      </c>
      <c r="I264" s="2" t="str">
        <f aca="false">IFERROR(INDEX(Query_Source_View!$Q:$Q,MATCH(ROW()-14,Query_Source_View!$Z:$Z,0)),"")</f>
        <v>No</v>
      </c>
      <c r="J264" s="2" t="str">
        <f aca="false">IFERROR(INDEX(Query_Source_View!$R:$R,MATCH(ROW()-14,Query_Source_View!$Z:$Z,0)),"")</f>
        <v>Transparent</v>
      </c>
      <c r="K264" s="2" t="str">
        <f aca="false">IFERROR(INDEX(Query_Source_View!$T:$T,MATCH(ROW()-14,Query_Source_View!$Z:$Z,0)),"")</f>
        <v>Extremely Permanent</v>
      </c>
      <c r="L264" s="2" t="str">
        <f aca="false">IFERROR(INDEX(Query_Source_View!$U:$U,MATCH(ROW()-14,Query_Source_View!$Z:$Z,0)),"")</f>
        <v>I</v>
      </c>
      <c r="M264" s="2" t="n">
        <f aca="false">IFERROR(INDEX(Query_Source_View!$V:$V,MATCH(ROW()-14,Query_Source_View!$Z:$Z,0)),"")</f>
        <v>1</v>
      </c>
      <c r="N264" s="2" t="str">
        <f aca="false">IFERROR(INDEX(Query_Source_View!$W:$W,MATCH(ROW()-14,Query_Source_View!$Z:$Z,0)),"")</f>
        <v>Verified From Official Source</v>
      </c>
      <c r="O264" s="2" t="str">
        <f aca="false">IFERROR(INDEX(Query_Source_View!$X:$X,MATCH(ROW()-14,Query_Source_View!$Z:$Z,0)),"")</f>
        <v>https://www.winsornewton.com/pages/professional-acrylic-colour</v>
      </c>
    </row>
    <row r="265" customFormat="false" ht="46.25" hidden="false" customHeight="false" outlineLevel="0" collapsed="false">
      <c r="A265" s="2" t="str">
        <f aca="false">IFERROR(INDEX(Query_Source_View!$A:$A,MATCH(ROW()-14,Query_Source_View!$Z:$Z,0)),"")</f>
        <v>PNT000194</v>
      </c>
      <c r="B265" s="2" t="str">
        <f aca="false">IFERROR(INDEX(Query_Source_View!$D:$D,MATCH(ROW()-14,Query_Source_View!$Z:$Z,0)),"")</f>
        <v>Winsor And Newton</v>
      </c>
      <c r="C265" s="2" t="str">
        <f aca="false">IFERROR(INDEX(Query_Source_View!$F:$F,MATCH(ROW()-14,Query_Source_View!$Z:$Z,0)),"")</f>
        <v>Acrylic</v>
      </c>
      <c r="D265" s="2" t="str">
        <f aca="false">IFERROR(INDEX(Query_Source_View!$H:$H,MATCH(ROW()-14,Query_Source_View!$Z:$Z,0)),"")</f>
        <v>Professional Acrylic</v>
      </c>
      <c r="E265" s="2" t="str">
        <f aca="false">IFERROR(INDEX(Query_Source_View!$J:$J,MATCH(ROW()-14,Query_Source_View!$Z:$Z,0)),"")</f>
        <v>Raw Sienna</v>
      </c>
      <c r="F265" s="2" t="str">
        <f aca="false">IFERROR(INDEX(Query_Source_View!$L:$L,MATCH(ROW()-14,Query_Source_View!$Z:$Z,0)),"")</f>
        <v>Orange</v>
      </c>
      <c r="G265" s="2" t="str">
        <f aca="false">IFERROR(INDEX(Query_Source_View!$N:$N,MATCH(ROW()-14,Query_Source_View!$Z:$Z,0)),"")</f>
        <v>PY42</v>
      </c>
      <c r="H265" s="2" t="n">
        <f aca="false">IFERROR(INDEX(Query_Source_View!$P:$P,MATCH(ROW()-14,Query_Source_View!$Z:$Z,0)),"")</f>
        <v>2</v>
      </c>
      <c r="I265" s="2" t="str">
        <f aca="false">IFERROR(INDEX(Query_Source_View!$Q:$Q,MATCH(ROW()-14,Query_Source_View!$Z:$Z,0)),"")</f>
        <v>No</v>
      </c>
      <c r="J265" s="2" t="str">
        <f aca="false">IFERROR(INDEX(Query_Source_View!$R:$R,MATCH(ROW()-14,Query_Source_View!$Z:$Z,0)),"")</f>
        <v>Transparent</v>
      </c>
      <c r="K265" s="2" t="str">
        <f aca="false">IFERROR(INDEX(Query_Source_View!$T:$T,MATCH(ROW()-14,Query_Source_View!$Z:$Z,0)),"")</f>
        <v>Extremely Permanent</v>
      </c>
      <c r="L265" s="2" t="str">
        <f aca="false">IFERROR(INDEX(Query_Source_View!$U:$U,MATCH(ROW()-14,Query_Source_View!$Z:$Z,0)),"")</f>
        <v>I</v>
      </c>
      <c r="M265" s="2" t="n">
        <f aca="false">IFERROR(INDEX(Query_Source_View!$V:$V,MATCH(ROW()-14,Query_Source_View!$Z:$Z,0)),"")</f>
        <v>1</v>
      </c>
      <c r="N265" s="2" t="str">
        <f aca="false">IFERROR(INDEX(Query_Source_View!$W:$W,MATCH(ROW()-14,Query_Source_View!$Z:$Z,0)),"")</f>
        <v>Verified From Official Source</v>
      </c>
      <c r="O265" s="2" t="str">
        <f aca="false">IFERROR(INDEX(Query_Source_View!$X:$X,MATCH(ROW()-14,Query_Source_View!$Z:$Z,0)),"")</f>
        <v>https://www.winsornewton.com/pages/professional-acrylic-colour</v>
      </c>
    </row>
    <row r="266" customFormat="false" ht="46.25" hidden="false" customHeight="false" outlineLevel="0" collapsed="false">
      <c r="A266" s="2" t="str">
        <f aca="false">IFERROR(INDEX(Query_Source_View!$A:$A,MATCH(ROW()-14,Query_Source_View!$Z:$Z,0)),"")</f>
        <v>PNT000195</v>
      </c>
      <c r="B266" s="2" t="str">
        <f aca="false">IFERROR(INDEX(Query_Source_View!$D:$D,MATCH(ROW()-14,Query_Source_View!$Z:$Z,0)),"")</f>
        <v>Winsor And Newton</v>
      </c>
      <c r="C266" s="2" t="str">
        <f aca="false">IFERROR(INDEX(Query_Source_View!$F:$F,MATCH(ROW()-14,Query_Source_View!$Z:$Z,0)),"")</f>
        <v>Acrylic</v>
      </c>
      <c r="D266" s="2" t="str">
        <f aca="false">IFERROR(INDEX(Query_Source_View!$H:$H,MATCH(ROW()-14,Query_Source_View!$Z:$Z,0)),"")</f>
        <v>Professional Acrylic</v>
      </c>
      <c r="E266" s="2" t="str">
        <f aca="false">IFERROR(INDEX(Query_Source_View!$J:$J,MATCH(ROW()-14,Query_Source_View!$Z:$Z,0)),"")</f>
        <v>Raw Umber</v>
      </c>
      <c r="F266" s="2" t="str">
        <f aca="false">IFERROR(INDEX(Query_Source_View!$L:$L,MATCH(ROW()-14,Query_Source_View!$Z:$Z,0)),"")</f>
        <v>Earth</v>
      </c>
      <c r="G266" s="2" t="str">
        <f aca="false">IFERROR(INDEX(Query_Source_View!$N:$N,MATCH(ROW()-14,Query_Source_View!$Z:$Z,0)),"")</f>
        <v>PBr7</v>
      </c>
      <c r="H266" s="2" t="n">
        <f aca="false">IFERROR(INDEX(Query_Source_View!$P:$P,MATCH(ROW()-14,Query_Source_View!$Z:$Z,0)),"")</f>
        <v>1</v>
      </c>
      <c r="I266" s="2" t="str">
        <f aca="false">IFERROR(INDEX(Query_Source_View!$Q:$Q,MATCH(ROW()-14,Query_Source_View!$Z:$Z,0)),"")</f>
        <v>Yes</v>
      </c>
      <c r="J266" s="2" t="str">
        <f aca="false">IFERROR(INDEX(Query_Source_View!$R:$R,MATCH(ROW()-14,Query_Source_View!$Z:$Z,0)),"")</f>
        <v>Semi Opaque</v>
      </c>
      <c r="K266" s="2" t="str">
        <f aca="false">IFERROR(INDEX(Query_Source_View!$T:$T,MATCH(ROW()-14,Query_Source_View!$Z:$Z,0)),"")</f>
        <v>Extremely Permanent</v>
      </c>
      <c r="L266" s="2" t="str">
        <f aca="false">IFERROR(INDEX(Query_Source_View!$U:$U,MATCH(ROW()-14,Query_Source_View!$Z:$Z,0)),"")</f>
        <v>I</v>
      </c>
      <c r="M266" s="2" t="n">
        <f aca="false">IFERROR(INDEX(Query_Source_View!$V:$V,MATCH(ROW()-14,Query_Source_View!$Z:$Z,0)),"")</f>
        <v>1</v>
      </c>
      <c r="N266" s="2" t="str">
        <f aca="false">IFERROR(INDEX(Query_Source_View!$W:$W,MATCH(ROW()-14,Query_Source_View!$Z:$Z,0)),"")</f>
        <v>Verified From Official Source</v>
      </c>
      <c r="O266" s="2" t="str">
        <f aca="false">IFERROR(INDEX(Query_Source_View!$X:$X,MATCH(ROW()-14,Query_Source_View!$Z:$Z,0)),"")</f>
        <v>https://www.winsornewton.com/pages/professional-acrylic-colour</v>
      </c>
    </row>
    <row r="267" customFormat="false" ht="46.25" hidden="false" customHeight="false" outlineLevel="0" collapsed="false">
      <c r="A267" s="2" t="str">
        <f aca="false">IFERROR(INDEX(Query_Source_View!$A:$A,MATCH(ROW()-14,Query_Source_View!$Z:$Z,0)),"")</f>
        <v>PNT000196</v>
      </c>
      <c r="B267" s="2" t="str">
        <f aca="false">IFERROR(INDEX(Query_Source_View!$D:$D,MATCH(ROW()-14,Query_Source_View!$Z:$Z,0)),"")</f>
        <v>Winsor And Newton</v>
      </c>
      <c r="C267" s="2" t="str">
        <f aca="false">IFERROR(INDEX(Query_Source_View!$F:$F,MATCH(ROW()-14,Query_Source_View!$Z:$Z,0)),"")</f>
        <v>Acrylic</v>
      </c>
      <c r="D267" s="2" t="str">
        <f aca="false">IFERROR(INDEX(Query_Source_View!$H:$H,MATCH(ROW()-14,Query_Source_View!$Z:$Z,0)),"")</f>
        <v>Professional Acrylic</v>
      </c>
      <c r="E267" s="2" t="str">
        <f aca="false">IFERROR(INDEX(Query_Source_View!$J:$J,MATCH(ROW()-14,Query_Source_View!$Z:$Z,0)),"")</f>
        <v>Titanium White</v>
      </c>
      <c r="F267" s="2" t="str">
        <f aca="false">IFERROR(INDEX(Query_Source_View!$L:$L,MATCH(ROW()-14,Query_Source_View!$Z:$Z,0)),"")</f>
        <v>White</v>
      </c>
      <c r="G267" s="2" t="str">
        <f aca="false">IFERROR(INDEX(Query_Source_View!$N:$N,MATCH(ROW()-14,Query_Source_View!$Z:$Z,0)),"")</f>
        <v>PW6</v>
      </c>
      <c r="H267" s="2" t="n">
        <f aca="false">IFERROR(INDEX(Query_Source_View!$P:$P,MATCH(ROW()-14,Query_Source_View!$Z:$Z,0)),"")</f>
        <v>1</v>
      </c>
      <c r="I267" s="2" t="str">
        <f aca="false">IFERROR(INDEX(Query_Source_View!$Q:$Q,MATCH(ROW()-14,Query_Source_View!$Z:$Z,0)),"")</f>
        <v>Yes</v>
      </c>
      <c r="J267" s="2" t="str">
        <f aca="false">IFERROR(INDEX(Query_Source_View!$R:$R,MATCH(ROW()-14,Query_Source_View!$Z:$Z,0)),"")</f>
        <v>Opaque</v>
      </c>
      <c r="K267" s="2" t="str">
        <f aca="false">IFERROR(INDEX(Query_Source_View!$T:$T,MATCH(ROW()-14,Query_Source_View!$Z:$Z,0)),"")</f>
        <v>Extremely Permanent</v>
      </c>
      <c r="L267" s="2" t="str">
        <f aca="false">IFERROR(INDEX(Query_Source_View!$U:$U,MATCH(ROW()-14,Query_Source_View!$Z:$Z,0)),"")</f>
        <v>I</v>
      </c>
      <c r="M267" s="2" t="n">
        <f aca="false">IFERROR(INDEX(Query_Source_View!$V:$V,MATCH(ROW()-14,Query_Source_View!$Z:$Z,0)),"")</f>
        <v>1</v>
      </c>
      <c r="N267" s="2" t="str">
        <f aca="false">IFERROR(INDEX(Query_Source_View!$W:$W,MATCH(ROW()-14,Query_Source_View!$Z:$Z,0)),"")</f>
        <v>Verified From Official Source</v>
      </c>
      <c r="O267" s="2" t="str">
        <f aca="false">IFERROR(INDEX(Query_Source_View!$X:$X,MATCH(ROW()-14,Query_Source_View!$Z:$Z,0)),"")</f>
        <v>https://www.winsornewton.com/pages/professional-acrylic-colour</v>
      </c>
    </row>
    <row r="268" customFormat="false" ht="46.25" hidden="false" customHeight="false" outlineLevel="0" collapsed="false">
      <c r="A268" s="2" t="str">
        <f aca="false">IFERROR(INDEX(Query_Source_View!$A:$A,MATCH(ROW()-14,Query_Source_View!$Z:$Z,0)),"")</f>
        <v>PNT000197</v>
      </c>
      <c r="B268" s="2" t="str">
        <f aca="false">IFERROR(INDEX(Query_Source_View!$D:$D,MATCH(ROW()-14,Query_Source_View!$Z:$Z,0)),"")</f>
        <v>Winsor And Newton</v>
      </c>
      <c r="C268" s="2" t="str">
        <f aca="false">IFERROR(INDEX(Query_Source_View!$F:$F,MATCH(ROW()-14,Query_Source_View!$Z:$Z,0)),"")</f>
        <v>Acrylic</v>
      </c>
      <c r="D268" s="2" t="str">
        <f aca="false">IFERROR(INDEX(Query_Source_View!$H:$H,MATCH(ROW()-14,Query_Source_View!$Z:$Z,0)),"")</f>
        <v>Professional Acrylic</v>
      </c>
      <c r="E268" s="2" t="str">
        <f aca="false">IFERROR(INDEX(Query_Source_View!$J:$J,MATCH(ROW()-14,Query_Source_View!$Z:$Z,0)),"")</f>
        <v>Ultramarine Blue</v>
      </c>
      <c r="F268" s="2" t="str">
        <f aca="false">IFERROR(INDEX(Query_Source_View!$L:$L,MATCH(ROW()-14,Query_Source_View!$Z:$Z,0)),"")</f>
        <v>Blue</v>
      </c>
      <c r="G268" s="2" t="str">
        <f aca="false">IFERROR(INDEX(Query_Source_View!$N:$N,MATCH(ROW()-14,Query_Source_View!$Z:$Z,0)),"")</f>
        <v>PB29</v>
      </c>
      <c r="H268" s="2" t="n">
        <f aca="false">IFERROR(INDEX(Query_Source_View!$P:$P,MATCH(ROW()-14,Query_Source_View!$Z:$Z,0)),"")</f>
        <v>1</v>
      </c>
      <c r="I268" s="2" t="str">
        <f aca="false">IFERROR(INDEX(Query_Source_View!$Q:$Q,MATCH(ROW()-14,Query_Source_View!$Z:$Z,0)),"")</f>
        <v>Yes</v>
      </c>
      <c r="J268" s="2" t="str">
        <f aca="false">IFERROR(INDEX(Query_Source_View!$R:$R,MATCH(ROW()-14,Query_Source_View!$Z:$Z,0)),"")</f>
        <v>Transparent</v>
      </c>
      <c r="K268" s="2" t="str">
        <f aca="false">IFERROR(INDEX(Query_Source_View!$T:$T,MATCH(ROW()-14,Query_Source_View!$Z:$Z,0)),"")</f>
        <v>Permanent</v>
      </c>
      <c r="L268" s="2" t="str">
        <f aca="false">IFERROR(INDEX(Query_Source_View!$U:$U,MATCH(ROW()-14,Query_Source_View!$Z:$Z,0)),"")</f>
        <v>I</v>
      </c>
      <c r="M268" s="2" t="n">
        <f aca="false">IFERROR(INDEX(Query_Source_View!$V:$V,MATCH(ROW()-14,Query_Source_View!$Z:$Z,0)),"")</f>
        <v>2</v>
      </c>
      <c r="N268" s="2" t="str">
        <f aca="false">IFERROR(INDEX(Query_Source_View!$W:$W,MATCH(ROW()-14,Query_Source_View!$Z:$Z,0)),"")</f>
        <v>Verified From Official Source</v>
      </c>
      <c r="O268" s="2" t="str">
        <f aca="false">IFERROR(INDEX(Query_Source_View!$X:$X,MATCH(ROW()-14,Query_Source_View!$Z:$Z,0)),"")</f>
        <v>https://www.winsornewton.com/pages/professional-acrylic-colour</v>
      </c>
    </row>
    <row r="269" customFormat="false" ht="46.25" hidden="false" customHeight="false" outlineLevel="0" collapsed="false">
      <c r="A269" s="2" t="str">
        <f aca="false">IFERROR(INDEX(Query_Source_View!$A:$A,MATCH(ROW()-14,Query_Source_View!$Z:$Z,0)),"")</f>
        <v>PNT000198</v>
      </c>
      <c r="B269" s="2" t="str">
        <f aca="false">IFERROR(INDEX(Query_Source_View!$D:$D,MATCH(ROW()-14,Query_Source_View!$Z:$Z,0)),"")</f>
        <v>Winsor And Newton</v>
      </c>
      <c r="C269" s="2" t="str">
        <f aca="false">IFERROR(INDEX(Query_Source_View!$F:$F,MATCH(ROW()-14,Query_Source_View!$Z:$Z,0)),"")</f>
        <v>Acrylic</v>
      </c>
      <c r="D269" s="2" t="str">
        <f aca="false">IFERROR(INDEX(Query_Source_View!$H:$H,MATCH(ROW()-14,Query_Source_View!$Z:$Z,0)),"")</f>
        <v>Professional Acrylic</v>
      </c>
      <c r="E269" s="2" t="str">
        <f aca="false">IFERROR(INDEX(Query_Source_View!$J:$J,MATCH(ROW()-14,Query_Source_View!$Z:$Z,0)),"")</f>
        <v>Ultramarine Violet</v>
      </c>
      <c r="F269" s="2" t="str">
        <f aca="false">IFERROR(INDEX(Query_Source_View!$L:$L,MATCH(ROW()-14,Query_Source_View!$Z:$Z,0)),"")</f>
        <v>Violet</v>
      </c>
      <c r="G269" s="2" t="str">
        <f aca="false">IFERROR(INDEX(Query_Source_View!$N:$N,MATCH(ROW()-14,Query_Source_View!$Z:$Z,0)),"")</f>
        <v>PV15</v>
      </c>
      <c r="H269" s="2" t="n">
        <f aca="false">IFERROR(INDEX(Query_Source_View!$P:$P,MATCH(ROW()-14,Query_Source_View!$Z:$Z,0)),"")</f>
        <v>1</v>
      </c>
      <c r="I269" s="2" t="str">
        <f aca="false">IFERROR(INDEX(Query_Source_View!$Q:$Q,MATCH(ROW()-14,Query_Source_View!$Z:$Z,0)),"")</f>
        <v>Yes</v>
      </c>
      <c r="J269" s="2" t="str">
        <f aca="false">IFERROR(INDEX(Query_Source_View!$R:$R,MATCH(ROW()-14,Query_Source_View!$Z:$Z,0)),"")</f>
        <v>Transparent</v>
      </c>
      <c r="K269" s="2" t="str">
        <f aca="false">IFERROR(INDEX(Query_Source_View!$T:$T,MATCH(ROW()-14,Query_Source_View!$Z:$Z,0)),"")</f>
        <v>Permanent</v>
      </c>
      <c r="L269" s="2" t="str">
        <f aca="false">IFERROR(INDEX(Query_Source_View!$U:$U,MATCH(ROW()-14,Query_Source_View!$Z:$Z,0)),"")</f>
        <v>I</v>
      </c>
      <c r="M269" s="2" t="n">
        <f aca="false">IFERROR(INDEX(Query_Source_View!$V:$V,MATCH(ROW()-14,Query_Source_View!$Z:$Z,0)),"")</f>
        <v>2</v>
      </c>
      <c r="N269" s="2" t="str">
        <f aca="false">IFERROR(INDEX(Query_Source_View!$W:$W,MATCH(ROW()-14,Query_Source_View!$Z:$Z,0)),"")</f>
        <v>Verified From Official Source</v>
      </c>
      <c r="O269" s="2" t="str">
        <f aca="false">IFERROR(INDEX(Query_Source_View!$X:$X,MATCH(ROW()-14,Query_Source_View!$Z:$Z,0)),"")</f>
        <v>https://www.winsornewton.com/pages/professional-acrylic-colour</v>
      </c>
    </row>
    <row r="270" customFormat="false" ht="46.25" hidden="false" customHeight="false" outlineLevel="0" collapsed="false">
      <c r="A270" s="2" t="str">
        <f aca="false">IFERROR(INDEX(Query_Source_View!$A:$A,MATCH(ROW()-14,Query_Source_View!$Z:$Z,0)),"")</f>
        <v>PNT000199</v>
      </c>
      <c r="B270" s="2" t="str">
        <f aca="false">IFERROR(INDEX(Query_Source_View!$D:$D,MATCH(ROW()-14,Query_Source_View!$Z:$Z,0)),"")</f>
        <v>Winsor And Newton</v>
      </c>
      <c r="C270" s="2" t="str">
        <f aca="false">IFERROR(INDEX(Query_Source_View!$F:$F,MATCH(ROW()-14,Query_Source_View!$Z:$Z,0)),"")</f>
        <v>Acrylic</v>
      </c>
      <c r="D270" s="2" t="str">
        <f aca="false">IFERROR(INDEX(Query_Source_View!$H:$H,MATCH(ROW()-14,Query_Source_View!$Z:$Z,0)),"")</f>
        <v>Professional Acrylic</v>
      </c>
      <c r="E270" s="2" t="str">
        <f aca="false">IFERROR(INDEX(Query_Source_View!$J:$J,MATCH(ROW()-14,Query_Source_View!$Z:$Z,0)),"")</f>
        <v>Yellow Ochre</v>
      </c>
      <c r="F270" s="2" t="str">
        <f aca="false">IFERROR(INDEX(Query_Source_View!$L:$L,MATCH(ROW()-14,Query_Source_View!$Z:$Z,0)),"")</f>
        <v>Yellow</v>
      </c>
      <c r="G270" s="2" t="str">
        <f aca="false">IFERROR(INDEX(Query_Source_View!$N:$N,MATCH(ROW()-14,Query_Source_View!$Z:$Z,0)),"")</f>
        <v>PY43</v>
      </c>
      <c r="H270" s="2" t="n">
        <f aca="false">IFERROR(INDEX(Query_Source_View!$P:$P,MATCH(ROW()-14,Query_Source_View!$Z:$Z,0)),"")</f>
        <v>1</v>
      </c>
      <c r="I270" s="2" t="str">
        <f aca="false">IFERROR(INDEX(Query_Source_View!$Q:$Q,MATCH(ROW()-14,Query_Source_View!$Z:$Z,0)),"")</f>
        <v>Yes</v>
      </c>
      <c r="J270" s="2" t="str">
        <f aca="false">IFERROR(INDEX(Query_Source_View!$R:$R,MATCH(ROW()-14,Query_Source_View!$Z:$Z,0)),"")</f>
        <v>Semi Transparent</v>
      </c>
      <c r="K270" s="2" t="str">
        <f aca="false">IFERROR(INDEX(Query_Source_View!$T:$T,MATCH(ROW()-14,Query_Source_View!$Z:$Z,0)),"")</f>
        <v>Extremely Permanent</v>
      </c>
      <c r="L270" s="2" t="str">
        <f aca="false">IFERROR(INDEX(Query_Source_View!$U:$U,MATCH(ROW()-14,Query_Source_View!$Z:$Z,0)),"")</f>
        <v>I</v>
      </c>
      <c r="M270" s="2" t="n">
        <f aca="false">IFERROR(INDEX(Query_Source_View!$V:$V,MATCH(ROW()-14,Query_Source_View!$Z:$Z,0)),"")</f>
        <v>1</v>
      </c>
      <c r="N270" s="2" t="str">
        <f aca="false">IFERROR(INDEX(Query_Source_View!$W:$W,MATCH(ROW()-14,Query_Source_View!$Z:$Z,0)),"")</f>
        <v>Verified From Official Source</v>
      </c>
      <c r="O270" s="2" t="str">
        <f aca="false">IFERROR(INDEX(Query_Source_View!$X:$X,MATCH(ROW()-14,Query_Source_View!$Z:$Z,0)),"")</f>
        <v>https://www.winsornewton.com/pages/professional-acrylic-colour</v>
      </c>
    </row>
    <row r="271" customFormat="false" ht="46.25" hidden="false" customHeight="false" outlineLevel="0" collapsed="false">
      <c r="A271" s="2" t="str">
        <f aca="false">IFERROR(INDEX(Query_Source_View!$A:$A,MATCH(ROW()-14,Query_Source_View!$Z:$Z,0)),"")</f>
        <v>PNT000200</v>
      </c>
      <c r="B271" s="2" t="str">
        <f aca="false">IFERROR(INDEX(Query_Source_View!$D:$D,MATCH(ROW()-14,Query_Source_View!$Z:$Z,0)),"")</f>
        <v>Winsor And Newton</v>
      </c>
      <c r="C271" s="2" t="str">
        <f aca="false">IFERROR(INDEX(Query_Source_View!$F:$F,MATCH(ROW()-14,Query_Source_View!$Z:$Z,0)),"")</f>
        <v>Acrylic</v>
      </c>
      <c r="D271" s="2" t="str">
        <f aca="false">IFERROR(INDEX(Query_Source_View!$H:$H,MATCH(ROW()-14,Query_Source_View!$Z:$Z,0)),"")</f>
        <v>Professional Acrylic</v>
      </c>
      <c r="E271" s="2" t="str">
        <f aca="false">IFERROR(INDEX(Query_Source_View!$J:$J,MATCH(ROW()-14,Query_Source_View!$Z:$Z,0)),"")</f>
        <v>Mixing White</v>
      </c>
      <c r="F271" s="2" t="str">
        <f aca="false">IFERROR(INDEX(Query_Source_View!$L:$L,MATCH(ROW()-14,Query_Source_View!$Z:$Z,0)),"")</f>
        <v>White</v>
      </c>
      <c r="G271" s="2" t="str">
        <f aca="false">IFERROR(INDEX(Query_Source_View!$N:$N,MATCH(ROW()-14,Query_Source_View!$Z:$Z,0)),"")</f>
        <v>PW6</v>
      </c>
      <c r="H271" s="2" t="n">
        <f aca="false">IFERROR(INDEX(Query_Source_View!$P:$P,MATCH(ROW()-14,Query_Source_View!$Z:$Z,0)),"")</f>
        <v>1</v>
      </c>
      <c r="I271" s="2" t="str">
        <f aca="false">IFERROR(INDEX(Query_Source_View!$Q:$Q,MATCH(ROW()-14,Query_Source_View!$Z:$Z,0)),"")</f>
        <v>Yes</v>
      </c>
      <c r="J271" s="2" t="str">
        <f aca="false">IFERROR(INDEX(Query_Source_View!$R:$R,MATCH(ROW()-14,Query_Source_View!$Z:$Z,0)),"")</f>
        <v>Semi Opaque</v>
      </c>
      <c r="K271" s="2" t="str">
        <f aca="false">IFERROR(INDEX(Query_Source_View!$T:$T,MATCH(ROW()-14,Query_Source_View!$Z:$Z,0)),"")</f>
        <v>Extremely Permanent</v>
      </c>
      <c r="L271" s="2" t="str">
        <f aca="false">IFERROR(INDEX(Query_Source_View!$U:$U,MATCH(ROW()-14,Query_Source_View!$Z:$Z,0)),"")</f>
        <v>I</v>
      </c>
      <c r="M271" s="2" t="n">
        <f aca="false">IFERROR(INDEX(Query_Source_View!$V:$V,MATCH(ROW()-14,Query_Source_View!$Z:$Z,0)),"")</f>
        <v>1</v>
      </c>
      <c r="N271" s="2" t="str">
        <f aca="false">IFERROR(INDEX(Query_Source_View!$W:$W,MATCH(ROW()-14,Query_Source_View!$Z:$Z,0)),"")</f>
        <v>Verified From Official Source</v>
      </c>
      <c r="O271" s="2" t="str">
        <f aca="false">IFERROR(INDEX(Query_Source_View!$X:$X,MATCH(ROW()-14,Query_Source_View!$Z:$Z,0)),"")</f>
        <v>https://www.winsornewton.com/pages/professional-acrylic-colour</v>
      </c>
    </row>
    <row r="272" customFormat="false" ht="46.25" hidden="false" customHeight="false" outlineLevel="0" collapsed="false">
      <c r="A272" s="2" t="str">
        <f aca="false">IFERROR(INDEX(Query_Source_View!$A:$A,MATCH(ROW()-14,Query_Source_View!$Z:$Z,0)),"")</f>
        <v>PNT000201</v>
      </c>
      <c r="B272" s="2" t="str">
        <f aca="false">IFERROR(INDEX(Query_Source_View!$D:$D,MATCH(ROW()-14,Query_Source_View!$Z:$Z,0)),"")</f>
        <v>Winsor And Newton</v>
      </c>
      <c r="C272" s="2" t="str">
        <f aca="false">IFERROR(INDEX(Query_Source_View!$F:$F,MATCH(ROW()-14,Query_Source_View!$Z:$Z,0)),"")</f>
        <v>Acrylic</v>
      </c>
      <c r="D272" s="2" t="str">
        <f aca="false">IFERROR(INDEX(Query_Source_View!$H:$H,MATCH(ROW()-14,Query_Source_View!$Z:$Z,0)),"")</f>
        <v>Professional Acrylic</v>
      </c>
      <c r="E272" s="2" t="str">
        <f aca="false">IFERROR(INDEX(Query_Source_View!$J:$J,MATCH(ROW()-14,Query_Source_View!$Z:$Z,0)),"")</f>
        <v>Titanium White</v>
      </c>
      <c r="F272" s="2" t="str">
        <f aca="false">IFERROR(INDEX(Query_Source_View!$L:$L,MATCH(ROW()-14,Query_Source_View!$Z:$Z,0)),"")</f>
        <v>White</v>
      </c>
      <c r="G272" s="2" t="str">
        <f aca="false">IFERROR(INDEX(Query_Source_View!$N:$N,MATCH(ROW()-14,Query_Source_View!$Z:$Z,0)),"")</f>
        <v>PW6</v>
      </c>
      <c r="H272" s="2" t="n">
        <f aca="false">IFERROR(INDEX(Query_Source_View!$P:$P,MATCH(ROW()-14,Query_Source_View!$Z:$Z,0)),"")</f>
        <v>1</v>
      </c>
      <c r="I272" s="2" t="str">
        <f aca="false">IFERROR(INDEX(Query_Source_View!$Q:$Q,MATCH(ROW()-14,Query_Source_View!$Z:$Z,0)),"")</f>
        <v>Yes</v>
      </c>
      <c r="J272" s="2" t="str">
        <f aca="false">IFERROR(INDEX(Query_Source_View!$R:$R,MATCH(ROW()-14,Query_Source_View!$Z:$Z,0)),"")</f>
        <v>Opaque</v>
      </c>
      <c r="K272" s="2" t="str">
        <f aca="false">IFERROR(INDEX(Query_Source_View!$T:$T,MATCH(ROW()-14,Query_Source_View!$Z:$Z,0)),"")</f>
        <v>Extremely Permanent</v>
      </c>
      <c r="L272" s="2" t="str">
        <f aca="false">IFERROR(INDEX(Query_Source_View!$U:$U,MATCH(ROW()-14,Query_Source_View!$Z:$Z,0)),"")</f>
        <v>I</v>
      </c>
      <c r="M272" s="2" t="n">
        <f aca="false">IFERROR(INDEX(Query_Source_View!$V:$V,MATCH(ROW()-14,Query_Source_View!$Z:$Z,0)),"")</f>
        <v>1</v>
      </c>
      <c r="N272" s="2" t="str">
        <f aca="false">IFERROR(INDEX(Query_Source_View!$W:$W,MATCH(ROW()-14,Query_Source_View!$Z:$Z,0)),"")</f>
        <v>Verified From Official Source</v>
      </c>
      <c r="O272" s="2" t="str">
        <f aca="false">IFERROR(INDEX(Query_Source_View!$X:$X,MATCH(ROW()-14,Query_Source_View!$Z:$Z,0)),"")</f>
        <v>https://www.winsornewton.com/pages/professional-acrylic-colour</v>
      </c>
    </row>
    <row r="273" customFormat="false" ht="46.25" hidden="false" customHeight="false" outlineLevel="0" collapsed="false">
      <c r="A273" s="2" t="str">
        <f aca="false">IFERROR(INDEX(Query_Source_View!$A:$A,MATCH(ROW()-14,Query_Source_View!$Z:$Z,0)),"")</f>
        <v>PNT000202</v>
      </c>
      <c r="B273" s="2" t="str">
        <f aca="false">IFERROR(INDEX(Query_Source_View!$D:$D,MATCH(ROW()-14,Query_Source_View!$Z:$Z,0)),"")</f>
        <v>Winsor And Newton</v>
      </c>
      <c r="C273" s="2" t="str">
        <f aca="false">IFERROR(INDEX(Query_Source_View!$F:$F,MATCH(ROW()-14,Query_Source_View!$Z:$Z,0)),"")</f>
        <v>Acrylic</v>
      </c>
      <c r="D273" s="2" t="str">
        <f aca="false">IFERROR(INDEX(Query_Source_View!$H:$H,MATCH(ROW()-14,Query_Source_View!$Z:$Z,0)),"")</f>
        <v>Professional Acrylic</v>
      </c>
      <c r="E273" s="2" t="str">
        <f aca="false">IFERROR(INDEX(Query_Source_View!$J:$J,MATCH(ROW()-14,Query_Source_View!$Z:$Z,0)),"")</f>
        <v>Iridescent White</v>
      </c>
      <c r="F273" s="2" t="str">
        <f aca="false">IFERROR(INDEX(Query_Source_View!$L:$L,MATCH(ROW()-14,Query_Source_View!$Z:$Z,0)),"")</f>
        <v>White</v>
      </c>
      <c r="G273" s="2" t="str">
        <f aca="false">IFERROR(INDEX(Query_Source_View!$N:$N,MATCH(ROW()-14,Query_Source_View!$Z:$Z,0)),"")</f>
        <v>N/A</v>
      </c>
      <c r="H273" s="2" t="n">
        <f aca="false">IFERROR(INDEX(Query_Source_View!$P:$P,MATCH(ROW()-14,Query_Source_View!$Z:$Z,0)),"")</f>
        <v>0</v>
      </c>
      <c r="I273" s="2" t="str">
        <f aca="false">IFERROR(INDEX(Query_Source_View!$Q:$Q,MATCH(ROW()-14,Query_Source_View!$Z:$Z,0)),"")</f>
        <v>Not Applicable</v>
      </c>
      <c r="J273" s="2" t="str">
        <f aca="false">IFERROR(INDEX(Query_Source_View!$R:$R,MATCH(ROW()-14,Query_Source_View!$Z:$Z,0)),"")</f>
        <v>Semi Opaque</v>
      </c>
      <c r="K273" s="2" t="str">
        <f aca="false">IFERROR(INDEX(Query_Source_View!$T:$T,MATCH(ROW()-14,Query_Source_View!$Z:$Z,0)),"")</f>
        <v>Permanent</v>
      </c>
      <c r="L273" s="2" t="str">
        <f aca="false">IFERROR(INDEX(Query_Source_View!$U:$U,MATCH(ROW()-14,Query_Source_View!$Z:$Z,0)),"")</f>
        <v>N/A</v>
      </c>
      <c r="M273" s="2" t="n">
        <f aca="false">IFERROR(INDEX(Query_Source_View!$V:$V,MATCH(ROW()-14,Query_Source_View!$Z:$Z,0)),"")</f>
        <v>3</v>
      </c>
      <c r="N273" s="2" t="str">
        <f aca="false">IFERROR(INDEX(Query_Source_View!$W:$W,MATCH(ROW()-14,Query_Source_View!$Z:$Z,0)),"")</f>
        <v>Verified From Official Source</v>
      </c>
      <c r="O273" s="2" t="str">
        <f aca="false">IFERROR(INDEX(Query_Source_View!$X:$X,MATCH(ROW()-14,Query_Source_View!$Z:$Z,0)),"")</f>
        <v>https://www.winsornewton.com/pages/professional-acrylic-colour</v>
      </c>
    </row>
    <row r="274" customFormat="false" ht="46.25" hidden="false" customHeight="false" outlineLevel="0" collapsed="false">
      <c r="A274" s="2" t="str">
        <f aca="false">IFERROR(INDEX(Query_Source_View!$A:$A,MATCH(ROW()-14,Query_Source_View!$Z:$Z,0)),"")</f>
        <v>PNT000203</v>
      </c>
      <c r="B274" s="2" t="str">
        <f aca="false">IFERROR(INDEX(Query_Source_View!$D:$D,MATCH(ROW()-14,Query_Source_View!$Z:$Z,0)),"")</f>
        <v>Winsor And Newton</v>
      </c>
      <c r="C274" s="2" t="str">
        <f aca="false">IFERROR(INDEX(Query_Source_View!$F:$F,MATCH(ROW()-14,Query_Source_View!$Z:$Z,0)),"")</f>
        <v>Acrylic</v>
      </c>
      <c r="D274" s="2" t="str">
        <f aca="false">IFERROR(INDEX(Query_Source_View!$H:$H,MATCH(ROW()-14,Query_Source_View!$Z:$Z,0)),"")</f>
        <v>Professional Acrylic</v>
      </c>
      <c r="E274" s="2" t="str">
        <f aca="false">IFERROR(INDEX(Query_Source_View!$J:$J,MATCH(ROW()-14,Query_Source_View!$Z:$Z,0)),"")</f>
        <v>Silver</v>
      </c>
      <c r="F274" s="2" t="str">
        <f aca="false">IFERROR(INDEX(Query_Source_View!$L:$L,MATCH(ROW()-14,Query_Source_View!$Z:$Z,0)),"")</f>
        <v>Metallic</v>
      </c>
      <c r="G274" s="2" t="str">
        <f aca="false">IFERROR(INDEX(Query_Source_View!$N:$N,MATCH(ROW()-14,Query_Source_View!$Z:$Z,0)),"")</f>
        <v>N/A</v>
      </c>
      <c r="H274" s="2" t="n">
        <f aca="false">IFERROR(INDEX(Query_Source_View!$P:$P,MATCH(ROW()-14,Query_Source_View!$Z:$Z,0)),"")</f>
        <v>0</v>
      </c>
      <c r="I274" s="2" t="str">
        <f aca="false">IFERROR(INDEX(Query_Source_View!$Q:$Q,MATCH(ROW()-14,Query_Source_View!$Z:$Z,0)),"")</f>
        <v>Not Applicable</v>
      </c>
      <c r="J274" s="2" t="str">
        <f aca="false">IFERROR(INDEX(Query_Source_View!$R:$R,MATCH(ROW()-14,Query_Source_View!$Z:$Z,0)),"")</f>
        <v>Semi Opaque</v>
      </c>
      <c r="K274" s="2" t="str">
        <f aca="false">IFERROR(INDEX(Query_Source_View!$T:$T,MATCH(ROW()-14,Query_Source_View!$Z:$Z,0)),"")</f>
        <v>Permanent</v>
      </c>
      <c r="L274" s="2" t="str">
        <f aca="false">IFERROR(INDEX(Query_Source_View!$U:$U,MATCH(ROW()-14,Query_Source_View!$Z:$Z,0)),"")</f>
        <v>N/A</v>
      </c>
      <c r="M274" s="2" t="n">
        <f aca="false">IFERROR(INDEX(Query_Source_View!$V:$V,MATCH(ROW()-14,Query_Source_View!$Z:$Z,0)),"")</f>
        <v>3</v>
      </c>
      <c r="N274" s="2" t="str">
        <f aca="false">IFERROR(INDEX(Query_Source_View!$W:$W,MATCH(ROW()-14,Query_Source_View!$Z:$Z,0)),"")</f>
        <v>Verified From Official Source</v>
      </c>
      <c r="O274" s="2" t="str">
        <f aca="false">IFERROR(INDEX(Query_Source_View!$X:$X,MATCH(ROW()-14,Query_Source_View!$Z:$Z,0)),"")</f>
        <v>https://www.winsornewton.com/pages/professional-acrylic-colour</v>
      </c>
    </row>
    <row r="275" customFormat="false" ht="46.25" hidden="false" customHeight="false" outlineLevel="0" collapsed="false">
      <c r="A275" s="2" t="str">
        <f aca="false">IFERROR(INDEX(Query_Source_View!$A:$A,MATCH(ROW()-14,Query_Source_View!$Z:$Z,0)),"")</f>
        <v>PNT000204</v>
      </c>
      <c r="B275" s="2" t="str">
        <f aca="false">IFERROR(INDEX(Query_Source_View!$D:$D,MATCH(ROW()-14,Query_Source_View!$Z:$Z,0)),"")</f>
        <v>Winsor And Newton</v>
      </c>
      <c r="C275" s="2" t="str">
        <f aca="false">IFERROR(INDEX(Query_Source_View!$F:$F,MATCH(ROW()-14,Query_Source_View!$Z:$Z,0)),"")</f>
        <v>Acrylic</v>
      </c>
      <c r="D275" s="2" t="str">
        <f aca="false">IFERROR(INDEX(Query_Source_View!$H:$H,MATCH(ROW()-14,Query_Source_View!$Z:$Z,0)),"")</f>
        <v>Professional Acrylic</v>
      </c>
      <c r="E275" s="2" t="str">
        <f aca="false">IFERROR(INDEX(Query_Source_View!$J:$J,MATCH(ROW()-14,Query_Source_View!$Z:$Z,0)),"")</f>
        <v>Silver No. 2</v>
      </c>
      <c r="F275" s="2" t="str">
        <f aca="false">IFERROR(INDEX(Query_Source_View!$L:$L,MATCH(ROW()-14,Query_Source_View!$Z:$Z,0)),"")</f>
        <v>Metallic</v>
      </c>
      <c r="G275" s="2" t="str">
        <f aca="false">IFERROR(INDEX(Query_Source_View!$N:$N,MATCH(ROW()-14,Query_Source_View!$Z:$Z,0)),"")</f>
        <v>N/A</v>
      </c>
      <c r="H275" s="2" t="n">
        <f aca="false">IFERROR(INDEX(Query_Source_View!$P:$P,MATCH(ROW()-14,Query_Source_View!$Z:$Z,0)),"")</f>
        <v>0</v>
      </c>
      <c r="I275" s="2" t="str">
        <f aca="false">IFERROR(INDEX(Query_Source_View!$Q:$Q,MATCH(ROW()-14,Query_Source_View!$Z:$Z,0)),"")</f>
        <v>Not Applicable</v>
      </c>
      <c r="J275" s="2" t="str">
        <f aca="false">IFERROR(INDEX(Query_Source_View!$R:$R,MATCH(ROW()-14,Query_Source_View!$Z:$Z,0)),"")</f>
        <v>Semi Opaque</v>
      </c>
      <c r="K275" s="2" t="str">
        <f aca="false">IFERROR(INDEX(Query_Source_View!$T:$T,MATCH(ROW()-14,Query_Source_View!$Z:$Z,0)),"")</f>
        <v>Permanent</v>
      </c>
      <c r="L275" s="2" t="str">
        <f aca="false">IFERROR(INDEX(Query_Source_View!$U:$U,MATCH(ROW()-14,Query_Source_View!$Z:$Z,0)),"")</f>
        <v>N/A</v>
      </c>
      <c r="M275" s="2" t="n">
        <f aca="false">IFERROR(INDEX(Query_Source_View!$V:$V,MATCH(ROW()-14,Query_Source_View!$Z:$Z,0)),"")</f>
        <v>3</v>
      </c>
      <c r="N275" s="2" t="str">
        <f aca="false">IFERROR(INDEX(Query_Source_View!$W:$W,MATCH(ROW()-14,Query_Source_View!$Z:$Z,0)),"")</f>
        <v>Verified From Official Source</v>
      </c>
      <c r="O275" s="2" t="str">
        <f aca="false">IFERROR(INDEX(Query_Source_View!$X:$X,MATCH(ROW()-14,Query_Source_View!$Z:$Z,0)),"")</f>
        <v>https://www.winsornewton.com/pages/professional-acrylic-colour</v>
      </c>
    </row>
    <row r="276" customFormat="false" ht="46.25" hidden="false" customHeight="false" outlineLevel="0" collapsed="false">
      <c r="A276" s="2" t="str">
        <f aca="false">IFERROR(INDEX(Query_Source_View!$A:$A,MATCH(ROW()-14,Query_Source_View!$Z:$Z,0)),"")</f>
        <v>PNT000205</v>
      </c>
      <c r="B276" s="2" t="str">
        <f aca="false">IFERROR(INDEX(Query_Source_View!$D:$D,MATCH(ROW()-14,Query_Source_View!$Z:$Z,0)),"")</f>
        <v>Winsor And Newton</v>
      </c>
      <c r="C276" s="2" t="str">
        <f aca="false">IFERROR(INDEX(Query_Source_View!$F:$F,MATCH(ROW()-14,Query_Source_View!$Z:$Z,0)),"")</f>
        <v>Acrylic</v>
      </c>
      <c r="D276" s="2" t="str">
        <f aca="false">IFERROR(INDEX(Query_Source_View!$H:$H,MATCH(ROW()-14,Query_Source_View!$Z:$Z,0)),"")</f>
        <v>Professional Acrylic</v>
      </c>
      <c r="E276" s="2" t="str">
        <f aca="false">IFERROR(INDEX(Query_Source_View!$J:$J,MATCH(ROW()-14,Query_Source_View!$Z:$Z,0)),"")</f>
        <v>Gold</v>
      </c>
      <c r="F276" s="2" t="str">
        <f aca="false">IFERROR(INDEX(Query_Source_View!$L:$L,MATCH(ROW()-14,Query_Source_View!$Z:$Z,0)),"")</f>
        <v>Yellow</v>
      </c>
      <c r="G276" s="2" t="str">
        <f aca="false">IFERROR(INDEX(Query_Source_View!$N:$N,MATCH(ROW()-14,Query_Source_View!$Z:$Z,0)),"")</f>
        <v>N/A</v>
      </c>
      <c r="H276" s="2" t="n">
        <f aca="false">IFERROR(INDEX(Query_Source_View!$P:$P,MATCH(ROW()-14,Query_Source_View!$Z:$Z,0)),"")</f>
        <v>0</v>
      </c>
      <c r="I276" s="2" t="str">
        <f aca="false">IFERROR(INDEX(Query_Source_View!$Q:$Q,MATCH(ROW()-14,Query_Source_View!$Z:$Z,0)),"")</f>
        <v>Not Applicable</v>
      </c>
      <c r="J276" s="2" t="str">
        <f aca="false">IFERROR(INDEX(Query_Source_View!$R:$R,MATCH(ROW()-14,Query_Source_View!$Z:$Z,0)),"")</f>
        <v>Semi Opaque</v>
      </c>
      <c r="K276" s="2" t="str">
        <f aca="false">IFERROR(INDEX(Query_Source_View!$T:$T,MATCH(ROW()-14,Query_Source_View!$Z:$Z,0)),"")</f>
        <v>Permanent</v>
      </c>
      <c r="L276" s="2" t="str">
        <f aca="false">IFERROR(INDEX(Query_Source_View!$U:$U,MATCH(ROW()-14,Query_Source_View!$Z:$Z,0)),"")</f>
        <v>N/A</v>
      </c>
      <c r="M276" s="2" t="n">
        <f aca="false">IFERROR(INDEX(Query_Source_View!$V:$V,MATCH(ROW()-14,Query_Source_View!$Z:$Z,0)),"")</f>
        <v>3</v>
      </c>
      <c r="N276" s="2" t="str">
        <f aca="false">IFERROR(INDEX(Query_Source_View!$W:$W,MATCH(ROW()-14,Query_Source_View!$Z:$Z,0)),"")</f>
        <v>Verified From Official Source</v>
      </c>
      <c r="O276" s="2" t="str">
        <f aca="false">IFERROR(INDEX(Query_Source_View!$X:$X,MATCH(ROW()-14,Query_Source_View!$Z:$Z,0)),"")</f>
        <v>https://www.winsornewton.com/pages/professional-acrylic-colour</v>
      </c>
    </row>
    <row r="277" customFormat="false" ht="46.25" hidden="false" customHeight="false" outlineLevel="0" collapsed="false">
      <c r="A277" s="2" t="str">
        <f aca="false">IFERROR(INDEX(Query_Source_View!$A:$A,MATCH(ROW()-14,Query_Source_View!$Z:$Z,0)),"")</f>
        <v>PNT000206</v>
      </c>
      <c r="B277" s="2" t="str">
        <f aca="false">IFERROR(INDEX(Query_Source_View!$D:$D,MATCH(ROW()-14,Query_Source_View!$Z:$Z,0)),"")</f>
        <v>Winsor And Newton</v>
      </c>
      <c r="C277" s="2" t="str">
        <f aca="false">IFERROR(INDEX(Query_Source_View!$F:$F,MATCH(ROW()-14,Query_Source_View!$Z:$Z,0)),"")</f>
        <v>Acrylic</v>
      </c>
      <c r="D277" s="2" t="str">
        <f aca="false">IFERROR(INDEX(Query_Source_View!$H:$H,MATCH(ROW()-14,Query_Source_View!$Z:$Z,0)),"")</f>
        <v>Professional Acrylic</v>
      </c>
      <c r="E277" s="2" t="str">
        <f aca="false">IFERROR(INDEX(Query_Source_View!$J:$J,MATCH(ROW()-14,Query_Source_View!$Z:$Z,0)),"")</f>
        <v>Renaissance Gold</v>
      </c>
      <c r="F277" s="2" t="str">
        <f aca="false">IFERROR(INDEX(Query_Source_View!$L:$L,MATCH(ROW()-14,Query_Source_View!$Z:$Z,0)),"")</f>
        <v>Yellow</v>
      </c>
      <c r="G277" s="2" t="str">
        <f aca="false">IFERROR(INDEX(Query_Source_View!$N:$N,MATCH(ROW()-14,Query_Source_View!$Z:$Z,0)),"")</f>
        <v>N/A</v>
      </c>
      <c r="H277" s="2" t="n">
        <f aca="false">IFERROR(INDEX(Query_Source_View!$P:$P,MATCH(ROW()-14,Query_Source_View!$Z:$Z,0)),"")</f>
        <v>0</v>
      </c>
      <c r="I277" s="2" t="str">
        <f aca="false">IFERROR(INDEX(Query_Source_View!$Q:$Q,MATCH(ROW()-14,Query_Source_View!$Z:$Z,0)),"")</f>
        <v>Not Applicable</v>
      </c>
      <c r="J277" s="2" t="str">
        <f aca="false">IFERROR(INDEX(Query_Source_View!$R:$R,MATCH(ROW()-14,Query_Source_View!$Z:$Z,0)),"")</f>
        <v>Semi Opaque</v>
      </c>
      <c r="K277" s="2" t="str">
        <f aca="false">IFERROR(INDEX(Query_Source_View!$T:$T,MATCH(ROW()-14,Query_Source_View!$Z:$Z,0)),"")</f>
        <v>Permanent</v>
      </c>
      <c r="L277" s="2" t="str">
        <f aca="false">IFERROR(INDEX(Query_Source_View!$U:$U,MATCH(ROW()-14,Query_Source_View!$Z:$Z,0)),"")</f>
        <v>N/A</v>
      </c>
      <c r="M277" s="2" t="n">
        <f aca="false">IFERROR(INDEX(Query_Source_View!$V:$V,MATCH(ROW()-14,Query_Source_View!$Z:$Z,0)),"")</f>
        <v>3</v>
      </c>
      <c r="N277" s="2" t="str">
        <f aca="false">IFERROR(INDEX(Query_Source_View!$W:$W,MATCH(ROW()-14,Query_Source_View!$Z:$Z,0)),"")</f>
        <v>Verified From Official Source</v>
      </c>
      <c r="O277" s="2" t="str">
        <f aca="false">IFERROR(INDEX(Query_Source_View!$X:$X,MATCH(ROW()-14,Query_Source_View!$Z:$Z,0)),"")</f>
        <v>https://www.winsornewton.com/pages/professional-acrylic-colour</v>
      </c>
    </row>
    <row r="278" customFormat="false" ht="46.25" hidden="false" customHeight="false" outlineLevel="0" collapsed="false">
      <c r="A278" s="2" t="str">
        <f aca="false">IFERROR(INDEX(Query_Source_View!$A:$A,MATCH(ROW()-14,Query_Source_View!$Z:$Z,0)),"")</f>
        <v>PNT000207</v>
      </c>
      <c r="B278" s="2" t="str">
        <f aca="false">IFERROR(INDEX(Query_Source_View!$D:$D,MATCH(ROW()-14,Query_Source_View!$Z:$Z,0)),"")</f>
        <v>Winsor And Newton</v>
      </c>
      <c r="C278" s="2" t="str">
        <f aca="false">IFERROR(INDEX(Query_Source_View!$F:$F,MATCH(ROW()-14,Query_Source_View!$Z:$Z,0)),"")</f>
        <v>Acrylic</v>
      </c>
      <c r="D278" s="2" t="str">
        <f aca="false">IFERROR(INDEX(Query_Source_View!$H:$H,MATCH(ROW()-14,Query_Source_View!$Z:$Z,0)),"")</f>
        <v>Professional Acrylic</v>
      </c>
      <c r="E278" s="2" t="str">
        <f aca="false">IFERROR(INDEX(Query_Source_View!$J:$J,MATCH(ROW()-14,Query_Source_View!$Z:$Z,0)),"")</f>
        <v>Antique Gold</v>
      </c>
      <c r="F278" s="2" t="str">
        <f aca="false">IFERROR(INDEX(Query_Source_View!$L:$L,MATCH(ROW()-14,Query_Source_View!$Z:$Z,0)),"")</f>
        <v>Yellow</v>
      </c>
      <c r="G278" s="2" t="str">
        <f aca="false">IFERROR(INDEX(Query_Source_View!$N:$N,MATCH(ROW()-14,Query_Source_View!$Z:$Z,0)),"")</f>
        <v>N/A</v>
      </c>
      <c r="H278" s="2" t="n">
        <f aca="false">IFERROR(INDEX(Query_Source_View!$P:$P,MATCH(ROW()-14,Query_Source_View!$Z:$Z,0)),"")</f>
        <v>0</v>
      </c>
      <c r="I278" s="2" t="str">
        <f aca="false">IFERROR(INDEX(Query_Source_View!$Q:$Q,MATCH(ROW()-14,Query_Source_View!$Z:$Z,0)),"")</f>
        <v>Not Applicable</v>
      </c>
      <c r="J278" s="2" t="str">
        <f aca="false">IFERROR(INDEX(Query_Source_View!$R:$R,MATCH(ROW()-14,Query_Source_View!$Z:$Z,0)),"")</f>
        <v>Semi Opaque</v>
      </c>
      <c r="K278" s="2" t="str">
        <f aca="false">IFERROR(INDEX(Query_Source_View!$T:$T,MATCH(ROW()-14,Query_Source_View!$Z:$Z,0)),"")</f>
        <v>Permanent</v>
      </c>
      <c r="L278" s="2" t="str">
        <f aca="false">IFERROR(INDEX(Query_Source_View!$U:$U,MATCH(ROW()-14,Query_Source_View!$Z:$Z,0)),"")</f>
        <v>N/A</v>
      </c>
      <c r="M278" s="2" t="n">
        <f aca="false">IFERROR(INDEX(Query_Source_View!$V:$V,MATCH(ROW()-14,Query_Source_View!$Z:$Z,0)),"")</f>
        <v>3</v>
      </c>
      <c r="N278" s="2" t="str">
        <f aca="false">IFERROR(INDEX(Query_Source_View!$W:$W,MATCH(ROW()-14,Query_Source_View!$Z:$Z,0)),"")</f>
        <v>Verified From Official Source</v>
      </c>
      <c r="O278" s="2" t="str">
        <f aca="false">IFERROR(INDEX(Query_Source_View!$X:$X,MATCH(ROW()-14,Query_Source_View!$Z:$Z,0)),"")</f>
        <v>https://www.winsornewton.com/pages/professional-acrylic-colour</v>
      </c>
    </row>
    <row r="279" customFormat="false" ht="46.25" hidden="false" customHeight="false" outlineLevel="0" collapsed="false">
      <c r="A279" s="2" t="str">
        <f aca="false">IFERROR(INDEX(Query_Source_View!$A:$A,MATCH(ROW()-14,Query_Source_View!$Z:$Z,0)),"")</f>
        <v>PNT000208</v>
      </c>
      <c r="B279" s="2" t="str">
        <f aca="false">IFERROR(INDEX(Query_Source_View!$D:$D,MATCH(ROW()-14,Query_Source_View!$Z:$Z,0)),"")</f>
        <v>Winsor And Newton</v>
      </c>
      <c r="C279" s="2" t="str">
        <f aca="false">IFERROR(INDEX(Query_Source_View!$F:$F,MATCH(ROW()-14,Query_Source_View!$Z:$Z,0)),"")</f>
        <v>Acrylic</v>
      </c>
      <c r="D279" s="2" t="str">
        <f aca="false">IFERROR(INDEX(Query_Source_View!$H:$H,MATCH(ROW()-14,Query_Source_View!$Z:$Z,0)),"")</f>
        <v>Professional Acrylic</v>
      </c>
      <c r="E279" s="2" t="str">
        <f aca="false">IFERROR(INDEX(Query_Source_View!$J:$J,MATCH(ROW()-14,Query_Source_View!$Z:$Z,0)),"")</f>
        <v>Olive Green</v>
      </c>
      <c r="F279" s="2" t="str">
        <f aca="false">IFERROR(INDEX(Query_Source_View!$L:$L,MATCH(ROW()-14,Query_Source_View!$Z:$Z,0)),"")</f>
        <v>Green</v>
      </c>
      <c r="G279" s="2" t="str">
        <f aca="false">IFERROR(INDEX(Query_Source_View!$N:$N,MATCH(ROW()-14,Query_Source_View!$Z:$Z,0)),"")</f>
        <v>PBk9</v>
      </c>
      <c r="H279" s="2" t="n">
        <f aca="false">IFERROR(INDEX(Query_Source_View!$P:$P,MATCH(ROW()-14,Query_Source_View!$Z:$Z,0)),"")</f>
        <v>3</v>
      </c>
      <c r="I279" s="2" t="str">
        <f aca="false">IFERROR(INDEX(Query_Source_View!$Q:$Q,MATCH(ROW()-14,Query_Source_View!$Z:$Z,0)),"")</f>
        <v>No</v>
      </c>
      <c r="J279" s="2" t="str">
        <f aca="false">IFERROR(INDEX(Query_Source_View!$R:$R,MATCH(ROW()-14,Query_Source_View!$Z:$Z,0)),"")</f>
        <v>Transparent</v>
      </c>
      <c r="K279" s="2" t="str">
        <f aca="false">IFERROR(INDEX(Query_Source_View!$T:$T,MATCH(ROW()-14,Query_Source_View!$Z:$Z,0)),"")</f>
        <v>Permanent</v>
      </c>
      <c r="L279" s="2" t="str">
        <f aca="false">IFERROR(INDEX(Query_Source_View!$U:$U,MATCH(ROW()-14,Query_Source_View!$Z:$Z,0)),"")</f>
        <v>N/A</v>
      </c>
      <c r="M279" s="2" t="n">
        <f aca="false">IFERROR(INDEX(Query_Source_View!$V:$V,MATCH(ROW()-14,Query_Source_View!$Z:$Z,0)),"")</f>
        <v>2</v>
      </c>
      <c r="N279" s="2" t="str">
        <f aca="false">IFERROR(INDEX(Query_Source_View!$W:$W,MATCH(ROW()-14,Query_Source_View!$Z:$Z,0)),"")</f>
        <v>Verified From Official Source</v>
      </c>
      <c r="O279" s="2" t="str">
        <f aca="false">IFERROR(INDEX(Query_Source_View!$X:$X,MATCH(ROW()-14,Query_Source_View!$Z:$Z,0)),"")</f>
        <v>https://www.winsornewton.com/pages/professional-acrylic-colour</v>
      </c>
    </row>
    <row r="280" customFormat="false" ht="46.25" hidden="false" customHeight="false" outlineLevel="0" collapsed="false">
      <c r="A280" s="2" t="str">
        <f aca="false">IFERROR(INDEX(Query_Source_View!$A:$A,MATCH(ROW()-14,Query_Source_View!$Z:$Z,0)),"")</f>
        <v>PNT000208</v>
      </c>
      <c r="B280" s="2" t="str">
        <f aca="false">IFERROR(INDEX(Query_Source_View!$D:$D,MATCH(ROW()-14,Query_Source_View!$Z:$Z,0)),"")</f>
        <v>Winsor And Newton</v>
      </c>
      <c r="C280" s="2" t="str">
        <f aca="false">IFERROR(INDEX(Query_Source_View!$F:$F,MATCH(ROW()-14,Query_Source_View!$Z:$Z,0)),"")</f>
        <v>Acrylic</v>
      </c>
      <c r="D280" s="2" t="str">
        <f aca="false">IFERROR(INDEX(Query_Source_View!$H:$H,MATCH(ROW()-14,Query_Source_View!$Z:$Z,0)),"")</f>
        <v>Professional Acrylic</v>
      </c>
      <c r="E280" s="2" t="str">
        <f aca="false">IFERROR(INDEX(Query_Source_View!$J:$J,MATCH(ROW()-14,Query_Source_View!$Z:$Z,0)),"")</f>
        <v>Olive Green</v>
      </c>
      <c r="F280" s="2" t="str">
        <f aca="false">IFERROR(INDEX(Query_Source_View!$L:$L,MATCH(ROW()-14,Query_Source_View!$Z:$Z,0)),"")</f>
        <v>Green</v>
      </c>
      <c r="G280" s="2" t="str">
        <f aca="false">IFERROR(INDEX(Query_Source_View!$N:$N,MATCH(ROW()-14,Query_Source_View!$Z:$Z,0)),"")</f>
        <v>PY129</v>
      </c>
      <c r="H280" s="2" t="n">
        <f aca="false">IFERROR(INDEX(Query_Source_View!$P:$P,MATCH(ROW()-14,Query_Source_View!$Z:$Z,0)),"")</f>
        <v>3</v>
      </c>
      <c r="I280" s="2" t="str">
        <f aca="false">IFERROR(INDEX(Query_Source_View!$Q:$Q,MATCH(ROW()-14,Query_Source_View!$Z:$Z,0)),"")</f>
        <v>No</v>
      </c>
      <c r="J280" s="2" t="str">
        <f aca="false">IFERROR(INDEX(Query_Source_View!$R:$R,MATCH(ROW()-14,Query_Source_View!$Z:$Z,0)),"")</f>
        <v>Transparent</v>
      </c>
      <c r="K280" s="2" t="str">
        <f aca="false">IFERROR(INDEX(Query_Source_View!$T:$T,MATCH(ROW()-14,Query_Source_View!$Z:$Z,0)),"")</f>
        <v>Permanent</v>
      </c>
      <c r="L280" s="2" t="str">
        <f aca="false">IFERROR(INDEX(Query_Source_View!$U:$U,MATCH(ROW()-14,Query_Source_View!$Z:$Z,0)),"")</f>
        <v>N/A</v>
      </c>
      <c r="M280" s="2" t="n">
        <f aca="false">IFERROR(INDEX(Query_Source_View!$V:$V,MATCH(ROW()-14,Query_Source_View!$Z:$Z,0)),"")</f>
        <v>2</v>
      </c>
      <c r="N280" s="2" t="str">
        <f aca="false">IFERROR(INDEX(Query_Source_View!$W:$W,MATCH(ROW()-14,Query_Source_View!$Z:$Z,0)),"")</f>
        <v>Verified From Official Source</v>
      </c>
      <c r="O280" s="2" t="str">
        <f aca="false">IFERROR(INDEX(Query_Source_View!$X:$X,MATCH(ROW()-14,Query_Source_View!$Z:$Z,0)),"")</f>
        <v>https://www.winsornewton.com/pages/professional-acrylic-colour</v>
      </c>
    </row>
    <row r="281" customFormat="false" ht="46.25" hidden="false" customHeight="false" outlineLevel="0" collapsed="false">
      <c r="A281" s="2" t="str">
        <f aca="false">IFERROR(INDEX(Query_Source_View!$A:$A,MATCH(ROW()-14,Query_Source_View!$Z:$Z,0)),"")</f>
        <v>PNT000208</v>
      </c>
      <c r="B281" s="2" t="str">
        <f aca="false">IFERROR(INDEX(Query_Source_View!$D:$D,MATCH(ROW()-14,Query_Source_View!$Z:$Z,0)),"")</f>
        <v>Winsor And Newton</v>
      </c>
      <c r="C281" s="2" t="str">
        <f aca="false">IFERROR(INDEX(Query_Source_View!$F:$F,MATCH(ROW()-14,Query_Source_View!$Z:$Z,0)),"")</f>
        <v>Acrylic</v>
      </c>
      <c r="D281" s="2" t="str">
        <f aca="false">IFERROR(INDEX(Query_Source_View!$H:$H,MATCH(ROW()-14,Query_Source_View!$Z:$Z,0)),"")</f>
        <v>Professional Acrylic</v>
      </c>
      <c r="E281" s="2" t="str">
        <f aca="false">IFERROR(INDEX(Query_Source_View!$J:$J,MATCH(ROW()-14,Query_Source_View!$Z:$Z,0)),"")</f>
        <v>Olive Green</v>
      </c>
      <c r="F281" s="2" t="str">
        <f aca="false">IFERROR(INDEX(Query_Source_View!$L:$L,MATCH(ROW()-14,Query_Source_View!$Z:$Z,0)),"")</f>
        <v>Green</v>
      </c>
      <c r="G281" s="2" t="str">
        <f aca="false">IFERROR(INDEX(Query_Source_View!$N:$N,MATCH(ROW()-14,Query_Source_View!$Z:$Z,0)),"")</f>
        <v>PY139</v>
      </c>
      <c r="H281" s="2" t="n">
        <f aca="false">IFERROR(INDEX(Query_Source_View!$P:$P,MATCH(ROW()-14,Query_Source_View!$Z:$Z,0)),"")</f>
        <v>3</v>
      </c>
      <c r="I281" s="2" t="str">
        <f aca="false">IFERROR(INDEX(Query_Source_View!$Q:$Q,MATCH(ROW()-14,Query_Source_View!$Z:$Z,0)),"")</f>
        <v>No</v>
      </c>
      <c r="J281" s="2" t="str">
        <f aca="false">IFERROR(INDEX(Query_Source_View!$R:$R,MATCH(ROW()-14,Query_Source_View!$Z:$Z,0)),"")</f>
        <v>Transparent</v>
      </c>
      <c r="K281" s="2" t="str">
        <f aca="false">IFERROR(INDEX(Query_Source_View!$T:$T,MATCH(ROW()-14,Query_Source_View!$Z:$Z,0)),"")</f>
        <v>Permanent</v>
      </c>
      <c r="L281" s="2" t="str">
        <f aca="false">IFERROR(INDEX(Query_Source_View!$U:$U,MATCH(ROW()-14,Query_Source_View!$Z:$Z,0)),"")</f>
        <v>N/A</v>
      </c>
      <c r="M281" s="2" t="n">
        <f aca="false">IFERROR(INDEX(Query_Source_View!$V:$V,MATCH(ROW()-14,Query_Source_View!$Z:$Z,0)),"")</f>
        <v>2</v>
      </c>
      <c r="N281" s="2" t="str">
        <f aca="false">IFERROR(INDEX(Query_Source_View!$W:$W,MATCH(ROW()-14,Query_Source_View!$Z:$Z,0)),"")</f>
        <v>Verified From Official Source</v>
      </c>
      <c r="O281" s="2" t="str">
        <f aca="false">IFERROR(INDEX(Query_Source_View!$X:$X,MATCH(ROW()-14,Query_Source_View!$Z:$Z,0)),"")</f>
        <v>https://www.winsornewton.com/pages/professional-acrylic-colour</v>
      </c>
    </row>
    <row r="282" customFormat="false" ht="46.25" hidden="false" customHeight="false" outlineLevel="0" collapsed="false">
      <c r="A282" s="2" t="str">
        <f aca="false">IFERROR(INDEX(Query_Source_View!$A:$A,MATCH(ROW()-14,Query_Source_View!$Z:$Z,0)),"")</f>
        <v>PNT000209</v>
      </c>
      <c r="B282" s="2" t="str">
        <f aca="false">IFERROR(INDEX(Query_Source_View!$D:$D,MATCH(ROW()-14,Query_Source_View!$Z:$Z,0)),"")</f>
        <v>Winsor And Newton</v>
      </c>
      <c r="C282" s="2" t="str">
        <f aca="false">IFERROR(INDEX(Query_Source_View!$F:$F,MATCH(ROW()-14,Query_Source_View!$Z:$Z,0)),"")</f>
        <v>Acrylic</v>
      </c>
      <c r="D282" s="2" t="str">
        <f aca="false">IFERROR(INDEX(Query_Source_View!$H:$H,MATCH(ROW()-14,Query_Source_View!$Z:$Z,0)),"")</f>
        <v>Professional Acrylic</v>
      </c>
      <c r="E282" s="2" t="str">
        <f aca="false">IFERROR(INDEX(Query_Source_View!$J:$J,MATCH(ROW()-14,Query_Source_View!$Z:$Z,0)),"")</f>
        <v>Green Gold</v>
      </c>
      <c r="F282" s="2" t="str">
        <f aca="false">IFERROR(INDEX(Query_Source_View!$L:$L,MATCH(ROW()-14,Query_Source_View!$Z:$Z,0)),"")</f>
        <v>Yellow</v>
      </c>
      <c r="G282" s="2" t="str">
        <f aca="false">IFERROR(INDEX(Query_Source_View!$N:$N,MATCH(ROW()-14,Query_Source_View!$Z:$Z,0)),"")</f>
        <v>PY129</v>
      </c>
      <c r="H282" s="2" t="n">
        <f aca="false">IFERROR(INDEX(Query_Source_View!$P:$P,MATCH(ROW()-14,Query_Source_View!$Z:$Z,0)),"")</f>
        <v>1</v>
      </c>
      <c r="I282" s="2" t="str">
        <f aca="false">IFERROR(INDEX(Query_Source_View!$Q:$Q,MATCH(ROW()-14,Query_Source_View!$Z:$Z,0)),"")</f>
        <v>Yes</v>
      </c>
      <c r="J282" s="2" t="str">
        <f aca="false">IFERROR(INDEX(Query_Source_View!$R:$R,MATCH(ROW()-14,Query_Source_View!$Z:$Z,0)),"")</f>
        <v>Transparent</v>
      </c>
      <c r="K282" s="2" t="str">
        <f aca="false">IFERROR(INDEX(Query_Source_View!$T:$T,MATCH(ROW()-14,Query_Source_View!$Z:$Z,0)),"")</f>
        <v>Permanent</v>
      </c>
      <c r="L282" s="2" t="str">
        <f aca="false">IFERROR(INDEX(Query_Source_View!$U:$U,MATCH(ROW()-14,Query_Source_View!$Z:$Z,0)),"")</f>
        <v>N/A</v>
      </c>
      <c r="M282" s="2" t="n">
        <f aca="false">IFERROR(INDEX(Query_Source_View!$V:$V,MATCH(ROW()-14,Query_Source_View!$Z:$Z,0)),"")</f>
        <v>4</v>
      </c>
      <c r="N282" s="2" t="str">
        <f aca="false">IFERROR(INDEX(Query_Source_View!$W:$W,MATCH(ROW()-14,Query_Source_View!$Z:$Z,0)),"")</f>
        <v>Verified From Official Source</v>
      </c>
      <c r="O282" s="2" t="str">
        <f aca="false">IFERROR(INDEX(Query_Source_View!$X:$X,MATCH(ROW()-14,Query_Source_View!$Z:$Z,0)),"")</f>
        <v>https://www.winsornewton.com/pages/professional-acrylic-colour</v>
      </c>
    </row>
    <row r="283" customFormat="false" ht="46.25" hidden="false" customHeight="false" outlineLevel="0" collapsed="false">
      <c r="A283" s="2" t="str">
        <f aca="false">IFERROR(INDEX(Query_Source_View!$A:$A,MATCH(ROW()-14,Query_Source_View!$Z:$Z,0)),"")</f>
        <v>PNT000210</v>
      </c>
      <c r="B283" s="2" t="str">
        <f aca="false">IFERROR(INDEX(Query_Source_View!$D:$D,MATCH(ROW()-14,Query_Source_View!$Z:$Z,0)),"")</f>
        <v>Winsor And Newton</v>
      </c>
      <c r="C283" s="2" t="str">
        <f aca="false">IFERROR(INDEX(Query_Source_View!$F:$F,MATCH(ROW()-14,Query_Source_View!$Z:$Z,0)),"")</f>
        <v>Acrylic</v>
      </c>
      <c r="D283" s="2" t="str">
        <f aca="false">IFERROR(INDEX(Query_Source_View!$H:$H,MATCH(ROW()-14,Query_Source_View!$Z:$Z,0)),"")</f>
        <v>Professional Acrylic</v>
      </c>
      <c r="E283" s="2" t="str">
        <f aca="false">IFERROR(INDEX(Query_Source_View!$J:$J,MATCH(ROW()-14,Query_Source_View!$Z:$Z,0)),"")</f>
        <v>Buff Titanium</v>
      </c>
      <c r="F283" s="2" t="str">
        <f aca="false">IFERROR(INDEX(Query_Source_View!$L:$L,MATCH(ROW()-14,Query_Source_View!$Z:$Z,0)),"")</f>
        <v>Earth</v>
      </c>
      <c r="G283" s="2" t="str">
        <f aca="false">IFERROR(INDEX(Query_Source_View!$N:$N,MATCH(ROW()-14,Query_Source_View!$Z:$Z,0)),"")</f>
        <v>PBk11</v>
      </c>
      <c r="H283" s="2" t="n">
        <f aca="false">IFERROR(INDEX(Query_Source_View!$P:$P,MATCH(ROW()-14,Query_Source_View!$Z:$Z,0)),"")</f>
        <v>3</v>
      </c>
      <c r="I283" s="2" t="str">
        <f aca="false">IFERROR(INDEX(Query_Source_View!$Q:$Q,MATCH(ROW()-14,Query_Source_View!$Z:$Z,0)),"")</f>
        <v>No</v>
      </c>
      <c r="J283" s="2" t="str">
        <f aca="false">IFERROR(INDEX(Query_Source_View!$R:$R,MATCH(ROW()-14,Query_Source_View!$Z:$Z,0)),"")</f>
        <v>Opaque</v>
      </c>
      <c r="K283" s="2" t="str">
        <f aca="false">IFERROR(INDEX(Query_Source_View!$T:$T,MATCH(ROW()-14,Query_Source_View!$Z:$Z,0)),"")</f>
        <v>Extremely Permanent</v>
      </c>
      <c r="L283" s="2" t="str">
        <f aca="false">IFERROR(INDEX(Query_Source_View!$U:$U,MATCH(ROW()-14,Query_Source_View!$Z:$Z,0)),"")</f>
        <v>I</v>
      </c>
      <c r="M283" s="2" t="n">
        <f aca="false">IFERROR(INDEX(Query_Source_View!$V:$V,MATCH(ROW()-14,Query_Source_View!$Z:$Z,0)),"")</f>
        <v>1</v>
      </c>
      <c r="N283" s="2" t="str">
        <f aca="false">IFERROR(INDEX(Query_Source_View!$W:$W,MATCH(ROW()-14,Query_Source_View!$Z:$Z,0)),"")</f>
        <v>Verified From Official Source</v>
      </c>
      <c r="O283" s="2" t="str">
        <f aca="false">IFERROR(INDEX(Query_Source_View!$X:$X,MATCH(ROW()-14,Query_Source_View!$Z:$Z,0)),"")</f>
        <v>https://www.winsornewton.com/pages/professional-acrylic-colour</v>
      </c>
    </row>
    <row r="284" customFormat="false" ht="46.25" hidden="false" customHeight="false" outlineLevel="0" collapsed="false">
      <c r="A284" s="2" t="str">
        <f aca="false">IFERROR(INDEX(Query_Source_View!$A:$A,MATCH(ROW()-14,Query_Source_View!$Z:$Z,0)),"")</f>
        <v>PNT000210</v>
      </c>
      <c r="B284" s="2" t="str">
        <f aca="false">IFERROR(INDEX(Query_Source_View!$D:$D,MATCH(ROW()-14,Query_Source_View!$Z:$Z,0)),"")</f>
        <v>Winsor And Newton</v>
      </c>
      <c r="C284" s="2" t="str">
        <f aca="false">IFERROR(INDEX(Query_Source_View!$F:$F,MATCH(ROW()-14,Query_Source_View!$Z:$Z,0)),"")</f>
        <v>Acrylic</v>
      </c>
      <c r="D284" s="2" t="str">
        <f aca="false">IFERROR(INDEX(Query_Source_View!$H:$H,MATCH(ROW()-14,Query_Source_View!$Z:$Z,0)),"")</f>
        <v>Professional Acrylic</v>
      </c>
      <c r="E284" s="2" t="str">
        <f aca="false">IFERROR(INDEX(Query_Source_View!$J:$J,MATCH(ROW()-14,Query_Source_View!$Z:$Z,0)),"")</f>
        <v>Buff Titanium</v>
      </c>
      <c r="F284" s="2" t="str">
        <f aca="false">IFERROR(INDEX(Query_Source_View!$L:$L,MATCH(ROW()-14,Query_Source_View!$Z:$Z,0)),"")</f>
        <v>Earth</v>
      </c>
      <c r="G284" s="2" t="str">
        <f aca="false">IFERROR(INDEX(Query_Source_View!$N:$N,MATCH(ROW()-14,Query_Source_View!$Z:$Z,0)),"")</f>
        <v>PW6</v>
      </c>
      <c r="H284" s="2" t="n">
        <f aca="false">IFERROR(INDEX(Query_Source_View!$P:$P,MATCH(ROW()-14,Query_Source_View!$Z:$Z,0)),"")</f>
        <v>3</v>
      </c>
      <c r="I284" s="2" t="str">
        <f aca="false">IFERROR(INDEX(Query_Source_View!$Q:$Q,MATCH(ROW()-14,Query_Source_View!$Z:$Z,0)),"")</f>
        <v>No</v>
      </c>
      <c r="J284" s="2" t="str">
        <f aca="false">IFERROR(INDEX(Query_Source_View!$R:$R,MATCH(ROW()-14,Query_Source_View!$Z:$Z,0)),"")</f>
        <v>Opaque</v>
      </c>
      <c r="K284" s="2" t="str">
        <f aca="false">IFERROR(INDEX(Query_Source_View!$T:$T,MATCH(ROW()-14,Query_Source_View!$Z:$Z,0)),"")</f>
        <v>Extremely Permanent</v>
      </c>
      <c r="L284" s="2" t="str">
        <f aca="false">IFERROR(INDEX(Query_Source_View!$U:$U,MATCH(ROW()-14,Query_Source_View!$Z:$Z,0)),"")</f>
        <v>I</v>
      </c>
      <c r="M284" s="2" t="n">
        <f aca="false">IFERROR(INDEX(Query_Source_View!$V:$V,MATCH(ROW()-14,Query_Source_View!$Z:$Z,0)),"")</f>
        <v>1</v>
      </c>
      <c r="N284" s="2" t="str">
        <f aca="false">IFERROR(INDEX(Query_Source_View!$W:$W,MATCH(ROW()-14,Query_Source_View!$Z:$Z,0)),"")</f>
        <v>Verified From Official Source</v>
      </c>
      <c r="O284" s="2" t="str">
        <f aca="false">IFERROR(INDEX(Query_Source_View!$X:$X,MATCH(ROW()-14,Query_Source_View!$Z:$Z,0)),"")</f>
        <v>https://www.winsornewton.com/pages/professional-acrylic-colour</v>
      </c>
    </row>
    <row r="285" customFormat="false" ht="46.25" hidden="false" customHeight="false" outlineLevel="0" collapsed="false">
      <c r="A285" s="2" t="str">
        <f aca="false">IFERROR(INDEX(Query_Source_View!$A:$A,MATCH(ROW()-14,Query_Source_View!$Z:$Z,0)),"")</f>
        <v>PNT000210</v>
      </c>
      <c r="B285" s="2" t="str">
        <f aca="false">IFERROR(INDEX(Query_Source_View!$D:$D,MATCH(ROW()-14,Query_Source_View!$Z:$Z,0)),"")</f>
        <v>Winsor And Newton</v>
      </c>
      <c r="C285" s="2" t="str">
        <f aca="false">IFERROR(INDEX(Query_Source_View!$F:$F,MATCH(ROW()-14,Query_Source_View!$Z:$Z,0)),"")</f>
        <v>Acrylic</v>
      </c>
      <c r="D285" s="2" t="str">
        <f aca="false">IFERROR(INDEX(Query_Source_View!$H:$H,MATCH(ROW()-14,Query_Source_View!$Z:$Z,0)),"")</f>
        <v>Professional Acrylic</v>
      </c>
      <c r="E285" s="2" t="str">
        <f aca="false">IFERROR(INDEX(Query_Source_View!$J:$J,MATCH(ROW()-14,Query_Source_View!$Z:$Z,0)),"")</f>
        <v>Buff Titanium</v>
      </c>
      <c r="F285" s="2" t="str">
        <f aca="false">IFERROR(INDEX(Query_Source_View!$L:$L,MATCH(ROW()-14,Query_Source_View!$Z:$Z,0)),"")</f>
        <v>Earth</v>
      </c>
      <c r="G285" s="2" t="str">
        <f aca="false">IFERROR(INDEX(Query_Source_View!$N:$N,MATCH(ROW()-14,Query_Source_View!$Z:$Z,0)),"")</f>
        <v>PY42</v>
      </c>
      <c r="H285" s="2" t="n">
        <f aca="false">IFERROR(INDEX(Query_Source_View!$P:$P,MATCH(ROW()-14,Query_Source_View!$Z:$Z,0)),"")</f>
        <v>3</v>
      </c>
      <c r="I285" s="2" t="str">
        <f aca="false">IFERROR(INDEX(Query_Source_View!$Q:$Q,MATCH(ROW()-14,Query_Source_View!$Z:$Z,0)),"")</f>
        <v>No</v>
      </c>
      <c r="J285" s="2" t="str">
        <f aca="false">IFERROR(INDEX(Query_Source_View!$R:$R,MATCH(ROW()-14,Query_Source_View!$Z:$Z,0)),"")</f>
        <v>Opaque</v>
      </c>
      <c r="K285" s="2" t="str">
        <f aca="false">IFERROR(INDEX(Query_Source_View!$T:$T,MATCH(ROW()-14,Query_Source_View!$Z:$Z,0)),"")</f>
        <v>Extremely Permanent</v>
      </c>
      <c r="L285" s="2" t="str">
        <f aca="false">IFERROR(INDEX(Query_Source_View!$U:$U,MATCH(ROW()-14,Query_Source_View!$Z:$Z,0)),"")</f>
        <v>I</v>
      </c>
      <c r="M285" s="2" t="n">
        <f aca="false">IFERROR(INDEX(Query_Source_View!$V:$V,MATCH(ROW()-14,Query_Source_View!$Z:$Z,0)),"")</f>
        <v>1</v>
      </c>
      <c r="N285" s="2" t="str">
        <f aca="false">IFERROR(INDEX(Query_Source_View!$W:$W,MATCH(ROW()-14,Query_Source_View!$Z:$Z,0)),"")</f>
        <v>Verified From Official Source</v>
      </c>
      <c r="O285" s="2" t="str">
        <f aca="false">IFERROR(INDEX(Query_Source_View!$X:$X,MATCH(ROW()-14,Query_Source_View!$Z:$Z,0)),"")</f>
        <v>https://www.winsornewton.com/pages/professional-acrylic-colour</v>
      </c>
    </row>
    <row r="286" customFormat="false" ht="46.25" hidden="false" customHeight="false" outlineLevel="0" collapsed="false">
      <c r="A286" s="2" t="str">
        <f aca="false">IFERROR(INDEX(Query_Source_View!$A:$A,MATCH(ROW()-14,Query_Source_View!$Z:$Z,0)),"")</f>
        <v>PNT000211</v>
      </c>
      <c r="B286" s="2" t="str">
        <f aca="false">IFERROR(INDEX(Query_Source_View!$D:$D,MATCH(ROW()-14,Query_Source_View!$Z:$Z,0)),"")</f>
        <v>Winsor And Newton</v>
      </c>
      <c r="C286" s="2" t="str">
        <f aca="false">IFERROR(INDEX(Query_Source_View!$F:$F,MATCH(ROW()-14,Query_Source_View!$Z:$Z,0)),"")</f>
        <v>Acrylic</v>
      </c>
      <c r="D286" s="2" t="str">
        <f aca="false">IFERROR(INDEX(Query_Source_View!$H:$H,MATCH(ROW()-14,Query_Source_View!$Z:$Z,0)),"")</f>
        <v>Professional Acrylic</v>
      </c>
      <c r="E286" s="2" t="str">
        <f aca="false">IFERROR(INDEX(Query_Source_View!$J:$J,MATCH(ROW()-14,Query_Source_View!$Z:$Z,0)),"")</f>
        <v>Naples Yellow</v>
      </c>
      <c r="F286" s="2" t="str">
        <f aca="false">IFERROR(INDEX(Query_Source_View!$L:$L,MATCH(ROW()-14,Query_Source_View!$Z:$Z,0)),"")</f>
        <v>Yellow</v>
      </c>
      <c r="G286" s="2" t="str">
        <f aca="false">IFERROR(INDEX(Query_Source_View!$N:$N,MATCH(ROW()-14,Query_Source_View!$Z:$Z,0)),"")</f>
        <v>PBr24</v>
      </c>
      <c r="H286" s="2" t="n">
        <f aca="false">IFERROR(INDEX(Query_Source_View!$P:$P,MATCH(ROW()-14,Query_Source_View!$Z:$Z,0)),"")</f>
        <v>2</v>
      </c>
      <c r="I286" s="2" t="str">
        <f aca="false">IFERROR(INDEX(Query_Source_View!$Q:$Q,MATCH(ROW()-14,Query_Source_View!$Z:$Z,0)),"")</f>
        <v>No</v>
      </c>
      <c r="J286" s="2" t="str">
        <f aca="false">IFERROR(INDEX(Query_Source_View!$R:$R,MATCH(ROW()-14,Query_Source_View!$Z:$Z,0)),"")</f>
        <v>Opaque</v>
      </c>
      <c r="K286" s="2" t="str">
        <f aca="false">IFERROR(INDEX(Query_Source_View!$T:$T,MATCH(ROW()-14,Query_Source_View!$Z:$Z,0)),"")</f>
        <v>Extremely Permanent</v>
      </c>
      <c r="L286" s="2" t="str">
        <f aca="false">IFERROR(INDEX(Query_Source_View!$U:$U,MATCH(ROW()-14,Query_Source_View!$Z:$Z,0)),"")</f>
        <v>N/A</v>
      </c>
      <c r="M286" s="2" t="n">
        <f aca="false">IFERROR(INDEX(Query_Source_View!$V:$V,MATCH(ROW()-14,Query_Source_View!$Z:$Z,0)),"")</f>
        <v>2</v>
      </c>
      <c r="N286" s="2" t="str">
        <f aca="false">IFERROR(INDEX(Query_Source_View!$W:$W,MATCH(ROW()-14,Query_Source_View!$Z:$Z,0)),"")</f>
        <v>Verified From Official Source</v>
      </c>
      <c r="O286" s="2" t="str">
        <f aca="false">IFERROR(INDEX(Query_Source_View!$X:$X,MATCH(ROW()-14,Query_Source_View!$Z:$Z,0)),"")</f>
        <v>https://www.winsornewton.com/pages/professional-acrylic-colour</v>
      </c>
    </row>
    <row r="287" customFormat="false" ht="46.25" hidden="false" customHeight="false" outlineLevel="0" collapsed="false">
      <c r="A287" s="2" t="str">
        <f aca="false">IFERROR(INDEX(Query_Source_View!$A:$A,MATCH(ROW()-14,Query_Source_View!$Z:$Z,0)),"")</f>
        <v>PNT000211</v>
      </c>
      <c r="B287" s="2" t="str">
        <f aca="false">IFERROR(INDEX(Query_Source_View!$D:$D,MATCH(ROW()-14,Query_Source_View!$Z:$Z,0)),"")</f>
        <v>Winsor And Newton</v>
      </c>
      <c r="C287" s="2" t="str">
        <f aca="false">IFERROR(INDEX(Query_Source_View!$F:$F,MATCH(ROW()-14,Query_Source_View!$Z:$Z,0)),"")</f>
        <v>Acrylic</v>
      </c>
      <c r="D287" s="2" t="str">
        <f aca="false">IFERROR(INDEX(Query_Source_View!$H:$H,MATCH(ROW()-14,Query_Source_View!$Z:$Z,0)),"")</f>
        <v>Professional Acrylic</v>
      </c>
      <c r="E287" s="2" t="str">
        <f aca="false">IFERROR(INDEX(Query_Source_View!$J:$J,MATCH(ROW()-14,Query_Source_View!$Z:$Z,0)),"")</f>
        <v>Naples Yellow</v>
      </c>
      <c r="F287" s="2" t="str">
        <f aca="false">IFERROR(INDEX(Query_Source_View!$L:$L,MATCH(ROW()-14,Query_Source_View!$Z:$Z,0)),"")</f>
        <v>Yellow</v>
      </c>
      <c r="G287" s="2" t="str">
        <f aca="false">IFERROR(INDEX(Query_Source_View!$N:$N,MATCH(ROW()-14,Query_Source_View!$Z:$Z,0)),"")</f>
        <v>PW6</v>
      </c>
      <c r="H287" s="2" t="n">
        <f aca="false">IFERROR(INDEX(Query_Source_View!$P:$P,MATCH(ROW()-14,Query_Source_View!$Z:$Z,0)),"")</f>
        <v>2</v>
      </c>
      <c r="I287" s="2" t="str">
        <f aca="false">IFERROR(INDEX(Query_Source_View!$Q:$Q,MATCH(ROW()-14,Query_Source_View!$Z:$Z,0)),"")</f>
        <v>No</v>
      </c>
      <c r="J287" s="2" t="str">
        <f aca="false">IFERROR(INDEX(Query_Source_View!$R:$R,MATCH(ROW()-14,Query_Source_View!$Z:$Z,0)),"")</f>
        <v>Opaque</v>
      </c>
      <c r="K287" s="2" t="str">
        <f aca="false">IFERROR(INDEX(Query_Source_View!$T:$T,MATCH(ROW()-14,Query_Source_View!$Z:$Z,0)),"")</f>
        <v>Extremely Permanent</v>
      </c>
      <c r="L287" s="2" t="str">
        <f aca="false">IFERROR(INDEX(Query_Source_View!$U:$U,MATCH(ROW()-14,Query_Source_View!$Z:$Z,0)),"")</f>
        <v>N/A</v>
      </c>
      <c r="M287" s="2" t="n">
        <f aca="false">IFERROR(INDEX(Query_Source_View!$V:$V,MATCH(ROW()-14,Query_Source_View!$Z:$Z,0)),"")</f>
        <v>2</v>
      </c>
      <c r="N287" s="2" t="str">
        <f aca="false">IFERROR(INDEX(Query_Source_View!$W:$W,MATCH(ROW()-14,Query_Source_View!$Z:$Z,0)),"")</f>
        <v>Verified From Official Source</v>
      </c>
      <c r="O287" s="2" t="str">
        <f aca="false">IFERROR(INDEX(Query_Source_View!$X:$X,MATCH(ROW()-14,Query_Source_View!$Z:$Z,0)),"")</f>
        <v>https://www.winsornewton.com/pages/professional-acrylic-colour</v>
      </c>
    </row>
    <row r="288" customFormat="false" ht="46.25" hidden="false" customHeight="false" outlineLevel="0" collapsed="false">
      <c r="A288" s="2" t="str">
        <f aca="false">IFERROR(INDEX(Query_Source_View!$A:$A,MATCH(ROW()-14,Query_Source_View!$Z:$Z,0)),"")</f>
        <v>PNT000212</v>
      </c>
      <c r="B288" s="2" t="str">
        <f aca="false">IFERROR(INDEX(Query_Source_View!$D:$D,MATCH(ROW()-14,Query_Source_View!$Z:$Z,0)),"")</f>
        <v>Winsor And Newton</v>
      </c>
      <c r="C288" s="2" t="str">
        <f aca="false">IFERROR(INDEX(Query_Source_View!$F:$F,MATCH(ROW()-14,Query_Source_View!$Z:$Z,0)),"")</f>
        <v>Acrylic</v>
      </c>
      <c r="D288" s="2" t="str">
        <f aca="false">IFERROR(INDEX(Query_Source_View!$H:$H,MATCH(ROW()-14,Query_Source_View!$Z:$Z,0)),"")</f>
        <v>Professional Acrylic</v>
      </c>
      <c r="E288" s="2" t="str">
        <f aca="false">IFERROR(INDEX(Query_Source_View!$J:$J,MATCH(ROW()-14,Query_Source_View!$Z:$Z,0)),"")</f>
        <v>Naples Yellow Deep</v>
      </c>
      <c r="F288" s="2" t="str">
        <f aca="false">IFERROR(INDEX(Query_Source_View!$L:$L,MATCH(ROW()-14,Query_Source_View!$Z:$Z,0)),"")</f>
        <v>Yellow</v>
      </c>
      <c r="G288" s="2" t="str">
        <f aca="false">IFERROR(INDEX(Query_Source_View!$N:$N,MATCH(ROW()-14,Query_Source_View!$Z:$Z,0)),"")</f>
        <v>PBr24</v>
      </c>
      <c r="H288" s="2" t="n">
        <f aca="false">IFERROR(INDEX(Query_Source_View!$P:$P,MATCH(ROW()-14,Query_Source_View!$Z:$Z,0)),"")</f>
        <v>1</v>
      </c>
      <c r="I288" s="2" t="str">
        <f aca="false">IFERROR(INDEX(Query_Source_View!$Q:$Q,MATCH(ROW()-14,Query_Source_View!$Z:$Z,0)),"")</f>
        <v>Yes</v>
      </c>
      <c r="J288" s="2" t="str">
        <f aca="false">IFERROR(INDEX(Query_Source_View!$R:$R,MATCH(ROW()-14,Query_Source_View!$Z:$Z,0)),"")</f>
        <v>Opaque</v>
      </c>
      <c r="K288" s="2" t="str">
        <f aca="false">IFERROR(INDEX(Query_Source_View!$T:$T,MATCH(ROW()-14,Query_Source_View!$Z:$Z,0)),"")</f>
        <v>Extremely Permanent</v>
      </c>
      <c r="L288" s="2" t="str">
        <f aca="false">IFERROR(INDEX(Query_Source_View!$U:$U,MATCH(ROW()-14,Query_Source_View!$Z:$Z,0)),"")</f>
        <v>N/A</v>
      </c>
      <c r="M288" s="2" t="n">
        <f aca="false">IFERROR(INDEX(Query_Source_View!$V:$V,MATCH(ROW()-14,Query_Source_View!$Z:$Z,0)),"")</f>
        <v>2</v>
      </c>
      <c r="N288" s="2" t="str">
        <f aca="false">IFERROR(INDEX(Query_Source_View!$W:$W,MATCH(ROW()-14,Query_Source_View!$Z:$Z,0)),"")</f>
        <v>Verified From Official Source</v>
      </c>
      <c r="O288" s="2" t="str">
        <f aca="false">IFERROR(INDEX(Query_Source_View!$X:$X,MATCH(ROW()-14,Query_Source_View!$Z:$Z,0)),"")</f>
        <v>https://www.winsornewton.com/pages/professional-acrylic-colour</v>
      </c>
    </row>
    <row r="289" customFormat="false" ht="46.25" hidden="false" customHeight="false" outlineLevel="0" collapsed="false">
      <c r="A289" s="2" t="str">
        <f aca="false">IFERROR(INDEX(Query_Source_View!$A:$A,MATCH(ROW()-14,Query_Source_View!$Z:$Z,0)),"")</f>
        <v>PNT000213</v>
      </c>
      <c r="B289" s="2" t="str">
        <f aca="false">IFERROR(INDEX(Query_Source_View!$D:$D,MATCH(ROW()-14,Query_Source_View!$Z:$Z,0)),"")</f>
        <v>Winsor And Newton</v>
      </c>
      <c r="C289" s="2" t="str">
        <f aca="false">IFERROR(INDEX(Query_Source_View!$F:$F,MATCH(ROW()-14,Query_Source_View!$Z:$Z,0)),"")</f>
        <v>Acrylic</v>
      </c>
      <c r="D289" s="2" t="str">
        <f aca="false">IFERROR(INDEX(Query_Source_View!$H:$H,MATCH(ROW()-14,Query_Source_View!$Z:$Z,0)),"")</f>
        <v>Professional Acrylic</v>
      </c>
      <c r="E289" s="2" t="str">
        <f aca="false">IFERROR(INDEX(Query_Source_View!$J:$J,MATCH(ROW()-14,Query_Source_View!$Z:$Z,0)),"")</f>
        <v>Yellow Ochre</v>
      </c>
      <c r="F289" s="2" t="str">
        <f aca="false">IFERROR(INDEX(Query_Source_View!$L:$L,MATCH(ROW()-14,Query_Source_View!$Z:$Z,0)),"")</f>
        <v>Yellow</v>
      </c>
      <c r="G289" s="2" t="str">
        <f aca="false">IFERROR(INDEX(Query_Source_View!$N:$N,MATCH(ROW()-14,Query_Source_View!$Z:$Z,0)),"")</f>
        <v>PY43</v>
      </c>
      <c r="H289" s="2" t="n">
        <f aca="false">IFERROR(INDEX(Query_Source_View!$P:$P,MATCH(ROW()-14,Query_Source_View!$Z:$Z,0)),"")</f>
        <v>1</v>
      </c>
      <c r="I289" s="2" t="str">
        <f aca="false">IFERROR(INDEX(Query_Source_View!$Q:$Q,MATCH(ROW()-14,Query_Source_View!$Z:$Z,0)),"")</f>
        <v>Yes</v>
      </c>
      <c r="J289" s="2" t="str">
        <f aca="false">IFERROR(INDEX(Query_Source_View!$R:$R,MATCH(ROW()-14,Query_Source_View!$Z:$Z,0)),"")</f>
        <v>Semi Transparent</v>
      </c>
      <c r="K289" s="2" t="str">
        <f aca="false">IFERROR(INDEX(Query_Source_View!$T:$T,MATCH(ROW()-14,Query_Source_View!$Z:$Z,0)),"")</f>
        <v>Extremely Permanent</v>
      </c>
      <c r="L289" s="2" t="str">
        <f aca="false">IFERROR(INDEX(Query_Source_View!$U:$U,MATCH(ROW()-14,Query_Source_View!$Z:$Z,0)),"")</f>
        <v>I</v>
      </c>
      <c r="M289" s="2" t="n">
        <f aca="false">IFERROR(INDEX(Query_Source_View!$V:$V,MATCH(ROW()-14,Query_Source_View!$Z:$Z,0)),"")</f>
        <v>1</v>
      </c>
      <c r="N289" s="2" t="str">
        <f aca="false">IFERROR(INDEX(Query_Source_View!$W:$W,MATCH(ROW()-14,Query_Source_View!$Z:$Z,0)),"")</f>
        <v>Verified From Official Source</v>
      </c>
      <c r="O289" s="2" t="str">
        <f aca="false">IFERROR(INDEX(Query_Source_View!$X:$X,MATCH(ROW()-14,Query_Source_View!$Z:$Z,0)),"")</f>
        <v>https://www.winsornewton.com/pages/professional-acrylic-colour</v>
      </c>
    </row>
    <row r="290" customFormat="false" ht="46.25" hidden="false" customHeight="false" outlineLevel="0" collapsed="false">
      <c r="A290" s="2" t="str">
        <f aca="false">IFERROR(INDEX(Query_Source_View!$A:$A,MATCH(ROW()-14,Query_Source_View!$Z:$Z,0)),"")</f>
        <v>PNT000214</v>
      </c>
      <c r="B290" s="2" t="str">
        <f aca="false">IFERROR(INDEX(Query_Source_View!$D:$D,MATCH(ROW()-14,Query_Source_View!$Z:$Z,0)),"")</f>
        <v>Winsor And Newton</v>
      </c>
      <c r="C290" s="2" t="str">
        <f aca="false">IFERROR(INDEX(Query_Source_View!$F:$F,MATCH(ROW()-14,Query_Source_View!$Z:$Z,0)),"")</f>
        <v>Acrylic</v>
      </c>
      <c r="D290" s="2" t="str">
        <f aca="false">IFERROR(INDEX(Query_Source_View!$H:$H,MATCH(ROW()-14,Query_Source_View!$Z:$Z,0)),"")</f>
        <v>Professional Acrylic</v>
      </c>
      <c r="E290" s="2" t="str">
        <f aca="false">IFERROR(INDEX(Query_Source_View!$J:$J,MATCH(ROW()-14,Query_Source_View!$Z:$Z,0)),"")</f>
        <v>Yellow Iron Oxide</v>
      </c>
      <c r="F290" s="2" t="str">
        <f aca="false">IFERROR(INDEX(Query_Source_View!$L:$L,MATCH(ROW()-14,Query_Source_View!$Z:$Z,0)),"")</f>
        <v>Yellow</v>
      </c>
      <c r="G290" s="2" t="str">
        <f aca="false">IFERROR(INDEX(Query_Source_View!$N:$N,MATCH(ROW()-14,Query_Source_View!$Z:$Z,0)),"")</f>
        <v>PY42</v>
      </c>
      <c r="H290" s="2" t="n">
        <f aca="false">IFERROR(INDEX(Query_Source_View!$P:$P,MATCH(ROW()-14,Query_Source_View!$Z:$Z,0)),"")</f>
        <v>1</v>
      </c>
      <c r="I290" s="2" t="str">
        <f aca="false">IFERROR(INDEX(Query_Source_View!$Q:$Q,MATCH(ROW()-14,Query_Source_View!$Z:$Z,0)),"")</f>
        <v>Yes</v>
      </c>
      <c r="J290" s="2" t="str">
        <f aca="false">IFERROR(INDEX(Query_Source_View!$R:$R,MATCH(ROW()-14,Query_Source_View!$Z:$Z,0)),"")</f>
        <v>Opaque</v>
      </c>
      <c r="K290" s="2" t="str">
        <f aca="false">IFERROR(INDEX(Query_Source_View!$T:$T,MATCH(ROW()-14,Query_Source_View!$Z:$Z,0)),"")</f>
        <v>Extremely Permanent</v>
      </c>
      <c r="L290" s="2" t="str">
        <f aca="false">IFERROR(INDEX(Query_Source_View!$U:$U,MATCH(ROW()-14,Query_Source_View!$Z:$Z,0)),"")</f>
        <v>I</v>
      </c>
      <c r="M290" s="2" t="n">
        <f aca="false">IFERROR(INDEX(Query_Source_View!$V:$V,MATCH(ROW()-14,Query_Source_View!$Z:$Z,0)),"")</f>
        <v>1</v>
      </c>
      <c r="N290" s="2" t="str">
        <f aca="false">IFERROR(INDEX(Query_Source_View!$W:$W,MATCH(ROW()-14,Query_Source_View!$Z:$Z,0)),"")</f>
        <v>Verified From Official Source</v>
      </c>
      <c r="O290" s="2" t="str">
        <f aca="false">IFERROR(INDEX(Query_Source_View!$X:$X,MATCH(ROW()-14,Query_Source_View!$Z:$Z,0)),"")</f>
        <v>https://www.winsornewton.com/pages/professional-acrylic-colour</v>
      </c>
    </row>
    <row r="291" customFormat="false" ht="46.25" hidden="false" customHeight="false" outlineLevel="0" collapsed="false">
      <c r="A291" s="2" t="str">
        <f aca="false">IFERROR(INDEX(Query_Source_View!$A:$A,MATCH(ROW()-14,Query_Source_View!$Z:$Z,0)),"")</f>
        <v>PNT000215</v>
      </c>
      <c r="B291" s="2" t="str">
        <f aca="false">IFERROR(INDEX(Query_Source_View!$D:$D,MATCH(ROW()-14,Query_Source_View!$Z:$Z,0)),"")</f>
        <v>Winsor And Newton</v>
      </c>
      <c r="C291" s="2" t="str">
        <f aca="false">IFERROR(INDEX(Query_Source_View!$F:$F,MATCH(ROW()-14,Query_Source_View!$Z:$Z,0)),"")</f>
        <v>Acrylic</v>
      </c>
      <c r="D291" s="2" t="str">
        <f aca="false">IFERROR(INDEX(Query_Source_View!$H:$H,MATCH(ROW()-14,Query_Source_View!$Z:$Z,0)),"")</f>
        <v>Professional Acrylic</v>
      </c>
      <c r="E291" s="2" t="str">
        <f aca="false">IFERROR(INDEX(Query_Source_View!$J:$J,MATCH(ROW()-14,Query_Source_View!$Z:$Z,0)),"")</f>
        <v>Gold Ochre</v>
      </c>
      <c r="F291" s="2" t="str">
        <f aca="false">IFERROR(INDEX(Query_Source_View!$L:$L,MATCH(ROW()-14,Query_Source_View!$Z:$Z,0)),"")</f>
        <v>Yellow</v>
      </c>
      <c r="G291" s="2" t="str">
        <f aca="false">IFERROR(INDEX(Query_Source_View!$N:$N,MATCH(ROW()-14,Query_Source_View!$Z:$Z,0)),"")</f>
        <v>PY42</v>
      </c>
      <c r="H291" s="2" t="n">
        <f aca="false">IFERROR(INDEX(Query_Source_View!$P:$P,MATCH(ROW()-14,Query_Source_View!$Z:$Z,0)),"")</f>
        <v>1</v>
      </c>
      <c r="I291" s="2" t="str">
        <f aca="false">IFERROR(INDEX(Query_Source_View!$Q:$Q,MATCH(ROW()-14,Query_Source_View!$Z:$Z,0)),"")</f>
        <v>Yes</v>
      </c>
      <c r="J291" s="2" t="str">
        <f aca="false">IFERROR(INDEX(Query_Source_View!$R:$R,MATCH(ROW()-14,Query_Source_View!$Z:$Z,0)),"")</f>
        <v>Opaque</v>
      </c>
      <c r="K291" s="2" t="str">
        <f aca="false">IFERROR(INDEX(Query_Source_View!$T:$T,MATCH(ROW()-14,Query_Source_View!$Z:$Z,0)),"")</f>
        <v>Extremely Permanent</v>
      </c>
      <c r="L291" s="2" t="str">
        <f aca="false">IFERROR(INDEX(Query_Source_View!$U:$U,MATCH(ROW()-14,Query_Source_View!$Z:$Z,0)),"")</f>
        <v>I</v>
      </c>
      <c r="M291" s="2" t="n">
        <f aca="false">IFERROR(INDEX(Query_Source_View!$V:$V,MATCH(ROW()-14,Query_Source_View!$Z:$Z,0)),"")</f>
        <v>1</v>
      </c>
      <c r="N291" s="2" t="str">
        <f aca="false">IFERROR(INDEX(Query_Source_View!$W:$W,MATCH(ROW()-14,Query_Source_View!$Z:$Z,0)),"")</f>
        <v>Verified From Official Source</v>
      </c>
      <c r="O291" s="2" t="str">
        <f aca="false">IFERROR(INDEX(Query_Source_View!$X:$X,MATCH(ROW()-14,Query_Source_View!$Z:$Z,0)),"")</f>
        <v>https://www.winsornewton.com/pages/professional-acrylic-colour</v>
      </c>
    </row>
    <row r="292" customFormat="false" ht="46.25" hidden="false" customHeight="false" outlineLevel="0" collapsed="false">
      <c r="A292" s="2" t="str">
        <f aca="false">IFERROR(INDEX(Query_Source_View!$A:$A,MATCH(ROW()-14,Query_Source_View!$Z:$Z,0)),"")</f>
        <v>PNT000216</v>
      </c>
      <c r="B292" s="2" t="str">
        <f aca="false">IFERROR(INDEX(Query_Source_View!$D:$D,MATCH(ROW()-14,Query_Source_View!$Z:$Z,0)),"")</f>
        <v>Winsor And Newton</v>
      </c>
      <c r="C292" s="2" t="str">
        <f aca="false">IFERROR(INDEX(Query_Source_View!$F:$F,MATCH(ROW()-14,Query_Source_View!$Z:$Z,0)),"")</f>
        <v>Acrylic</v>
      </c>
      <c r="D292" s="2" t="str">
        <f aca="false">IFERROR(INDEX(Query_Source_View!$H:$H,MATCH(ROW()-14,Query_Source_View!$Z:$Z,0)),"")</f>
        <v>Professional Acrylic</v>
      </c>
      <c r="E292" s="2" t="str">
        <f aca="false">IFERROR(INDEX(Query_Source_View!$J:$J,MATCH(ROW()-14,Query_Source_View!$Z:$Z,0)),"")</f>
        <v>Quinacridone Gold</v>
      </c>
      <c r="F292" s="2" t="str">
        <f aca="false">IFERROR(INDEX(Query_Source_View!$L:$L,MATCH(ROW()-14,Query_Source_View!$Z:$Z,0)),"")</f>
        <v>Yellow</v>
      </c>
      <c r="G292" s="2" t="str">
        <f aca="false">IFERROR(INDEX(Query_Source_View!$N:$N,MATCH(ROW()-14,Query_Source_View!$Z:$Z,0)),"")</f>
        <v>PO48</v>
      </c>
      <c r="H292" s="2" t="n">
        <f aca="false">IFERROR(INDEX(Query_Source_View!$P:$P,MATCH(ROW()-14,Query_Source_View!$Z:$Z,0)),"")</f>
        <v>2</v>
      </c>
      <c r="I292" s="2" t="str">
        <f aca="false">IFERROR(INDEX(Query_Source_View!$Q:$Q,MATCH(ROW()-14,Query_Source_View!$Z:$Z,0)),"")</f>
        <v>No</v>
      </c>
      <c r="J292" s="2" t="str">
        <f aca="false">IFERROR(INDEX(Query_Source_View!$R:$R,MATCH(ROW()-14,Query_Source_View!$Z:$Z,0)),"")</f>
        <v>Transparent</v>
      </c>
      <c r="K292" s="2" t="str">
        <f aca="false">IFERROR(INDEX(Query_Source_View!$T:$T,MATCH(ROW()-14,Query_Source_View!$Z:$Z,0)),"")</f>
        <v>Permanent</v>
      </c>
      <c r="L292" s="2" t="str">
        <f aca="false">IFERROR(INDEX(Query_Source_View!$U:$U,MATCH(ROW()-14,Query_Source_View!$Z:$Z,0)),"")</f>
        <v>I</v>
      </c>
      <c r="M292" s="2" t="n">
        <f aca="false">IFERROR(INDEX(Query_Source_View!$V:$V,MATCH(ROW()-14,Query_Source_View!$Z:$Z,0)),"")</f>
        <v>4</v>
      </c>
      <c r="N292" s="2" t="str">
        <f aca="false">IFERROR(INDEX(Query_Source_View!$W:$W,MATCH(ROW()-14,Query_Source_View!$Z:$Z,0)),"")</f>
        <v>Verified From Official Source</v>
      </c>
      <c r="O292" s="2" t="str">
        <f aca="false">IFERROR(INDEX(Query_Source_View!$X:$X,MATCH(ROW()-14,Query_Source_View!$Z:$Z,0)),"")</f>
        <v>https://www.winsornewton.com/pages/professional-acrylic-colour</v>
      </c>
    </row>
    <row r="293" customFormat="false" ht="46.25" hidden="false" customHeight="false" outlineLevel="0" collapsed="false">
      <c r="A293" s="2" t="str">
        <f aca="false">IFERROR(INDEX(Query_Source_View!$A:$A,MATCH(ROW()-14,Query_Source_View!$Z:$Z,0)),"")</f>
        <v>PNT000216</v>
      </c>
      <c r="B293" s="2" t="str">
        <f aca="false">IFERROR(INDEX(Query_Source_View!$D:$D,MATCH(ROW()-14,Query_Source_View!$Z:$Z,0)),"")</f>
        <v>Winsor And Newton</v>
      </c>
      <c r="C293" s="2" t="str">
        <f aca="false">IFERROR(INDEX(Query_Source_View!$F:$F,MATCH(ROW()-14,Query_Source_View!$Z:$Z,0)),"")</f>
        <v>Acrylic</v>
      </c>
      <c r="D293" s="2" t="str">
        <f aca="false">IFERROR(INDEX(Query_Source_View!$H:$H,MATCH(ROW()-14,Query_Source_View!$Z:$Z,0)),"")</f>
        <v>Professional Acrylic</v>
      </c>
      <c r="E293" s="2" t="str">
        <f aca="false">IFERROR(INDEX(Query_Source_View!$J:$J,MATCH(ROW()-14,Query_Source_View!$Z:$Z,0)),"")</f>
        <v>Quinacridone Gold</v>
      </c>
      <c r="F293" s="2" t="str">
        <f aca="false">IFERROR(INDEX(Query_Source_View!$L:$L,MATCH(ROW()-14,Query_Source_View!$Z:$Z,0)),"")</f>
        <v>Yellow</v>
      </c>
      <c r="G293" s="2" t="str">
        <f aca="false">IFERROR(INDEX(Query_Source_View!$N:$N,MATCH(ROW()-14,Query_Source_View!$Z:$Z,0)),"")</f>
        <v>PY150</v>
      </c>
      <c r="H293" s="2" t="n">
        <f aca="false">IFERROR(INDEX(Query_Source_View!$P:$P,MATCH(ROW()-14,Query_Source_View!$Z:$Z,0)),"")</f>
        <v>2</v>
      </c>
      <c r="I293" s="2" t="str">
        <f aca="false">IFERROR(INDEX(Query_Source_View!$Q:$Q,MATCH(ROW()-14,Query_Source_View!$Z:$Z,0)),"")</f>
        <v>No</v>
      </c>
      <c r="J293" s="2" t="str">
        <f aca="false">IFERROR(INDEX(Query_Source_View!$R:$R,MATCH(ROW()-14,Query_Source_View!$Z:$Z,0)),"")</f>
        <v>Transparent</v>
      </c>
      <c r="K293" s="2" t="str">
        <f aca="false">IFERROR(INDEX(Query_Source_View!$T:$T,MATCH(ROW()-14,Query_Source_View!$Z:$Z,0)),"")</f>
        <v>Permanent</v>
      </c>
      <c r="L293" s="2" t="str">
        <f aca="false">IFERROR(INDEX(Query_Source_View!$U:$U,MATCH(ROW()-14,Query_Source_View!$Z:$Z,0)),"")</f>
        <v>I</v>
      </c>
      <c r="M293" s="2" t="n">
        <f aca="false">IFERROR(INDEX(Query_Source_View!$V:$V,MATCH(ROW()-14,Query_Source_View!$Z:$Z,0)),"")</f>
        <v>4</v>
      </c>
      <c r="N293" s="2" t="str">
        <f aca="false">IFERROR(INDEX(Query_Source_View!$W:$W,MATCH(ROW()-14,Query_Source_View!$Z:$Z,0)),"")</f>
        <v>Verified From Official Source</v>
      </c>
      <c r="O293" s="2" t="str">
        <f aca="false">IFERROR(INDEX(Query_Source_View!$X:$X,MATCH(ROW()-14,Query_Source_View!$Z:$Z,0)),"")</f>
        <v>https://www.winsornewton.com/pages/professional-acrylic-colour</v>
      </c>
    </row>
    <row r="294" customFormat="false" ht="46.25" hidden="false" customHeight="false" outlineLevel="0" collapsed="false">
      <c r="A294" s="2" t="str">
        <f aca="false">IFERROR(INDEX(Query_Source_View!$A:$A,MATCH(ROW()-14,Query_Source_View!$Z:$Z,0)),"")</f>
        <v>PNT000217</v>
      </c>
      <c r="B294" s="2" t="str">
        <f aca="false">IFERROR(INDEX(Query_Source_View!$D:$D,MATCH(ROW()-14,Query_Source_View!$Z:$Z,0)),"")</f>
        <v>Winsor And Newton</v>
      </c>
      <c r="C294" s="2" t="str">
        <f aca="false">IFERROR(INDEX(Query_Source_View!$F:$F,MATCH(ROW()-14,Query_Source_View!$Z:$Z,0)),"")</f>
        <v>Acrylic</v>
      </c>
      <c r="D294" s="2" t="str">
        <f aca="false">IFERROR(INDEX(Query_Source_View!$H:$H,MATCH(ROW()-14,Query_Source_View!$Z:$Z,0)),"")</f>
        <v>Professional Acrylic</v>
      </c>
      <c r="E294" s="2" t="str">
        <f aca="false">IFERROR(INDEX(Query_Source_View!$J:$J,MATCH(ROW()-14,Query_Source_View!$Z:$Z,0)),"")</f>
        <v>Raw Sienna</v>
      </c>
      <c r="F294" s="2" t="str">
        <f aca="false">IFERROR(INDEX(Query_Source_View!$L:$L,MATCH(ROW()-14,Query_Source_View!$Z:$Z,0)),"")</f>
        <v>Earth</v>
      </c>
      <c r="G294" s="2" t="str">
        <f aca="false">IFERROR(INDEX(Query_Source_View!$N:$N,MATCH(ROW()-14,Query_Source_View!$Z:$Z,0)),"")</f>
        <v>PR101</v>
      </c>
      <c r="H294" s="2" t="n">
        <f aca="false">IFERROR(INDEX(Query_Source_View!$P:$P,MATCH(ROW()-14,Query_Source_View!$Z:$Z,0)),"")</f>
        <v>2</v>
      </c>
      <c r="I294" s="2" t="str">
        <f aca="false">IFERROR(INDEX(Query_Source_View!$Q:$Q,MATCH(ROW()-14,Query_Source_View!$Z:$Z,0)),"")</f>
        <v>No</v>
      </c>
      <c r="J294" s="2" t="str">
        <f aca="false">IFERROR(INDEX(Query_Source_View!$R:$R,MATCH(ROW()-14,Query_Source_View!$Z:$Z,0)),"")</f>
        <v>Transparent</v>
      </c>
      <c r="K294" s="2" t="str">
        <f aca="false">IFERROR(INDEX(Query_Source_View!$T:$T,MATCH(ROW()-14,Query_Source_View!$Z:$Z,0)),"")</f>
        <v>Extremely Permanent</v>
      </c>
      <c r="L294" s="2" t="str">
        <f aca="false">IFERROR(INDEX(Query_Source_View!$U:$U,MATCH(ROW()-14,Query_Source_View!$Z:$Z,0)),"")</f>
        <v>I</v>
      </c>
      <c r="M294" s="2" t="n">
        <f aca="false">IFERROR(INDEX(Query_Source_View!$V:$V,MATCH(ROW()-14,Query_Source_View!$Z:$Z,0)),"")</f>
        <v>1</v>
      </c>
      <c r="N294" s="2" t="str">
        <f aca="false">IFERROR(INDEX(Query_Source_View!$W:$W,MATCH(ROW()-14,Query_Source_View!$Z:$Z,0)),"")</f>
        <v>Verified From Official Source</v>
      </c>
      <c r="O294" s="2" t="str">
        <f aca="false">IFERROR(INDEX(Query_Source_View!$X:$X,MATCH(ROW()-14,Query_Source_View!$Z:$Z,0)),"")</f>
        <v>https://www.winsornewton.com/pages/professional-acrylic-colour</v>
      </c>
    </row>
    <row r="295" customFormat="false" ht="46.25" hidden="false" customHeight="false" outlineLevel="0" collapsed="false">
      <c r="A295" s="2" t="str">
        <f aca="false">IFERROR(INDEX(Query_Source_View!$A:$A,MATCH(ROW()-14,Query_Source_View!$Z:$Z,0)),"")</f>
        <v>PNT000217</v>
      </c>
      <c r="B295" s="2" t="str">
        <f aca="false">IFERROR(INDEX(Query_Source_View!$D:$D,MATCH(ROW()-14,Query_Source_View!$Z:$Z,0)),"")</f>
        <v>Winsor And Newton</v>
      </c>
      <c r="C295" s="2" t="str">
        <f aca="false">IFERROR(INDEX(Query_Source_View!$F:$F,MATCH(ROW()-14,Query_Source_View!$Z:$Z,0)),"")</f>
        <v>Acrylic</v>
      </c>
      <c r="D295" s="2" t="str">
        <f aca="false">IFERROR(INDEX(Query_Source_View!$H:$H,MATCH(ROW()-14,Query_Source_View!$Z:$Z,0)),"")</f>
        <v>Professional Acrylic</v>
      </c>
      <c r="E295" s="2" t="str">
        <f aca="false">IFERROR(INDEX(Query_Source_View!$J:$J,MATCH(ROW()-14,Query_Source_View!$Z:$Z,0)),"")</f>
        <v>Raw Sienna</v>
      </c>
      <c r="F295" s="2" t="str">
        <f aca="false">IFERROR(INDEX(Query_Source_View!$L:$L,MATCH(ROW()-14,Query_Source_View!$Z:$Z,0)),"")</f>
        <v>Earth</v>
      </c>
      <c r="G295" s="2" t="str">
        <f aca="false">IFERROR(INDEX(Query_Source_View!$N:$N,MATCH(ROW()-14,Query_Source_View!$Z:$Z,0)),"")</f>
        <v>PY42</v>
      </c>
      <c r="H295" s="2" t="n">
        <f aca="false">IFERROR(INDEX(Query_Source_View!$P:$P,MATCH(ROW()-14,Query_Source_View!$Z:$Z,0)),"")</f>
        <v>2</v>
      </c>
      <c r="I295" s="2" t="str">
        <f aca="false">IFERROR(INDEX(Query_Source_View!$Q:$Q,MATCH(ROW()-14,Query_Source_View!$Z:$Z,0)),"")</f>
        <v>No</v>
      </c>
      <c r="J295" s="2" t="str">
        <f aca="false">IFERROR(INDEX(Query_Source_View!$R:$R,MATCH(ROW()-14,Query_Source_View!$Z:$Z,0)),"")</f>
        <v>Transparent</v>
      </c>
      <c r="K295" s="2" t="str">
        <f aca="false">IFERROR(INDEX(Query_Source_View!$T:$T,MATCH(ROW()-14,Query_Source_View!$Z:$Z,0)),"")</f>
        <v>Extremely Permanent</v>
      </c>
      <c r="L295" s="2" t="str">
        <f aca="false">IFERROR(INDEX(Query_Source_View!$U:$U,MATCH(ROW()-14,Query_Source_View!$Z:$Z,0)),"")</f>
        <v>I</v>
      </c>
      <c r="M295" s="2" t="n">
        <f aca="false">IFERROR(INDEX(Query_Source_View!$V:$V,MATCH(ROW()-14,Query_Source_View!$Z:$Z,0)),"")</f>
        <v>1</v>
      </c>
      <c r="N295" s="2" t="str">
        <f aca="false">IFERROR(INDEX(Query_Source_View!$W:$W,MATCH(ROW()-14,Query_Source_View!$Z:$Z,0)),"")</f>
        <v>Verified From Official Source</v>
      </c>
      <c r="O295" s="2" t="str">
        <f aca="false">IFERROR(INDEX(Query_Source_View!$X:$X,MATCH(ROW()-14,Query_Source_View!$Z:$Z,0)),"")</f>
        <v>https://www.winsornewton.com/pages/professional-acrylic-colour</v>
      </c>
    </row>
    <row r="296" customFormat="false" ht="46.25" hidden="false" customHeight="false" outlineLevel="0" collapsed="false">
      <c r="A296" s="2" t="str">
        <f aca="false">IFERROR(INDEX(Query_Source_View!$A:$A,MATCH(ROW()-14,Query_Source_View!$Z:$Z,0)),"")</f>
        <v>PNT000218</v>
      </c>
      <c r="B296" s="2" t="str">
        <f aca="false">IFERROR(INDEX(Query_Source_View!$D:$D,MATCH(ROW()-14,Query_Source_View!$Z:$Z,0)),"")</f>
        <v>Winsor And Newton</v>
      </c>
      <c r="C296" s="2" t="str">
        <f aca="false">IFERROR(INDEX(Query_Source_View!$F:$F,MATCH(ROW()-14,Query_Source_View!$Z:$Z,0)),"")</f>
        <v>Acrylic</v>
      </c>
      <c r="D296" s="2" t="str">
        <f aca="false">IFERROR(INDEX(Query_Source_View!$H:$H,MATCH(ROW()-14,Query_Source_View!$Z:$Z,0)),"")</f>
        <v>Professional Acrylic</v>
      </c>
      <c r="E296" s="2" t="str">
        <f aca="false">IFERROR(INDEX(Query_Source_View!$J:$J,MATCH(ROW()-14,Query_Source_View!$Z:$Z,0)),"")</f>
        <v>Burnt Sienna</v>
      </c>
      <c r="F296" s="2" t="str">
        <f aca="false">IFERROR(INDEX(Query_Source_View!$L:$L,MATCH(ROW()-14,Query_Source_View!$Z:$Z,0)),"")</f>
        <v>Earth</v>
      </c>
      <c r="G296" s="2" t="str">
        <f aca="false">IFERROR(INDEX(Query_Source_View!$N:$N,MATCH(ROW()-14,Query_Source_View!$Z:$Z,0)),"")</f>
        <v>PR101</v>
      </c>
      <c r="H296" s="2" t="n">
        <f aca="false">IFERROR(INDEX(Query_Source_View!$P:$P,MATCH(ROW()-14,Query_Source_View!$Z:$Z,0)),"")</f>
        <v>1</v>
      </c>
      <c r="I296" s="2" t="str">
        <f aca="false">IFERROR(INDEX(Query_Source_View!$Q:$Q,MATCH(ROW()-14,Query_Source_View!$Z:$Z,0)),"")</f>
        <v>Yes</v>
      </c>
      <c r="J296" s="2" t="str">
        <f aca="false">IFERROR(INDEX(Query_Source_View!$R:$R,MATCH(ROW()-14,Query_Source_View!$Z:$Z,0)),"")</f>
        <v>Transparent</v>
      </c>
      <c r="K296" s="2" t="str">
        <f aca="false">IFERROR(INDEX(Query_Source_View!$T:$T,MATCH(ROW()-14,Query_Source_View!$Z:$Z,0)),"")</f>
        <v>Extremely Permanent</v>
      </c>
      <c r="L296" s="2" t="str">
        <f aca="false">IFERROR(INDEX(Query_Source_View!$U:$U,MATCH(ROW()-14,Query_Source_View!$Z:$Z,0)),"")</f>
        <v>I</v>
      </c>
      <c r="M296" s="2" t="n">
        <f aca="false">IFERROR(INDEX(Query_Source_View!$V:$V,MATCH(ROW()-14,Query_Source_View!$Z:$Z,0)),"")</f>
        <v>1</v>
      </c>
      <c r="N296" s="2" t="str">
        <f aca="false">IFERROR(INDEX(Query_Source_View!$W:$W,MATCH(ROW()-14,Query_Source_View!$Z:$Z,0)),"")</f>
        <v>Verified From Official Source</v>
      </c>
      <c r="O296" s="2" t="str">
        <f aca="false">IFERROR(INDEX(Query_Source_View!$X:$X,MATCH(ROW()-14,Query_Source_View!$Z:$Z,0)),"")</f>
        <v>https://www.winsornewton.com/pages/professional-acrylic-colour</v>
      </c>
    </row>
    <row r="297" customFormat="false" ht="46.25" hidden="false" customHeight="false" outlineLevel="0" collapsed="false">
      <c r="A297" s="2" t="str">
        <f aca="false">IFERROR(INDEX(Query_Source_View!$A:$A,MATCH(ROW()-14,Query_Source_View!$Z:$Z,0)),"")</f>
        <v>PNT000219</v>
      </c>
      <c r="B297" s="2" t="str">
        <f aca="false">IFERROR(INDEX(Query_Source_View!$D:$D,MATCH(ROW()-14,Query_Source_View!$Z:$Z,0)),"")</f>
        <v>Winsor And Newton</v>
      </c>
      <c r="C297" s="2" t="str">
        <f aca="false">IFERROR(INDEX(Query_Source_View!$F:$F,MATCH(ROW()-14,Query_Source_View!$Z:$Z,0)),"")</f>
        <v>Acrylic</v>
      </c>
      <c r="D297" s="2" t="str">
        <f aca="false">IFERROR(INDEX(Query_Source_View!$H:$H,MATCH(ROW()-14,Query_Source_View!$Z:$Z,0)),"")</f>
        <v>Professional Acrylic</v>
      </c>
      <c r="E297" s="2" t="str">
        <f aca="false">IFERROR(INDEX(Query_Source_View!$J:$J,MATCH(ROW()-14,Query_Source_View!$Z:$Z,0)),"")</f>
        <v>Potter’s Pink</v>
      </c>
      <c r="F297" s="2" t="str">
        <f aca="false">IFERROR(INDEX(Query_Source_View!$L:$L,MATCH(ROW()-14,Query_Source_View!$Z:$Z,0)),"")</f>
        <v>Red</v>
      </c>
      <c r="G297" s="2" t="str">
        <f aca="false">IFERROR(INDEX(Query_Source_View!$N:$N,MATCH(ROW()-14,Query_Source_View!$Z:$Z,0)),"")</f>
        <v>PR233</v>
      </c>
      <c r="H297" s="2" t="n">
        <f aca="false">IFERROR(INDEX(Query_Source_View!$P:$P,MATCH(ROW()-14,Query_Source_View!$Z:$Z,0)),"")</f>
        <v>1</v>
      </c>
      <c r="I297" s="2" t="str">
        <f aca="false">IFERROR(INDEX(Query_Source_View!$Q:$Q,MATCH(ROW()-14,Query_Source_View!$Z:$Z,0)),"")</f>
        <v>Yes</v>
      </c>
      <c r="J297" s="2" t="str">
        <f aca="false">IFERROR(INDEX(Query_Source_View!$R:$R,MATCH(ROW()-14,Query_Source_View!$Z:$Z,0)),"")</f>
        <v>Semi Opaque</v>
      </c>
      <c r="K297" s="2" t="str">
        <f aca="false">IFERROR(INDEX(Query_Source_View!$T:$T,MATCH(ROW()-14,Query_Source_View!$Z:$Z,0)),"")</f>
        <v>Extremely Permanent</v>
      </c>
      <c r="L297" s="2" t="str">
        <f aca="false">IFERROR(INDEX(Query_Source_View!$U:$U,MATCH(ROW()-14,Query_Source_View!$Z:$Z,0)),"")</f>
        <v>N/A</v>
      </c>
      <c r="M297" s="2" t="n">
        <f aca="false">IFERROR(INDEX(Query_Source_View!$V:$V,MATCH(ROW()-14,Query_Source_View!$Z:$Z,0)),"")</f>
        <v>3</v>
      </c>
      <c r="N297" s="2" t="str">
        <f aca="false">IFERROR(INDEX(Query_Source_View!$W:$W,MATCH(ROW()-14,Query_Source_View!$Z:$Z,0)),"")</f>
        <v>Verified From Official Source</v>
      </c>
      <c r="O297" s="2" t="str">
        <f aca="false">IFERROR(INDEX(Query_Source_View!$X:$X,MATCH(ROW()-14,Query_Source_View!$Z:$Z,0)),"")</f>
        <v>https://www.winsornewton.com/pages/professional-acrylic-colour</v>
      </c>
    </row>
    <row r="298" customFormat="false" ht="46.25" hidden="false" customHeight="false" outlineLevel="0" collapsed="false">
      <c r="A298" s="2" t="str">
        <f aca="false">IFERROR(INDEX(Query_Source_View!$A:$A,MATCH(ROW()-14,Query_Source_View!$Z:$Z,0)),"")</f>
        <v>PNT000220</v>
      </c>
      <c r="B298" s="2" t="str">
        <f aca="false">IFERROR(INDEX(Query_Source_View!$D:$D,MATCH(ROW()-14,Query_Source_View!$Z:$Z,0)),"")</f>
        <v>Winsor And Newton</v>
      </c>
      <c r="C298" s="2" t="str">
        <f aca="false">IFERROR(INDEX(Query_Source_View!$F:$F,MATCH(ROW()-14,Query_Source_View!$Z:$Z,0)),"")</f>
        <v>Acrylic</v>
      </c>
      <c r="D298" s="2" t="str">
        <f aca="false">IFERROR(INDEX(Query_Source_View!$H:$H,MATCH(ROW()-14,Query_Source_View!$Z:$Z,0)),"")</f>
        <v>Professional Acrylic</v>
      </c>
      <c r="E298" s="2" t="str">
        <f aca="false">IFERROR(INDEX(Query_Source_View!$J:$J,MATCH(ROW()-14,Query_Source_View!$Z:$Z,0)),"")</f>
        <v>Quinacridone Magenta</v>
      </c>
      <c r="F298" s="2" t="str">
        <f aca="false">IFERROR(INDEX(Query_Source_View!$L:$L,MATCH(ROW()-14,Query_Source_View!$Z:$Z,0)),"")</f>
        <v>Red</v>
      </c>
      <c r="G298" s="2" t="str">
        <f aca="false">IFERROR(INDEX(Query_Source_View!$N:$N,MATCH(ROW()-14,Query_Source_View!$Z:$Z,0)),"")</f>
        <v>PV19</v>
      </c>
      <c r="H298" s="2" t="n">
        <f aca="false">IFERROR(INDEX(Query_Source_View!$P:$P,MATCH(ROW()-14,Query_Source_View!$Z:$Z,0)),"")</f>
        <v>1</v>
      </c>
      <c r="I298" s="2" t="str">
        <f aca="false">IFERROR(INDEX(Query_Source_View!$Q:$Q,MATCH(ROW()-14,Query_Source_View!$Z:$Z,0)),"")</f>
        <v>Yes</v>
      </c>
      <c r="J298" s="2" t="str">
        <f aca="false">IFERROR(INDEX(Query_Source_View!$R:$R,MATCH(ROW()-14,Query_Source_View!$Z:$Z,0)),"")</f>
        <v>Transparent</v>
      </c>
      <c r="K298" s="2" t="str">
        <f aca="false">IFERROR(INDEX(Query_Source_View!$T:$T,MATCH(ROW()-14,Query_Source_View!$Z:$Z,0)),"")</f>
        <v>Permanent</v>
      </c>
      <c r="L298" s="2" t="str">
        <f aca="false">IFERROR(INDEX(Query_Source_View!$U:$U,MATCH(ROW()-14,Query_Source_View!$Z:$Z,0)),"")</f>
        <v>I</v>
      </c>
      <c r="M298" s="2" t="n">
        <f aca="false">IFERROR(INDEX(Query_Source_View!$V:$V,MATCH(ROW()-14,Query_Source_View!$Z:$Z,0)),"")</f>
        <v>3</v>
      </c>
      <c r="N298" s="2" t="str">
        <f aca="false">IFERROR(INDEX(Query_Source_View!$W:$W,MATCH(ROW()-14,Query_Source_View!$Z:$Z,0)),"")</f>
        <v>Verified From Official Source</v>
      </c>
      <c r="O298" s="2" t="str">
        <f aca="false">IFERROR(INDEX(Query_Source_View!$X:$X,MATCH(ROW()-14,Query_Source_View!$Z:$Z,0)),"")</f>
        <v>https://www.winsornewton.com/pages/professional-acrylic-colour</v>
      </c>
    </row>
    <row r="299" customFormat="false" ht="46.25" hidden="false" customHeight="false" outlineLevel="0" collapsed="false">
      <c r="A299" s="2" t="str">
        <f aca="false">IFERROR(INDEX(Query_Source_View!$A:$A,MATCH(ROW()-14,Query_Source_View!$Z:$Z,0)),"")</f>
        <v>PNT000221</v>
      </c>
      <c r="B299" s="2" t="str">
        <f aca="false">IFERROR(INDEX(Query_Source_View!$D:$D,MATCH(ROW()-14,Query_Source_View!$Z:$Z,0)),"")</f>
        <v>Winsor And Newton</v>
      </c>
      <c r="C299" s="2" t="str">
        <f aca="false">IFERROR(INDEX(Query_Source_View!$F:$F,MATCH(ROW()-14,Query_Source_View!$Z:$Z,0)),"")</f>
        <v>Acrylic</v>
      </c>
      <c r="D299" s="2" t="str">
        <f aca="false">IFERROR(INDEX(Query_Source_View!$H:$H,MATCH(ROW()-14,Query_Source_View!$Z:$Z,0)),"")</f>
        <v>Professional Acrylic</v>
      </c>
      <c r="E299" s="2" t="str">
        <f aca="false">IFERROR(INDEX(Query_Source_View!$J:$J,MATCH(ROW()-14,Query_Source_View!$Z:$Z,0)),"")</f>
        <v>Perylene Violet</v>
      </c>
      <c r="F299" s="2" t="str">
        <f aca="false">IFERROR(INDEX(Query_Source_View!$L:$L,MATCH(ROW()-14,Query_Source_View!$Z:$Z,0)),"")</f>
        <v>Violet</v>
      </c>
      <c r="G299" s="2" t="str">
        <f aca="false">IFERROR(INDEX(Query_Source_View!$N:$N,MATCH(ROW()-14,Query_Source_View!$Z:$Z,0)),"")</f>
        <v>PV29</v>
      </c>
      <c r="H299" s="2" t="n">
        <f aca="false">IFERROR(INDEX(Query_Source_View!$P:$P,MATCH(ROW()-14,Query_Source_View!$Z:$Z,0)),"")</f>
        <v>1</v>
      </c>
      <c r="I299" s="2" t="str">
        <f aca="false">IFERROR(INDEX(Query_Source_View!$Q:$Q,MATCH(ROW()-14,Query_Source_View!$Z:$Z,0)),"")</f>
        <v>Yes</v>
      </c>
      <c r="J299" s="2" t="str">
        <f aca="false">IFERROR(INDEX(Query_Source_View!$R:$R,MATCH(ROW()-14,Query_Source_View!$Z:$Z,0)),"")</f>
        <v>Transparent</v>
      </c>
      <c r="K299" s="2" t="str">
        <f aca="false">IFERROR(INDEX(Query_Source_View!$T:$T,MATCH(ROW()-14,Query_Source_View!$Z:$Z,0)),"")</f>
        <v>Permanent</v>
      </c>
      <c r="L299" s="2" t="str">
        <f aca="false">IFERROR(INDEX(Query_Source_View!$U:$U,MATCH(ROW()-14,Query_Source_View!$Z:$Z,0)),"")</f>
        <v>N/A</v>
      </c>
      <c r="M299" s="2" t="n">
        <f aca="false">IFERROR(INDEX(Query_Source_View!$V:$V,MATCH(ROW()-14,Query_Source_View!$Z:$Z,0)),"")</f>
        <v>4</v>
      </c>
      <c r="N299" s="2" t="str">
        <f aca="false">IFERROR(INDEX(Query_Source_View!$W:$W,MATCH(ROW()-14,Query_Source_View!$Z:$Z,0)),"")</f>
        <v>Verified From Official Source</v>
      </c>
      <c r="O299" s="2" t="str">
        <f aca="false">IFERROR(INDEX(Query_Source_View!$X:$X,MATCH(ROW()-14,Query_Source_View!$Z:$Z,0)),"")</f>
        <v>https://www.winsornewton.com/pages/professional-acrylic-colour</v>
      </c>
    </row>
    <row r="300" customFormat="false" ht="46.25" hidden="false" customHeight="false" outlineLevel="0" collapsed="false">
      <c r="A300" s="2" t="str">
        <f aca="false">IFERROR(INDEX(Query_Source_View!$A:$A,MATCH(ROW()-14,Query_Source_View!$Z:$Z,0)),"")</f>
        <v>PNT000222</v>
      </c>
      <c r="B300" s="2" t="str">
        <f aca="false">IFERROR(INDEX(Query_Source_View!$D:$D,MATCH(ROW()-14,Query_Source_View!$Z:$Z,0)),"")</f>
        <v>Winsor And Newton</v>
      </c>
      <c r="C300" s="2" t="str">
        <f aca="false">IFERROR(INDEX(Query_Source_View!$F:$F,MATCH(ROW()-14,Query_Source_View!$Z:$Z,0)),"")</f>
        <v>Acrylic</v>
      </c>
      <c r="D300" s="2" t="str">
        <f aca="false">IFERROR(INDEX(Query_Source_View!$H:$H,MATCH(ROW()-14,Query_Source_View!$Z:$Z,0)),"")</f>
        <v>Professional Acrylic</v>
      </c>
      <c r="E300" s="2" t="str">
        <f aca="false">IFERROR(INDEX(Query_Source_View!$J:$J,MATCH(ROW()-14,Query_Source_View!$Z:$Z,0)),"")</f>
        <v>Dioxazine Purple</v>
      </c>
      <c r="F300" s="2" t="str">
        <f aca="false">IFERROR(INDEX(Query_Source_View!$L:$L,MATCH(ROW()-14,Query_Source_View!$Z:$Z,0)),"")</f>
        <v>Violet</v>
      </c>
      <c r="G300" s="2" t="str">
        <f aca="false">IFERROR(INDEX(Query_Source_View!$N:$N,MATCH(ROW()-14,Query_Source_View!$Z:$Z,0)),"")</f>
        <v>PV23</v>
      </c>
      <c r="H300" s="2" t="n">
        <f aca="false">IFERROR(INDEX(Query_Source_View!$P:$P,MATCH(ROW()-14,Query_Source_View!$Z:$Z,0)),"")</f>
        <v>1</v>
      </c>
      <c r="I300" s="2" t="str">
        <f aca="false">IFERROR(INDEX(Query_Source_View!$Q:$Q,MATCH(ROW()-14,Query_Source_View!$Z:$Z,0)),"")</f>
        <v>Yes</v>
      </c>
      <c r="J300" s="2" t="str">
        <f aca="false">IFERROR(INDEX(Query_Source_View!$R:$R,MATCH(ROW()-14,Query_Source_View!$Z:$Z,0)),"")</f>
        <v>Transparent</v>
      </c>
      <c r="K300" s="2" t="str">
        <f aca="false">IFERROR(INDEX(Query_Source_View!$T:$T,MATCH(ROW()-14,Query_Source_View!$Z:$Z,0)),"")</f>
        <v>Permanent</v>
      </c>
      <c r="L300" s="2" t="str">
        <f aca="false">IFERROR(INDEX(Query_Source_View!$U:$U,MATCH(ROW()-14,Query_Source_View!$Z:$Z,0)),"")</f>
        <v>II</v>
      </c>
      <c r="M300" s="2" t="n">
        <f aca="false">IFERROR(INDEX(Query_Source_View!$V:$V,MATCH(ROW()-14,Query_Source_View!$Z:$Z,0)),"")</f>
        <v>3</v>
      </c>
      <c r="N300" s="2" t="str">
        <f aca="false">IFERROR(INDEX(Query_Source_View!$W:$W,MATCH(ROW()-14,Query_Source_View!$Z:$Z,0)),"")</f>
        <v>Verified From Official Source</v>
      </c>
      <c r="O300" s="2" t="str">
        <f aca="false">IFERROR(INDEX(Query_Source_View!$X:$X,MATCH(ROW()-14,Query_Source_View!$Z:$Z,0)),"")</f>
        <v>https://www.winsornewton.com/pages/professional-acrylic-colour</v>
      </c>
    </row>
    <row r="301" customFormat="false" ht="46.25" hidden="false" customHeight="false" outlineLevel="0" collapsed="false">
      <c r="A301" s="2" t="str">
        <f aca="false">IFERROR(INDEX(Query_Source_View!$A:$A,MATCH(ROW()-14,Query_Source_View!$Z:$Z,0)),"")</f>
        <v>PNT000223</v>
      </c>
      <c r="B301" s="2" t="str">
        <f aca="false">IFERROR(INDEX(Query_Source_View!$D:$D,MATCH(ROW()-14,Query_Source_View!$Z:$Z,0)),"")</f>
        <v>Winsor And Newton</v>
      </c>
      <c r="C301" s="2" t="str">
        <f aca="false">IFERROR(INDEX(Query_Source_View!$F:$F,MATCH(ROW()-14,Query_Source_View!$Z:$Z,0)),"")</f>
        <v>Acrylic</v>
      </c>
      <c r="D301" s="2" t="str">
        <f aca="false">IFERROR(INDEX(Query_Source_View!$H:$H,MATCH(ROW()-14,Query_Source_View!$Z:$Z,0)),"")</f>
        <v>Professional Acrylic</v>
      </c>
      <c r="E301" s="2" t="str">
        <f aca="false">IFERROR(INDEX(Query_Source_View!$J:$J,MATCH(ROW()-14,Query_Source_View!$Z:$Z,0)),"")</f>
        <v>Ultramarine Violet</v>
      </c>
      <c r="F301" s="2" t="str">
        <f aca="false">IFERROR(INDEX(Query_Source_View!$L:$L,MATCH(ROW()-14,Query_Source_View!$Z:$Z,0)),"")</f>
        <v>Violet</v>
      </c>
      <c r="G301" s="2" t="str">
        <f aca="false">IFERROR(INDEX(Query_Source_View!$N:$N,MATCH(ROW()-14,Query_Source_View!$Z:$Z,0)),"")</f>
        <v>PV15</v>
      </c>
      <c r="H301" s="2" t="n">
        <f aca="false">IFERROR(INDEX(Query_Source_View!$P:$P,MATCH(ROW()-14,Query_Source_View!$Z:$Z,0)),"")</f>
        <v>1</v>
      </c>
      <c r="I301" s="2" t="str">
        <f aca="false">IFERROR(INDEX(Query_Source_View!$Q:$Q,MATCH(ROW()-14,Query_Source_View!$Z:$Z,0)),"")</f>
        <v>Yes</v>
      </c>
      <c r="J301" s="2" t="str">
        <f aca="false">IFERROR(INDEX(Query_Source_View!$R:$R,MATCH(ROW()-14,Query_Source_View!$Z:$Z,0)),"")</f>
        <v>Transparent</v>
      </c>
      <c r="K301" s="2" t="str">
        <f aca="false">IFERROR(INDEX(Query_Source_View!$T:$T,MATCH(ROW()-14,Query_Source_View!$Z:$Z,0)),"")</f>
        <v>Permanent</v>
      </c>
      <c r="L301" s="2" t="str">
        <f aca="false">IFERROR(INDEX(Query_Source_View!$U:$U,MATCH(ROW()-14,Query_Source_View!$Z:$Z,0)),"")</f>
        <v>I</v>
      </c>
      <c r="M301" s="2" t="n">
        <f aca="false">IFERROR(INDEX(Query_Source_View!$V:$V,MATCH(ROW()-14,Query_Source_View!$Z:$Z,0)),"")</f>
        <v>2</v>
      </c>
      <c r="N301" s="2" t="str">
        <f aca="false">IFERROR(INDEX(Query_Source_View!$W:$W,MATCH(ROW()-14,Query_Source_View!$Z:$Z,0)),"")</f>
        <v>Verified From Official Source</v>
      </c>
      <c r="O301" s="2" t="str">
        <f aca="false">IFERROR(INDEX(Query_Source_View!$X:$X,MATCH(ROW()-14,Query_Source_View!$Z:$Z,0)),"")</f>
        <v>https://www.winsornewton.com/pages/professional-acrylic-colour</v>
      </c>
    </row>
    <row r="302" customFormat="false" ht="46.25" hidden="false" customHeight="false" outlineLevel="0" collapsed="false">
      <c r="A302" s="2" t="str">
        <f aca="false">IFERROR(INDEX(Query_Source_View!$A:$A,MATCH(ROW()-14,Query_Source_View!$Z:$Z,0)),"")</f>
        <v>PNT000224</v>
      </c>
      <c r="B302" s="2" t="str">
        <f aca="false">IFERROR(INDEX(Query_Source_View!$D:$D,MATCH(ROW()-14,Query_Source_View!$Z:$Z,0)),"")</f>
        <v>Winsor And Newton</v>
      </c>
      <c r="C302" s="2" t="str">
        <f aca="false">IFERROR(INDEX(Query_Source_View!$F:$F,MATCH(ROW()-14,Query_Source_View!$Z:$Z,0)),"")</f>
        <v>Acrylic</v>
      </c>
      <c r="D302" s="2" t="str">
        <f aca="false">IFERROR(INDEX(Query_Source_View!$H:$H,MATCH(ROW()-14,Query_Source_View!$Z:$Z,0)),"")</f>
        <v>Professional Acrylic</v>
      </c>
      <c r="E302" s="2" t="str">
        <f aca="false">IFERROR(INDEX(Query_Source_View!$J:$J,MATCH(ROW()-14,Query_Source_View!$Z:$Z,0)),"")</f>
        <v>Indanthrene Blue</v>
      </c>
      <c r="F302" s="2" t="str">
        <f aca="false">IFERROR(INDEX(Query_Source_View!$L:$L,MATCH(ROW()-14,Query_Source_View!$Z:$Z,0)),"")</f>
        <v>Blue</v>
      </c>
      <c r="G302" s="2" t="str">
        <f aca="false">IFERROR(INDEX(Query_Source_View!$N:$N,MATCH(ROW()-14,Query_Source_View!$Z:$Z,0)),"")</f>
        <v>PB60</v>
      </c>
      <c r="H302" s="2" t="n">
        <f aca="false">IFERROR(INDEX(Query_Source_View!$P:$P,MATCH(ROW()-14,Query_Source_View!$Z:$Z,0)),"")</f>
        <v>1</v>
      </c>
      <c r="I302" s="2" t="str">
        <f aca="false">IFERROR(INDEX(Query_Source_View!$Q:$Q,MATCH(ROW()-14,Query_Source_View!$Z:$Z,0)),"")</f>
        <v>Yes</v>
      </c>
      <c r="J302" s="2" t="str">
        <f aca="false">IFERROR(INDEX(Query_Source_View!$R:$R,MATCH(ROW()-14,Query_Source_View!$Z:$Z,0)),"")</f>
        <v>Transparent</v>
      </c>
      <c r="K302" s="2" t="str">
        <f aca="false">IFERROR(INDEX(Query_Source_View!$T:$T,MATCH(ROW()-14,Query_Source_View!$Z:$Z,0)),"")</f>
        <v>Permanent</v>
      </c>
      <c r="L302" s="2" t="str">
        <f aca="false">IFERROR(INDEX(Query_Source_View!$U:$U,MATCH(ROW()-14,Query_Source_View!$Z:$Z,0)),"")</f>
        <v>I</v>
      </c>
      <c r="M302" s="2" t="n">
        <f aca="false">IFERROR(INDEX(Query_Source_View!$V:$V,MATCH(ROW()-14,Query_Source_View!$Z:$Z,0)),"")</f>
        <v>3</v>
      </c>
      <c r="N302" s="2" t="str">
        <f aca="false">IFERROR(INDEX(Query_Source_View!$W:$W,MATCH(ROW()-14,Query_Source_View!$Z:$Z,0)),"")</f>
        <v>Verified From Official Source</v>
      </c>
      <c r="O302" s="2" t="str">
        <f aca="false">IFERROR(INDEX(Query_Source_View!$X:$X,MATCH(ROW()-14,Query_Source_View!$Z:$Z,0)),"")</f>
        <v>https://www.winsornewton.com/pages/professional-acrylic-colour</v>
      </c>
    </row>
    <row r="303" customFormat="false" ht="46.25" hidden="false" customHeight="false" outlineLevel="0" collapsed="false">
      <c r="A303" s="2" t="str">
        <f aca="false">IFERROR(INDEX(Query_Source_View!$A:$A,MATCH(ROW()-14,Query_Source_View!$Z:$Z,0)),"")</f>
        <v>PNT000225</v>
      </c>
      <c r="B303" s="2" t="str">
        <f aca="false">IFERROR(INDEX(Query_Source_View!$D:$D,MATCH(ROW()-14,Query_Source_View!$Z:$Z,0)),"")</f>
        <v>Winsor And Newton</v>
      </c>
      <c r="C303" s="2" t="str">
        <f aca="false">IFERROR(INDEX(Query_Source_View!$F:$F,MATCH(ROW()-14,Query_Source_View!$Z:$Z,0)),"")</f>
        <v>Acrylic</v>
      </c>
      <c r="D303" s="2" t="str">
        <f aca="false">IFERROR(INDEX(Query_Source_View!$H:$H,MATCH(ROW()-14,Query_Source_View!$Z:$Z,0)),"")</f>
        <v>Professional Acrylic</v>
      </c>
      <c r="E303" s="2" t="str">
        <f aca="false">IFERROR(INDEX(Query_Source_View!$J:$J,MATCH(ROW()-14,Query_Source_View!$Z:$Z,0)),"")</f>
        <v>Ultramarine Blue</v>
      </c>
      <c r="F303" s="2" t="str">
        <f aca="false">IFERROR(INDEX(Query_Source_View!$L:$L,MATCH(ROW()-14,Query_Source_View!$Z:$Z,0)),"")</f>
        <v>Blue</v>
      </c>
      <c r="G303" s="2" t="str">
        <f aca="false">IFERROR(INDEX(Query_Source_View!$N:$N,MATCH(ROW()-14,Query_Source_View!$Z:$Z,0)),"")</f>
        <v>PB29</v>
      </c>
      <c r="H303" s="2" t="n">
        <f aca="false">IFERROR(INDEX(Query_Source_View!$P:$P,MATCH(ROW()-14,Query_Source_View!$Z:$Z,0)),"")</f>
        <v>1</v>
      </c>
      <c r="I303" s="2" t="str">
        <f aca="false">IFERROR(INDEX(Query_Source_View!$Q:$Q,MATCH(ROW()-14,Query_Source_View!$Z:$Z,0)),"")</f>
        <v>Yes</v>
      </c>
      <c r="J303" s="2" t="str">
        <f aca="false">IFERROR(INDEX(Query_Source_View!$R:$R,MATCH(ROW()-14,Query_Source_View!$Z:$Z,0)),"")</f>
        <v>Transparent</v>
      </c>
      <c r="K303" s="2" t="str">
        <f aca="false">IFERROR(INDEX(Query_Source_View!$T:$T,MATCH(ROW()-14,Query_Source_View!$Z:$Z,0)),"")</f>
        <v>Permanent</v>
      </c>
      <c r="L303" s="2" t="str">
        <f aca="false">IFERROR(INDEX(Query_Source_View!$U:$U,MATCH(ROW()-14,Query_Source_View!$Z:$Z,0)),"")</f>
        <v>I</v>
      </c>
      <c r="M303" s="2" t="n">
        <f aca="false">IFERROR(INDEX(Query_Source_View!$V:$V,MATCH(ROW()-14,Query_Source_View!$Z:$Z,0)),"")</f>
        <v>2</v>
      </c>
      <c r="N303" s="2" t="str">
        <f aca="false">IFERROR(INDEX(Query_Source_View!$W:$W,MATCH(ROW()-14,Query_Source_View!$Z:$Z,0)),"")</f>
        <v>Verified From Official Source</v>
      </c>
      <c r="O303" s="2" t="str">
        <f aca="false">IFERROR(INDEX(Query_Source_View!$X:$X,MATCH(ROW()-14,Query_Source_View!$Z:$Z,0)),"")</f>
        <v>https://www.winsornewton.com/pages/professional-acrylic-colour</v>
      </c>
    </row>
    <row r="304" customFormat="false" ht="46.25" hidden="false" customHeight="false" outlineLevel="0" collapsed="false">
      <c r="A304" s="2" t="str">
        <f aca="false">IFERROR(INDEX(Query_Source_View!$A:$A,MATCH(ROW()-14,Query_Source_View!$Z:$Z,0)),"")</f>
        <v>PNT000226</v>
      </c>
      <c r="B304" s="2" t="str">
        <f aca="false">IFERROR(INDEX(Query_Source_View!$D:$D,MATCH(ROW()-14,Query_Source_View!$Z:$Z,0)),"")</f>
        <v>Winsor And Newton</v>
      </c>
      <c r="C304" s="2" t="str">
        <f aca="false">IFERROR(INDEX(Query_Source_View!$F:$F,MATCH(ROW()-14,Query_Source_View!$Z:$Z,0)),"")</f>
        <v>Acrylic</v>
      </c>
      <c r="D304" s="2" t="str">
        <f aca="false">IFERROR(INDEX(Query_Source_View!$H:$H,MATCH(ROW()-14,Query_Source_View!$Z:$Z,0)),"")</f>
        <v>Professional Acrylic</v>
      </c>
      <c r="E304" s="2" t="str">
        <f aca="false">IFERROR(INDEX(Query_Source_View!$J:$J,MATCH(ROW()-14,Query_Source_View!$Z:$Z,0)),"")</f>
        <v>Cobalt Blue Deep</v>
      </c>
      <c r="F304" s="2" t="str">
        <f aca="false">IFERROR(INDEX(Query_Source_View!$L:$L,MATCH(ROW()-14,Query_Source_View!$Z:$Z,0)),"")</f>
        <v>Blue</v>
      </c>
      <c r="G304" s="2" t="str">
        <f aca="false">IFERROR(INDEX(Query_Source_View!$N:$N,MATCH(ROW()-14,Query_Source_View!$Z:$Z,0)),"")</f>
        <v>PB73</v>
      </c>
      <c r="H304" s="2" t="n">
        <f aca="false">IFERROR(INDEX(Query_Source_View!$P:$P,MATCH(ROW()-14,Query_Source_View!$Z:$Z,0)),"")</f>
        <v>1</v>
      </c>
      <c r="I304" s="2" t="str">
        <f aca="false">IFERROR(INDEX(Query_Source_View!$Q:$Q,MATCH(ROW()-14,Query_Source_View!$Z:$Z,0)),"")</f>
        <v>Yes</v>
      </c>
      <c r="J304" s="2" t="str">
        <f aca="false">IFERROR(INDEX(Query_Source_View!$R:$R,MATCH(ROW()-14,Query_Source_View!$Z:$Z,0)),"")</f>
        <v>Semi Opaque</v>
      </c>
      <c r="K304" s="2" t="str">
        <f aca="false">IFERROR(INDEX(Query_Source_View!$T:$T,MATCH(ROW()-14,Query_Source_View!$Z:$Z,0)),"")</f>
        <v>Extremely Permanent</v>
      </c>
      <c r="L304" s="2" t="str">
        <f aca="false">IFERROR(INDEX(Query_Source_View!$U:$U,MATCH(ROW()-14,Query_Source_View!$Z:$Z,0)),"")</f>
        <v>I</v>
      </c>
      <c r="M304" s="2" t="n">
        <f aca="false">IFERROR(INDEX(Query_Source_View!$V:$V,MATCH(ROW()-14,Query_Source_View!$Z:$Z,0)),"")</f>
        <v>5</v>
      </c>
      <c r="N304" s="2" t="str">
        <f aca="false">IFERROR(INDEX(Query_Source_View!$W:$W,MATCH(ROW()-14,Query_Source_View!$Z:$Z,0)),"")</f>
        <v>Verified From Official Source</v>
      </c>
      <c r="O304" s="2" t="str">
        <f aca="false">IFERROR(INDEX(Query_Source_View!$X:$X,MATCH(ROW()-14,Query_Source_View!$Z:$Z,0)),"")</f>
        <v>https://www.winsornewton.com/pages/professional-acrylic-colour</v>
      </c>
    </row>
    <row r="305" customFormat="false" ht="46.25" hidden="false" customHeight="false" outlineLevel="0" collapsed="false">
      <c r="A305" s="2" t="str">
        <f aca="false">IFERROR(INDEX(Query_Source_View!$A:$A,MATCH(ROW()-14,Query_Source_View!$Z:$Z,0)),"")</f>
        <v>PNT000227</v>
      </c>
      <c r="B305" s="2" t="str">
        <f aca="false">IFERROR(INDEX(Query_Source_View!$D:$D,MATCH(ROW()-14,Query_Source_View!$Z:$Z,0)),"")</f>
        <v>Winsor And Newton</v>
      </c>
      <c r="C305" s="2" t="str">
        <f aca="false">IFERROR(INDEX(Query_Source_View!$F:$F,MATCH(ROW()-14,Query_Source_View!$Z:$Z,0)),"")</f>
        <v>Acrylic</v>
      </c>
      <c r="D305" s="2" t="str">
        <f aca="false">IFERROR(INDEX(Query_Source_View!$H:$H,MATCH(ROW()-14,Query_Source_View!$Z:$Z,0)),"")</f>
        <v>Professional Acrylic</v>
      </c>
      <c r="E305" s="2" t="str">
        <f aca="false">IFERROR(INDEX(Query_Source_View!$J:$J,MATCH(ROW()-14,Query_Source_View!$Z:$Z,0)),"")</f>
        <v>Cobalt Blue</v>
      </c>
      <c r="F305" s="2" t="str">
        <f aca="false">IFERROR(INDEX(Query_Source_View!$L:$L,MATCH(ROW()-14,Query_Source_View!$Z:$Z,0)),"")</f>
        <v>Blue</v>
      </c>
      <c r="G305" s="2" t="str">
        <f aca="false">IFERROR(INDEX(Query_Source_View!$N:$N,MATCH(ROW()-14,Query_Source_View!$Z:$Z,0)),"")</f>
        <v>PB28</v>
      </c>
      <c r="H305" s="2" t="n">
        <f aca="false">IFERROR(INDEX(Query_Source_View!$P:$P,MATCH(ROW()-14,Query_Source_View!$Z:$Z,0)),"")</f>
        <v>1</v>
      </c>
      <c r="I305" s="2" t="str">
        <f aca="false">IFERROR(INDEX(Query_Source_View!$Q:$Q,MATCH(ROW()-14,Query_Source_View!$Z:$Z,0)),"")</f>
        <v>Yes</v>
      </c>
      <c r="J305" s="2" t="str">
        <f aca="false">IFERROR(INDEX(Query_Source_View!$R:$R,MATCH(ROW()-14,Query_Source_View!$Z:$Z,0)),"")</f>
        <v>Opaque</v>
      </c>
      <c r="K305" s="2" t="str">
        <f aca="false">IFERROR(INDEX(Query_Source_View!$T:$T,MATCH(ROW()-14,Query_Source_View!$Z:$Z,0)),"")</f>
        <v>Extremely Permanent</v>
      </c>
      <c r="L305" s="2" t="str">
        <f aca="false">IFERROR(INDEX(Query_Source_View!$U:$U,MATCH(ROW()-14,Query_Source_View!$Z:$Z,0)),"")</f>
        <v>I</v>
      </c>
      <c r="M305" s="2" t="n">
        <f aca="false">IFERROR(INDEX(Query_Source_View!$V:$V,MATCH(ROW()-14,Query_Source_View!$Z:$Z,0)),"")</f>
        <v>4</v>
      </c>
      <c r="N305" s="2" t="str">
        <f aca="false">IFERROR(INDEX(Query_Source_View!$W:$W,MATCH(ROW()-14,Query_Source_View!$Z:$Z,0)),"")</f>
        <v>Verified From Official Source</v>
      </c>
      <c r="O305" s="2" t="str">
        <f aca="false">IFERROR(INDEX(Query_Source_View!$X:$X,MATCH(ROW()-14,Query_Source_View!$Z:$Z,0)),"")</f>
        <v>https://www.winsornewton.com/pages/professional-acrylic-colour</v>
      </c>
    </row>
    <row r="306" customFormat="false" ht="46.25" hidden="false" customHeight="false" outlineLevel="0" collapsed="false">
      <c r="A306" s="2" t="str">
        <f aca="false">IFERROR(INDEX(Query_Source_View!$A:$A,MATCH(ROW()-14,Query_Source_View!$Z:$Z,0)),"")</f>
        <v>PNT000228</v>
      </c>
      <c r="B306" s="2" t="str">
        <f aca="false">IFERROR(INDEX(Query_Source_View!$D:$D,MATCH(ROW()-14,Query_Source_View!$Z:$Z,0)),"")</f>
        <v>Winsor And Newton</v>
      </c>
      <c r="C306" s="2" t="str">
        <f aca="false">IFERROR(INDEX(Query_Source_View!$F:$F,MATCH(ROW()-14,Query_Source_View!$Z:$Z,0)),"")</f>
        <v>Acrylic</v>
      </c>
      <c r="D306" s="2" t="str">
        <f aca="false">IFERROR(INDEX(Query_Source_View!$H:$H,MATCH(ROW()-14,Query_Source_View!$Z:$Z,0)),"")</f>
        <v>Professional Acrylic</v>
      </c>
      <c r="E306" s="2" t="str">
        <f aca="false">IFERROR(INDEX(Query_Source_View!$J:$J,MATCH(ROW()-14,Query_Source_View!$Z:$Z,0)),"")</f>
        <v>Phthalo Blue (Red Shade)</v>
      </c>
      <c r="F306" s="2" t="str">
        <f aca="false">IFERROR(INDEX(Query_Source_View!$L:$L,MATCH(ROW()-14,Query_Source_View!$Z:$Z,0)),"")</f>
        <v>Red</v>
      </c>
      <c r="G306" s="2" t="str">
        <f aca="false">IFERROR(INDEX(Query_Source_View!$N:$N,MATCH(ROW()-14,Query_Source_View!$Z:$Z,0)),"")</f>
        <v>PB15:1</v>
      </c>
      <c r="H306" s="2" t="n">
        <f aca="false">IFERROR(INDEX(Query_Source_View!$P:$P,MATCH(ROW()-14,Query_Source_View!$Z:$Z,0)),"")</f>
        <v>1</v>
      </c>
      <c r="I306" s="2" t="str">
        <f aca="false">IFERROR(INDEX(Query_Source_View!$Q:$Q,MATCH(ROW()-14,Query_Source_View!$Z:$Z,0)),"")</f>
        <v>Yes</v>
      </c>
      <c r="J306" s="2" t="str">
        <f aca="false">IFERROR(INDEX(Query_Source_View!$R:$R,MATCH(ROW()-14,Query_Source_View!$Z:$Z,0)),"")</f>
        <v>Transparent</v>
      </c>
      <c r="K306" s="2" t="str">
        <f aca="false">IFERROR(INDEX(Query_Source_View!$T:$T,MATCH(ROW()-14,Query_Source_View!$Z:$Z,0)),"")</f>
        <v>Permanent</v>
      </c>
      <c r="L306" s="2" t="str">
        <f aca="false">IFERROR(INDEX(Query_Source_View!$U:$U,MATCH(ROW()-14,Query_Source_View!$Z:$Z,0)),"")</f>
        <v>I</v>
      </c>
      <c r="M306" s="2" t="n">
        <f aca="false">IFERROR(INDEX(Query_Source_View!$V:$V,MATCH(ROW()-14,Query_Source_View!$Z:$Z,0)),"")</f>
        <v>2</v>
      </c>
      <c r="N306" s="2" t="str">
        <f aca="false">IFERROR(INDEX(Query_Source_View!$W:$W,MATCH(ROW()-14,Query_Source_View!$Z:$Z,0)),"")</f>
        <v>Verified From Official Source</v>
      </c>
      <c r="O306" s="2" t="str">
        <f aca="false">IFERROR(INDEX(Query_Source_View!$X:$X,MATCH(ROW()-14,Query_Source_View!$Z:$Z,0)),"")</f>
        <v>https://www.winsornewton.com/pages/professional-acrylic-colour</v>
      </c>
    </row>
    <row r="307" customFormat="false" ht="46.25" hidden="false" customHeight="false" outlineLevel="0" collapsed="false">
      <c r="A307" s="2" t="str">
        <f aca="false">IFERROR(INDEX(Query_Source_View!$A:$A,MATCH(ROW()-14,Query_Source_View!$Z:$Z,0)),"")</f>
        <v>PNT000229</v>
      </c>
      <c r="B307" s="2" t="str">
        <f aca="false">IFERROR(INDEX(Query_Source_View!$D:$D,MATCH(ROW()-14,Query_Source_View!$Z:$Z,0)),"")</f>
        <v>Winsor And Newton</v>
      </c>
      <c r="C307" s="2" t="str">
        <f aca="false">IFERROR(INDEX(Query_Source_View!$F:$F,MATCH(ROW()-14,Query_Source_View!$Z:$Z,0)),"")</f>
        <v>Acrylic</v>
      </c>
      <c r="D307" s="2" t="str">
        <f aca="false">IFERROR(INDEX(Query_Source_View!$H:$H,MATCH(ROW()-14,Query_Source_View!$Z:$Z,0)),"")</f>
        <v>Professional Acrylic</v>
      </c>
      <c r="E307" s="2" t="str">
        <f aca="false">IFERROR(INDEX(Query_Source_View!$J:$J,MATCH(ROW()-14,Query_Source_View!$Z:$Z,0)),"")</f>
        <v>Phthalo Blue (Green Shade)</v>
      </c>
      <c r="F307" s="2" t="str">
        <f aca="false">IFERROR(INDEX(Query_Source_View!$L:$L,MATCH(ROW()-14,Query_Source_View!$Z:$Z,0)),"")</f>
        <v>Blue</v>
      </c>
      <c r="G307" s="2" t="str">
        <f aca="false">IFERROR(INDEX(Query_Source_View!$N:$N,MATCH(ROW()-14,Query_Source_View!$Z:$Z,0)),"")</f>
        <v>PB15:3</v>
      </c>
      <c r="H307" s="2" t="n">
        <f aca="false">IFERROR(INDEX(Query_Source_View!$P:$P,MATCH(ROW()-14,Query_Source_View!$Z:$Z,0)),"")</f>
        <v>1</v>
      </c>
      <c r="I307" s="2" t="str">
        <f aca="false">IFERROR(INDEX(Query_Source_View!$Q:$Q,MATCH(ROW()-14,Query_Source_View!$Z:$Z,0)),"")</f>
        <v>Yes</v>
      </c>
      <c r="J307" s="2" t="str">
        <f aca="false">IFERROR(INDEX(Query_Source_View!$R:$R,MATCH(ROW()-14,Query_Source_View!$Z:$Z,0)),"")</f>
        <v>Transparent</v>
      </c>
      <c r="K307" s="2" t="str">
        <f aca="false">IFERROR(INDEX(Query_Source_View!$T:$T,MATCH(ROW()-14,Query_Source_View!$Z:$Z,0)),"")</f>
        <v>Permanent</v>
      </c>
      <c r="L307" s="2" t="str">
        <f aca="false">IFERROR(INDEX(Query_Source_View!$U:$U,MATCH(ROW()-14,Query_Source_View!$Z:$Z,0)),"")</f>
        <v>I</v>
      </c>
      <c r="M307" s="2" t="n">
        <f aca="false">IFERROR(INDEX(Query_Source_View!$V:$V,MATCH(ROW()-14,Query_Source_View!$Z:$Z,0)),"")</f>
        <v>2</v>
      </c>
      <c r="N307" s="2" t="str">
        <f aca="false">IFERROR(INDEX(Query_Source_View!$W:$W,MATCH(ROW()-14,Query_Source_View!$Z:$Z,0)),"")</f>
        <v>Verified From Official Source</v>
      </c>
      <c r="O307" s="2" t="str">
        <f aca="false">IFERROR(INDEX(Query_Source_View!$X:$X,MATCH(ROW()-14,Query_Source_View!$Z:$Z,0)),"")</f>
        <v>https://www.winsornewton.com/pages/professional-acrylic-colour</v>
      </c>
    </row>
    <row r="308" customFormat="false" ht="46.25" hidden="false" customHeight="false" outlineLevel="0" collapsed="false">
      <c r="A308" s="2" t="str">
        <f aca="false">IFERROR(INDEX(Query_Source_View!$A:$A,MATCH(ROW()-14,Query_Source_View!$Z:$Z,0)),"")</f>
        <v>PNT000230</v>
      </c>
      <c r="B308" s="2" t="str">
        <f aca="false">IFERROR(INDEX(Query_Source_View!$D:$D,MATCH(ROW()-14,Query_Source_View!$Z:$Z,0)),"")</f>
        <v>Winsor And Newton</v>
      </c>
      <c r="C308" s="2" t="str">
        <f aca="false">IFERROR(INDEX(Query_Source_View!$F:$F,MATCH(ROW()-14,Query_Source_View!$Z:$Z,0)),"")</f>
        <v>Acrylic</v>
      </c>
      <c r="D308" s="2" t="str">
        <f aca="false">IFERROR(INDEX(Query_Source_View!$H:$H,MATCH(ROW()-14,Query_Source_View!$Z:$Z,0)),"")</f>
        <v>Professional Acrylic</v>
      </c>
      <c r="E308" s="2" t="str">
        <f aca="false">IFERROR(INDEX(Query_Source_View!$J:$J,MATCH(ROW()-14,Query_Source_View!$Z:$Z,0)),"")</f>
        <v>Cerulean Blue</v>
      </c>
      <c r="F308" s="2" t="str">
        <f aca="false">IFERROR(INDEX(Query_Source_View!$L:$L,MATCH(ROW()-14,Query_Source_View!$Z:$Z,0)),"")</f>
        <v>Blue</v>
      </c>
      <c r="G308" s="2" t="str">
        <f aca="false">IFERROR(INDEX(Query_Source_View!$N:$N,MATCH(ROW()-14,Query_Source_View!$Z:$Z,0)),"")</f>
        <v>PB35</v>
      </c>
      <c r="H308" s="2" t="n">
        <f aca="false">IFERROR(INDEX(Query_Source_View!$P:$P,MATCH(ROW()-14,Query_Source_View!$Z:$Z,0)),"")</f>
        <v>1</v>
      </c>
      <c r="I308" s="2" t="str">
        <f aca="false">IFERROR(INDEX(Query_Source_View!$Q:$Q,MATCH(ROW()-14,Query_Source_View!$Z:$Z,0)),"")</f>
        <v>Yes</v>
      </c>
      <c r="J308" s="2" t="str">
        <f aca="false">IFERROR(INDEX(Query_Source_View!$R:$R,MATCH(ROW()-14,Query_Source_View!$Z:$Z,0)),"")</f>
        <v>Opaque</v>
      </c>
      <c r="K308" s="2" t="str">
        <f aca="false">IFERROR(INDEX(Query_Source_View!$T:$T,MATCH(ROW()-14,Query_Source_View!$Z:$Z,0)),"")</f>
        <v>Extremely Permanent</v>
      </c>
      <c r="L308" s="2" t="str">
        <f aca="false">IFERROR(INDEX(Query_Source_View!$U:$U,MATCH(ROW()-14,Query_Source_View!$Z:$Z,0)),"")</f>
        <v>I</v>
      </c>
      <c r="M308" s="2" t="n">
        <f aca="false">IFERROR(INDEX(Query_Source_View!$V:$V,MATCH(ROW()-14,Query_Source_View!$Z:$Z,0)),"")</f>
        <v>5</v>
      </c>
      <c r="N308" s="2" t="str">
        <f aca="false">IFERROR(INDEX(Query_Source_View!$W:$W,MATCH(ROW()-14,Query_Source_View!$Z:$Z,0)),"")</f>
        <v>Verified From Official Source</v>
      </c>
      <c r="O308" s="2" t="str">
        <f aca="false">IFERROR(INDEX(Query_Source_View!$X:$X,MATCH(ROW()-14,Query_Source_View!$Z:$Z,0)),"")</f>
        <v>https://www.winsornewton.com/pages/professional-acrylic-colour</v>
      </c>
    </row>
    <row r="309" customFormat="false" ht="46.25" hidden="false" customHeight="false" outlineLevel="0" collapsed="false">
      <c r="A309" s="2" t="str">
        <f aca="false">IFERROR(INDEX(Query_Source_View!$A:$A,MATCH(ROW()-14,Query_Source_View!$Z:$Z,0)),"")</f>
        <v>PNT000231</v>
      </c>
      <c r="B309" s="2" t="str">
        <f aca="false">IFERROR(INDEX(Query_Source_View!$D:$D,MATCH(ROW()-14,Query_Source_View!$Z:$Z,0)),"")</f>
        <v>Winsor And Newton</v>
      </c>
      <c r="C309" s="2" t="str">
        <f aca="false">IFERROR(INDEX(Query_Source_View!$F:$F,MATCH(ROW()-14,Query_Source_View!$Z:$Z,0)),"")</f>
        <v>Acrylic</v>
      </c>
      <c r="D309" s="2" t="str">
        <f aca="false">IFERROR(INDEX(Query_Source_View!$H:$H,MATCH(ROW()-14,Query_Source_View!$Z:$Z,0)),"")</f>
        <v>Professional Acrylic</v>
      </c>
      <c r="E309" s="2" t="str">
        <f aca="false">IFERROR(INDEX(Query_Source_View!$J:$J,MATCH(ROW()-14,Query_Source_View!$Z:$Z,0)),"")</f>
        <v>Cerulean Blue Chromium</v>
      </c>
      <c r="F309" s="2" t="str">
        <f aca="false">IFERROR(INDEX(Query_Source_View!$L:$L,MATCH(ROW()-14,Query_Source_View!$Z:$Z,0)),"")</f>
        <v>Blue</v>
      </c>
      <c r="G309" s="2" t="str">
        <f aca="false">IFERROR(INDEX(Query_Source_View!$N:$N,MATCH(ROW()-14,Query_Source_View!$Z:$Z,0)),"")</f>
        <v>PB36</v>
      </c>
      <c r="H309" s="2" t="n">
        <f aca="false">IFERROR(INDEX(Query_Source_View!$P:$P,MATCH(ROW()-14,Query_Source_View!$Z:$Z,0)),"")</f>
        <v>1</v>
      </c>
      <c r="I309" s="2" t="str">
        <f aca="false">IFERROR(INDEX(Query_Source_View!$Q:$Q,MATCH(ROW()-14,Query_Source_View!$Z:$Z,0)),"")</f>
        <v>Yes</v>
      </c>
      <c r="J309" s="2" t="str">
        <f aca="false">IFERROR(INDEX(Query_Source_View!$R:$R,MATCH(ROW()-14,Query_Source_View!$Z:$Z,0)),"")</f>
        <v>Opaque</v>
      </c>
      <c r="K309" s="2" t="str">
        <f aca="false">IFERROR(INDEX(Query_Source_View!$T:$T,MATCH(ROW()-14,Query_Source_View!$Z:$Z,0)),"")</f>
        <v>Extremely Permanent</v>
      </c>
      <c r="L309" s="2" t="str">
        <f aca="false">IFERROR(INDEX(Query_Source_View!$U:$U,MATCH(ROW()-14,Query_Source_View!$Z:$Z,0)),"")</f>
        <v>I</v>
      </c>
      <c r="M309" s="2" t="n">
        <f aca="false">IFERROR(INDEX(Query_Source_View!$V:$V,MATCH(ROW()-14,Query_Source_View!$Z:$Z,0)),"")</f>
        <v>4</v>
      </c>
      <c r="N309" s="2" t="str">
        <f aca="false">IFERROR(INDEX(Query_Source_View!$W:$W,MATCH(ROW()-14,Query_Source_View!$Z:$Z,0)),"")</f>
        <v>Verified From Official Source</v>
      </c>
      <c r="O309" s="2" t="str">
        <f aca="false">IFERROR(INDEX(Query_Source_View!$X:$X,MATCH(ROW()-14,Query_Source_View!$Z:$Z,0)),"")</f>
        <v>https://www.winsornewton.com/pages/professional-acrylic-colour</v>
      </c>
    </row>
    <row r="310" customFormat="false" ht="46.25" hidden="false" customHeight="false" outlineLevel="0" collapsed="false">
      <c r="A310" s="2" t="str">
        <f aca="false">IFERROR(INDEX(Query_Source_View!$A:$A,MATCH(ROW()-14,Query_Source_View!$Z:$Z,0)),"")</f>
        <v>PNT000232</v>
      </c>
      <c r="B310" s="2" t="str">
        <f aca="false">IFERROR(INDEX(Query_Source_View!$D:$D,MATCH(ROW()-14,Query_Source_View!$Z:$Z,0)),"")</f>
        <v>Winsor And Newton</v>
      </c>
      <c r="C310" s="2" t="str">
        <f aca="false">IFERROR(INDEX(Query_Source_View!$F:$F,MATCH(ROW()-14,Query_Source_View!$Z:$Z,0)),"")</f>
        <v>Acrylic</v>
      </c>
      <c r="D310" s="2" t="str">
        <f aca="false">IFERROR(INDEX(Query_Source_View!$H:$H,MATCH(ROW()-14,Query_Source_View!$Z:$Z,0)),"")</f>
        <v>Professional Acrylic</v>
      </c>
      <c r="E310" s="2" t="str">
        <f aca="false">IFERROR(INDEX(Query_Source_View!$J:$J,MATCH(ROW()-14,Query_Source_View!$Z:$Z,0)),"")</f>
        <v>Lemon Yellow</v>
      </c>
      <c r="F310" s="2" t="str">
        <f aca="false">IFERROR(INDEX(Query_Source_View!$L:$L,MATCH(ROW()-14,Query_Source_View!$Z:$Z,0)),"")</f>
        <v>Yellow</v>
      </c>
      <c r="G310" s="2" t="str">
        <f aca="false">IFERROR(INDEX(Query_Source_View!$N:$N,MATCH(ROW()-14,Query_Source_View!$Z:$Z,0)),"")</f>
        <v>PY3</v>
      </c>
      <c r="H310" s="2" t="n">
        <f aca="false">IFERROR(INDEX(Query_Source_View!$P:$P,MATCH(ROW()-14,Query_Source_View!$Z:$Z,0)),"")</f>
        <v>1</v>
      </c>
      <c r="I310" s="2" t="str">
        <f aca="false">IFERROR(INDEX(Query_Source_View!$Q:$Q,MATCH(ROW()-14,Query_Source_View!$Z:$Z,0)),"")</f>
        <v>Yes</v>
      </c>
      <c r="J310" s="2" t="str">
        <f aca="false">IFERROR(INDEX(Query_Source_View!$R:$R,MATCH(ROW()-14,Query_Source_View!$Z:$Z,0)),"")</f>
        <v>Semi Transparent</v>
      </c>
      <c r="K310" s="2" t="str">
        <f aca="false">IFERROR(INDEX(Query_Source_View!$T:$T,MATCH(ROW()-14,Query_Source_View!$Z:$Z,0)),"")</f>
        <v>Permanent</v>
      </c>
      <c r="L310" s="2" t="str">
        <f aca="false">IFERROR(INDEX(Query_Source_View!$U:$U,MATCH(ROW()-14,Query_Source_View!$Z:$Z,0)),"")</f>
        <v>II</v>
      </c>
      <c r="M310" s="2" t="n">
        <f aca="false">IFERROR(INDEX(Query_Source_View!$V:$V,MATCH(ROW()-14,Query_Source_View!$Z:$Z,0)),"")</f>
        <v>2</v>
      </c>
      <c r="N310" s="2" t="str">
        <f aca="false">IFERROR(INDEX(Query_Source_View!$W:$W,MATCH(ROW()-14,Query_Source_View!$Z:$Z,0)),"")</f>
        <v>Verified From Official Source</v>
      </c>
      <c r="O310" s="2" t="str">
        <f aca="false">IFERROR(INDEX(Query_Source_View!$X:$X,MATCH(ROW()-14,Query_Source_View!$Z:$Z,0)),"")</f>
        <v>https://www.winsornewton.com/pages/professional-acrylic-colour</v>
      </c>
    </row>
    <row r="311" customFormat="false" ht="46.25" hidden="false" customHeight="false" outlineLevel="0" collapsed="false">
      <c r="A311" s="2" t="str">
        <f aca="false">IFERROR(INDEX(Query_Source_View!$A:$A,MATCH(ROW()-14,Query_Source_View!$Z:$Z,0)),"")</f>
        <v>PNT000233</v>
      </c>
      <c r="B311" s="2" t="str">
        <f aca="false">IFERROR(INDEX(Query_Source_View!$D:$D,MATCH(ROW()-14,Query_Source_View!$Z:$Z,0)),"")</f>
        <v>Winsor And Newton</v>
      </c>
      <c r="C311" s="2" t="str">
        <f aca="false">IFERROR(INDEX(Query_Source_View!$F:$F,MATCH(ROW()-14,Query_Source_View!$Z:$Z,0)),"")</f>
        <v>Acrylic</v>
      </c>
      <c r="D311" s="2" t="str">
        <f aca="false">IFERROR(INDEX(Query_Source_View!$H:$H,MATCH(ROW()-14,Query_Source_View!$Z:$Z,0)),"")</f>
        <v>Professional Acrylic</v>
      </c>
      <c r="E311" s="2" t="str">
        <f aca="false">IFERROR(INDEX(Query_Source_View!$J:$J,MATCH(ROW()-14,Query_Source_View!$Z:$Z,0)),"")</f>
        <v>Cadmium Lemon</v>
      </c>
      <c r="F311" s="2" t="str">
        <f aca="false">IFERROR(INDEX(Query_Source_View!$L:$L,MATCH(ROW()-14,Query_Source_View!$Z:$Z,0)),"")</f>
        <v>Yellow</v>
      </c>
      <c r="G311" s="2" t="str">
        <f aca="false">IFERROR(INDEX(Query_Source_View!$N:$N,MATCH(ROW()-14,Query_Source_View!$Z:$Z,0)),"")</f>
        <v>PY35</v>
      </c>
      <c r="H311" s="2" t="n">
        <f aca="false">IFERROR(INDEX(Query_Source_View!$P:$P,MATCH(ROW()-14,Query_Source_View!$Z:$Z,0)),"")</f>
        <v>1</v>
      </c>
      <c r="I311" s="2" t="str">
        <f aca="false">IFERROR(INDEX(Query_Source_View!$Q:$Q,MATCH(ROW()-14,Query_Source_View!$Z:$Z,0)),"")</f>
        <v>Yes</v>
      </c>
      <c r="J311" s="2" t="str">
        <f aca="false">IFERROR(INDEX(Query_Source_View!$R:$R,MATCH(ROW()-14,Query_Source_View!$Z:$Z,0)),"")</f>
        <v>Opaque</v>
      </c>
      <c r="K311" s="2" t="str">
        <f aca="false">IFERROR(INDEX(Query_Source_View!$T:$T,MATCH(ROW()-14,Query_Source_View!$Z:$Z,0)),"")</f>
        <v>Permanent</v>
      </c>
      <c r="L311" s="2" t="str">
        <f aca="false">IFERROR(INDEX(Query_Source_View!$U:$U,MATCH(ROW()-14,Query_Source_View!$Z:$Z,0)),"")</f>
        <v>I</v>
      </c>
      <c r="M311" s="2" t="n">
        <f aca="false">IFERROR(INDEX(Query_Source_View!$V:$V,MATCH(ROW()-14,Query_Source_View!$Z:$Z,0)),"")</f>
        <v>3</v>
      </c>
      <c r="N311" s="2" t="str">
        <f aca="false">IFERROR(INDEX(Query_Source_View!$W:$W,MATCH(ROW()-14,Query_Source_View!$Z:$Z,0)),"")</f>
        <v>Verified From Official Source</v>
      </c>
      <c r="O311" s="2" t="str">
        <f aca="false">IFERROR(INDEX(Query_Source_View!$X:$X,MATCH(ROW()-14,Query_Source_View!$Z:$Z,0)),"")</f>
        <v>https://www.winsornewton.com/pages/professional-acrylic-colour</v>
      </c>
    </row>
    <row r="312" customFormat="false" ht="46.25" hidden="false" customHeight="false" outlineLevel="0" collapsed="false">
      <c r="A312" s="2" t="str">
        <f aca="false">IFERROR(INDEX(Query_Source_View!$A:$A,MATCH(ROW()-14,Query_Source_View!$Z:$Z,0)),"")</f>
        <v>PNT000234</v>
      </c>
      <c r="B312" s="2" t="str">
        <f aca="false">IFERROR(INDEX(Query_Source_View!$D:$D,MATCH(ROW()-14,Query_Source_View!$Z:$Z,0)),"")</f>
        <v>Winsor And Newton</v>
      </c>
      <c r="C312" s="2" t="str">
        <f aca="false">IFERROR(INDEX(Query_Source_View!$F:$F,MATCH(ROW()-14,Query_Source_View!$Z:$Z,0)),"")</f>
        <v>Acrylic</v>
      </c>
      <c r="D312" s="2" t="str">
        <f aca="false">IFERROR(INDEX(Query_Source_View!$H:$H,MATCH(ROW()-14,Query_Source_View!$Z:$Z,0)),"")</f>
        <v>Professional Acrylic</v>
      </c>
      <c r="E312" s="2" t="str">
        <f aca="false">IFERROR(INDEX(Query_Source_View!$J:$J,MATCH(ROW()-14,Query_Source_View!$Z:$Z,0)),"")</f>
        <v>Bismuth Yellow</v>
      </c>
      <c r="F312" s="2" t="str">
        <f aca="false">IFERROR(INDEX(Query_Source_View!$L:$L,MATCH(ROW()-14,Query_Source_View!$Z:$Z,0)),"")</f>
        <v>Yellow</v>
      </c>
      <c r="G312" s="2" t="str">
        <f aca="false">IFERROR(INDEX(Query_Source_View!$N:$N,MATCH(ROW()-14,Query_Source_View!$Z:$Z,0)),"")</f>
        <v>PY184</v>
      </c>
      <c r="H312" s="2" t="n">
        <f aca="false">IFERROR(INDEX(Query_Source_View!$P:$P,MATCH(ROW()-14,Query_Source_View!$Z:$Z,0)),"")</f>
        <v>1</v>
      </c>
      <c r="I312" s="2" t="str">
        <f aca="false">IFERROR(INDEX(Query_Source_View!$Q:$Q,MATCH(ROW()-14,Query_Source_View!$Z:$Z,0)),"")</f>
        <v>Yes</v>
      </c>
      <c r="J312" s="2" t="str">
        <f aca="false">IFERROR(INDEX(Query_Source_View!$R:$R,MATCH(ROW()-14,Query_Source_View!$Z:$Z,0)),"")</f>
        <v>Opaque</v>
      </c>
      <c r="K312" s="2" t="str">
        <f aca="false">IFERROR(INDEX(Query_Source_View!$T:$T,MATCH(ROW()-14,Query_Source_View!$Z:$Z,0)),"")</f>
        <v>Permanent</v>
      </c>
      <c r="L312" s="2" t="str">
        <f aca="false">IFERROR(INDEX(Query_Source_View!$U:$U,MATCH(ROW()-14,Query_Source_View!$Z:$Z,0)),"")</f>
        <v>I</v>
      </c>
      <c r="M312" s="2" t="n">
        <f aca="false">IFERROR(INDEX(Query_Source_View!$V:$V,MATCH(ROW()-14,Query_Source_View!$Z:$Z,0)),"")</f>
        <v>4</v>
      </c>
      <c r="N312" s="2" t="str">
        <f aca="false">IFERROR(INDEX(Query_Source_View!$W:$W,MATCH(ROW()-14,Query_Source_View!$Z:$Z,0)),"")</f>
        <v>Verified From Official Source</v>
      </c>
      <c r="O312" s="2" t="str">
        <f aca="false">IFERROR(INDEX(Query_Source_View!$X:$X,MATCH(ROW()-14,Query_Source_View!$Z:$Z,0)),"")</f>
        <v>https://www.winsornewton.com/pages/professional-acrylic-colour</v>
      </c>
    </row>
    <row r="313" customFormat="false" ht="46.25" hidden="false" customHeight="false" outlineLevel="0" collapsed="false">
      <c r="A313" s="2" t="str">
        <f aca="false">IFERROR(INDEX(Query_Source_View!$A:$A,MATCH(ROW()-14,Query_Source_View!$Z:$Z,0)),"")</f>
        <v>PNT000235</v>
      </c>
      <c r="B313" s="2" t="str">
        <f aca="false">IFERROR(INDEX(Query_Source_View!$D:$D,MATCH(ROW()-14,Query_Source_View!$Z:$Z,0)),"")</f>
        <v>Winsor And Newton</v>
      </c>
      <c r="C313" s="2" t="str">
        <f aca="false">IFERROR(INDEX(Query_Source_View!$F:$F,MATCH(ROW()-14,Query_Source_View!$Z:$Z,0)),"")</f>
        <v>Acrylic</v>
      </c>
      <c r="D313" s="2" t="str">
        <f aca="false">IFERROR(INDEX(Query_Source_View!$H:$H,MATCH(ROW()-14,Query_Source_View!$Z:$Z,0)),"")</f>
        <v>Professional Acrylic</v>
      </c>
      <c r="E313" s="2" t="str">
        <f aca="false">IFERROR(INDEX(Query_Source_View!$J:$J,MATCH(ROW()-14,Query_Source_View!$Z:$Z,0)),"")</f>
        <v>Cadmium Yellow Light</v>
      </c>
      <c r="F313" s="2" t="str">
        <f aca="false">IFERROR(INDEX(Query_Source_View!$L:$L,MATCH(ROW()-14,Query_Source_View!$Z:$Z,0)),"")</f>
        <v>Yellow</v>
      </c>
      <c r="G313" s="2" t="str">
        <f aca="false">IFERROR(INDEX(Query_Source_View!$N:$N,MATCH(ROW()-14,Query_Source_View!$Z:$Z,0)),"")</f>
        <v>PY35</v>
      </c>
      <c r="H313" s="2" t="n">
        <f aca="false">IFERROR(INDEX(Query_Source_View!$P:$P,MATCH(ROW()-14,Query_Source_View!$Z:$Z,0)),"")</f>
        <v>1</v>
      </c>
      <c r="I313" s="2" t="str">
        <f aca="false">IFERROR(INDEX(Query_Source_View!$Q:$Q,MATCH(ROW()-14,Query_Source_View!$Z:$Z,0)),"")</f>
        <v>Yes</v>
      </c>
      <c r="J313" s="2" t="str">
        <f aca="false">IFERROR(INDEX(Query_Source_View!$R:$R,MATCH(ROW()-14,Query_Source_View!$Z:$Z,0)),"")</f>
        <v>Opaque</v>
      </c>
      <c r="K313" s="2" t="str">
        <f aca="false">IFERROR(INDEX(Query_Source_View!$T:$T,MATCH(ROW()-14,Query_Source_View!$Z:$Z,0)),"")</f>
        <v>Permanent</v>
      </c>
      <c r="L313" s="2" t="str">
        <f aca="false">IFERROR(INDEX(Query_Source_View!$U:$U,MATCH(ROW()-14,Query_Source_View!$Z:$Z,0)),"")</f>
        <v>I</v>
      </c>
      <c r="M313" s="2" t="n">
        <f aca="false">IFERROR(INDEX(Query_Source_View!$V:$V,MATCH(ROW()-14,Query_Source_View!$Z:$Z,0)),"")</f>
        <v>3</v>
      </c>
      <c r="N313" s="2" t="str">
        <f aca="false">IFERROR(INDEX(Query_Source_View!$W:$W,MATCH(ROW()-14,Query_Source_View!$Z:$Z,0)),"")</f>
        <v>Verified From Official Source</v>
      </c>
      <c r="O313" s="2" t="str">
        <f aca="false">IFERROR(INDEX(Query_Source_View!$X:$X,MATCH(ROW()-14,Query_Source_View!$Z:$Z,0)),"")</f>
        <v>https://www.winsornewton.com/pages/professional-acrylic-colour</v>
      </c>
    </row>
    <row r="314" customFormat="false" ht="46.25" hidden="false" customHeight="false" outlineLevel="0" collapsed="false">
      <c r="A314" s="2" t="str">
        <f aca="false">IFERROR(INDEX(Query_Source_View!$A:$A,MATCH(ROW()-14,Query_Source_View!$Z:$Z,0)),"")</f>
        <v>PNT000236</v>
      </c>
      <c r="B314" s="2" t="str">
        <f aca="false">IFERROR(INDEX(Query_Source_View!$D:$D,MATCH(ROW()-14,Query_Source_View!$Z:$Z,0)),"")</f>
        <v>Winsor And Newton</v>
      </c>
      <c r="C314" s="2" t="str">
        <f aca="false">IFERROR(INDEX(Query_Source_View!$F:$F,MATCH(ROW()-14,Query_Source_View!$Z:$Z,0)),"")</f>
        <v>Acrylic</v>
      </c>
      <c r="D314" s="2" t="str">
        <f aca="false">IFERROR(INDEX(Query_Source_View!$H:$H,MATCH(ROW()-14,Query_Source_View!$Z:$Z,0)),"")</f>
        <v>Professional Acrylic</v>
      </c>
      <c r="E314" s="2" t="str">
        <f aca="false">IFERROR(INDEX(Query_Source_View!$J:$J,MATCH(ROW()-14,Query_Source_View!$Z:$Z,0)),"")</f>
        <v>Nickel Azo Yellow</v>
      </c>
      <c r="F314" s="2" t="str">
        <f aca="false">IFERROR(INDEX(Query_Source_View!$L:$L,MATCH(ROW()-14,Query_Source_View!$Z:$Z,0)),"")</f>
        <v>Yellow</v>
      </c>
      <c r="G314" s="2" t="str">
        <f aca="false">IFERROR(INDEX(Query_Source_View!$N:$N,MATCH(ROW()-14,Query_Source_View!$Z:$Z,0)),"")</f>
        <v>PY150</v>
      </c>
      <c r="H314" s="2" t="n">
        <f aca="false">IFERROR(INDEX(Query_Source_View!$P:$P,MATCH(ROW()-14,Query_Source_View!$Z:$Z,0)),"")</f>
        <v>1</v>
      </c>
      <c r="I314" s="2" t="str">
        <f aca="false">IFERROR(INDEX(Query_Source_View!$Q:$Q,MATCH(ROW()-14,Query_Source_View!$Z:$Z,0)),"")</f>
        <v>Yes</v>
      </c>
      <c r="J314" s="2" t="str">
        <f aca="false">IFERROR(INDEX(Query_Source_View!$R:$R,MATCH(ROW()-14,Query_Source_View!$Z:$Z,0)),"")</f>
        <v>Transparent</v>
      </c>
      <c r="K314" s="2" t="str">
        <f aca="false">IFERROR(INDEX(Query_Source_View!$T:$T,MATCH(ROW()-14,Query_Source_View!$Z:$Z,0)),"")</f>
        <v>Permanent</v>
      </c>
      <c r="L314" s="2" t="str">
        <f aca="false">IFERROR(INDEX(Query_Source_View!$U:$U,MATCH(ROW()-14,Query_Source_View!$Z:$Z,0)),"")</f>
        <v>N/A</v>
      </c>
      <c r="M314" s="2" t="n">
        <f aca="false">IFERROR(INDEX(Query_Source_View!$V:$V,MATCH(ROW()-14,Query_Source_View!$Z:$Z,0)),"")</f>
        <v>3</v>
      </c>
      <c r="N314" s="2" t="str">
        <f aca="false">IFERROR(INDEX(Query_Source_View!$W:$W,MATCH(ROW()-14,Query_Source_View!$Z:$Z,0)),"")</f>
        <v>Verified From Official Source</v>
      </c>
      <c r="O314" s="2" t="str">
        <f aca="false">IFERROR(INDEX(Query_Source_View!$X:$X,MATCH(ROW()-14,Query_Source_View!$Z:$Z,0)),"")</f>
        <v>https://www.winsornewton.com/pages/professional-acrylic-colour</v>
      </c>
    </row>
    <row r="315" customFormat="false" ht="46.25" hidden="false" customHeight="false" outlineLevel="0" collapsed="false">
      <c r="A315" s="2" t="str">
        <f aca="false">IFERROR(INDEX(Query_Source_View!$A:$A,MATCH(ROW()-14,Query_Source_View!$Z:$Z,0)),"")</f>
        <v>PNT000237</v>
      </c>
      <c r="B315" s="2" t="str">
        <f aca="false">IFERROR(INDEX(Query_Source_View!$D:$D,MATCH(ROW()-14,Query_Source_View!$Z:$Z,0)),"")</f>
        <v>Winsor And Newton</v>
      </c>
      <c r="C315" s="2" t="str">
        <f aca="false">IFERROR(INDEX(Query_Source_View!$F:$F,MATCH(ROW()-14,Query_Source_View!$Z:$Z,0)),"")</f>
        <v>Acrylic</v>
      </c>
      <c r="D315" s="2" t="str">
        <f aca="false">IFERROR(INDEX(Query_Source_View!$H:$H,MATCH(ROW()-14,Query_Source_View!$Z:$Z,0)),"")</f>
        <v>Professional Acrylic</v>
      </c>
      <c r="E315" s="2" t="str">
        <f aca="false">IFERROR(INDEX(Query_Source_View!$J:$J,MATCH(ROW()-14,Query_Source_View!$Z:$Z,0)),"")</f>
        <v>Azo Yellow Medium</v>
      </c>
      <c r="F315" s="2" t="str">
        <f aca="false">IFERROR(INDEX(Query_Source_View!$L:$L,MATCH(ROW()-14,Query_Source_View!$Z:$Z,0)),"")</f>
        <v>Yellow</v>
      </c>
      <c r="G315" s="2" t="str">
        <f aca="false">IFERROR(INDEX(Query_Source_View!$N:$N,MATCH(ROW()-14,Query_Source_View!$Z:$Z,0)),"")</f>
        <v>PY74</v>
      </c>
      <c r="H315" s="2" t="n">
        <f aca="false">IFERROR(INDEX(Query_Source_View!$P:$P,MATCH(ROW()-14,Query_Source_View!$Z:$Z,0)),"")</f>
        <v>1</v>
      </c>
      <c r="I315" s="2" t="str">
        <f aca="false">IFERROR(INDEX(Query_Source_View!$Q:$Q,MATCH(ROW()-14,Query_Source_View!$Z:$Z,0)),"")</f>
        <v>Yes</v>
      </c>
      <c r="J315" s="2" t="str">
        <f aca="false">IFERROR(INDEX(Query_Source_View!$R:$R,MATCH(ROW()-14,Query_Source_View!$Z:$Z,0)),"")</f>
        <v>Semi Opaque</v>
      </c>
      <c r="K315" s="2" t="str">
        <f aca="false">IFERROR(INDEX(Query_Source_View!$T:$T,MATCH(ROW()-14,Query_Source_View!$Z:$Z,0)),"")</f>
        <v>Permanent</v>
      </c>
      <c r="L315" s="2" t="str">
        <f aca="false">IFERROR(INDEX(Query_Source_View!$U:$U,MATCH(ROW()-14,Query_Source_View!$Z:$Z,0)),"")</f>
        <v>I</v>
      </c>
      <c r="M315" s="2" t="n">
        <f aca="false">IFERROR(INDEX(Query_Source_View!$V:$V,MATCH(ROW()-14,Query_Source_View!$Z:$Z,0)),"")</f>
        <v>2</v>
      </c>
      <c r="N315" s="2" t="str">
        <f aca="false">IFERROR(INDEX(Query_Source_View!$W:$W,MATCH(ROW()-14,Query_Source_View!$Z:$Z,0)),"")</f>
        <v>Verified From Official Source</v>
      </c>
      <c r="O315" s="2" t="str">
        <f aca="false">IFERROR(INDEX(Query_Source_View!$X:$X,MATCH(ROW()-14,Query_Source_View!$Z:$Z,0)),"")</f>
        <v>https://www.winsornewton.com/pages/professional-acrylic-colour</v>
      </c>
    </row>
    <row r="316" customFormat="false" ht="46.25" hidden="false" customHeight="false" outlineLevel="0" collapsed="false">
      <c r="A316" s="2" t="str">
        <f aca="false">IFERROR(INDEX(Query_Source_View!$A:$A,MATCH(ROW()-14,Query_Source_View!$Z:$Z,0)),"")</f>
        <v>PNT000238</v>
      </c>
      <c r="B316" s="2" t="str">
        <f aca="false">IFERROR(INDEX(Query_Source_View!$D:$D,MATCH(ROW()-14,Query_Source_View!$Z:$Z,0)),"")</f>
        <v>Winsor And Newton</v>
      </c>
      <c r="C316" s="2" t="str">
        <f aca="false">IFERROR(INDEX(Query_Source_View!$F:$F,MATCH(ROW()-14,Query_Source_View!$Z:$Z,0)),"")</f>
        <v>Acrylic</v>
      </c>
      <c r="D316" s="2" t="str">
        <f aca="false">IFERROR(INDEX(Query_Source_View!$H:$H,MATCH(ROW()-14,Query_Source_View!$Z:$Z,0)),"")</f>
        <v>Professional Acrylic</v>
      </c>
      <c r="E316" s="2" t="str">
        <f aca="false">IFERROR(INDEX(Query_Source_View!$J:$J,MATCH(ROW()-14,Query_Source_View!$Z:$Z,0)),"")</f>
        <v>Cadmium Yellow Medium</v>
      </c>
      <c r="F316" s="2" t="str">
        <f aca="false">IFERROR(INDEX(Query_Source_View!$L:$L,MATCH(ROW()-14,Query_Source_View!$Z:$Z,0)),"")</f>
        <v>Yellow</v>
      </c>
      <c r="G316" s="2" t="str">
        <f aca="false">IFERROR(INDEX(Query_Source_View!$N:$N,MATCH(ROW()-14,Query_Source_View!$Z:$Z,0)),"")</f>
        <v>PY35</v>
      </c>
      <c r="H316" s="2" t="n">
        <f aca="false">IFERROR(INDEX(Query_Source_View!$P:$P,MATCH(ROW()-14,Query_Source_View!$Z:$Z,0)),"")</f>
        <v>1</v>
      </c>
      <c r="I316" s="2" t="str">
        <f aca="false">IFERROR(INDEX(Query_Source_View!$Q:$Q,MATCH(ROW()-14,Query_Source_View!$Z:$Z,0)),"")</f>
        <v>Yes</v>
      </c>
      <c r="J316" s="2" t="str">
        <f aca="false">IFERROR(INDEX(Query_Source_View!$R:$R,MATCH(ROW()-14,Query_Source_View!$Z:$Z,0)),"")</f>
        <v>Opaque</v>
      </c>
      <c r="K316" s="2" t="str">
        <f aca="false">IFERROR(INDEX(Query_Source_View!$T:$T,MATCH(ROW()-14,Query_Source_View!$Z:$Z,0)),"")</f>
        <v>Permanent</v>
      </c>
      <c r="L316" s="2" t="str">
        <f aca="false">IFERROR(INDEX(Query_Source_View!$U:$U,MATCH(ROW()-14,Query_Source_View!$Z:$Z,0)),"")</f>
        <v>I</v>
      </c>
      <c r="M316" s="2" t="n">
        <f aca="false">IFERROR(INDEX(Query_Source_View!$V:$V,MATCH(ROW()-14,Query_Source_View!$Z:$Z,0)),"")</f>
        <v>3</v>
      </c>
      <c r="N316" s="2" t="str">
        <f aca="false">IFERROR(INDEX(Query_Source_View!$W:$W,MATCH(ROW()-14,Query_Source_View!$Z:$Z,0)),"")</f>
        <v>Verified From Official Source</v>
      </c>
      <c r="O316" s="2" t="str">
        <f aca="false">IFERROR(INDEX(Query_Source_View!$X:$X,MATCH(ROW()-14,Query_Source_View!$Z:$Z,0)),"")</f>
        <v>https://www.winsornewton.com/pages/professional-acrylic-colour</v>
      </c>
    </row>
    <row r="317" customFormat="false" ht="46.25" hidden="false" customHeight="false" outlineLevel="0" collapsed="false">
      <c r="A317" s="2" t="str">
        <f aca="false">IFERROR(INDEX(Query_Source_View!$A:$A,MATCH(ROW()-14,Query_Source_View!$Z:$Z,0)),"")</f>
        <v>PNT000239</v>
      </c>
      <c r="B317" s="2" t="str">
        <f aca="false">IFERROR(INDEX(Query_Source_View!$D:$D,MATCH(ROW()-14,Query_Source_View!$Z:$Z,0)),"")</f>
        <v>Winsor And Newton</v>
      </c>
      <c r="C317" s="2" t="str">
        <f aca="false">IFERROR(INDEX(Query_Source_View!$F:$F,MATCH(ROW()-14,Query_Source_View!$Z:$Z,0)),"")</f>
        <v>Acrylic</v>
      </c>
      <c r="D317" s="2" t="str">
        <f aca="false">IFERROR(INDEX(Query_Source_View!$H:$H,MATCH(ROW()-14,Query_Source_View!$Z:$Z,0)),"")</f>
        <v>Professional Acrylic</v>
      </c>
      <c r="E317" s="2" t="str">
        <f aca="false">IFERROR(INDEX(Query_Source_View!$J:$J,MATCH(ROW()-14,Query_Source_View!$Z:$Z,0)),"")</f>
        <v>Cadmium Yellow Deep</v>
      </c>
      <c r="F317" s="2" t="str">
        <f aca="false">IFERROR(INDEX(Query_Source_View!$L:$L,MATCH(ROW()-14,Query_Source_View!$Z:$Z,0)),"")</f>
        <v>Yellow</v>
      </c>
      <c r="G317" s="2" t="str">
        <f aca="false">IFERROR(INDEX(Query_Source_View!$N:$N,MATCH(ROW()-14,Query_Source_View!$Z:$Z,0)),"")</f>
        <v>PO20</v>
      </c>
      <c r="H317" s="2" t="n">
        <f aca="false">IFERROR(INDEX(Query_Source_View!$P:$P,MATCH(ROW()-14,Query_Source_View!$Z:$Z,0)),"")</f>
        <v>2</v>
      </c>
      <c r="I317" s="2" t="str">
        <f aca="false">IFERROR(INDEX(Query_Source_View!$Q:$Q,MATCH(ROW()-14,Query_Source_View!$Z:$Z,0)),"")</f>
        <v>No</v>
      </c>
      <c r="J317" s="2" t="str">
        <f aca="false">IFERROR(INDEX(Query_Source_View!$R:$R,MATCH(ROW()-14,Query_Source_View!$Z:$Z,0)),"")</f>
        <v>Opaque</v>
      </c>
      <c r="K317" s="2" t="str">
        <f aca="false">IFERROR(INDEX(Query_Source_View!$T:$T,MATCH(ROW()-14,Query_Source_View!$Z:$Z,0)),"")</f>
        <v>Permanent</v>
      </c>
      <c r="L317" s="2" t="str">
        <f aca="false">IFERROR(INDEX(Query_Source_View!$U:$U,MATCH(ROW()-14,Query_Source_View!$Z:$Z,0)),"")</f>
        <v>I</v>
      </c>
      <c r="M317" s="2" t="n">
        <f aca="false">IFERROR(INDEX(Query_Source_View!$V:$V,MATCH(ROW()-14,Query_Source_View!$Z:$Z,0)),"")</f>
        <v>3</v>
      </c>
      <c r="N317" s="2" t="str">
        <f aca="false">IFERROR(INDEX(Query_Source_View!$W:$W,MATCH(ROW()-14,Query_Source_View!$Z:$Z,0)),"")</f>
        <v>Verified From Official Source</v>
      </c>
      <c r="O317" s="2" t="str">
        <f aca="false">IFERROR(INDEX(Query_Source_View!$X:$X,MATCH(ROW()-14,Query_Source_View!$Z:$Z,0)),"")</f>
        <v>https://www.winsornewton.com/pages/professional-acrylic-colour</v>
      </c>
    </row>
    <row r="318" customFormat="false" ht="46.25" hidden="false" customHeight="false" outlineLevel="0" collapsed="false">
      <c r="A318" s="2" t="str">
        <f aca="false">IFERROR(INDEX(Query_Source_View!$A:$A,MATCH(ROW()-14,Query_Source_View!$Z:$Z,0)),"")</f>
        <v>PNT000239</v>
      </c>
      <c r="B318" s="2" t="str">
        <f aca="false">IFERROR(INDEX(Query_Source_View!$D:$D,MATCH(ROW()-14,Query_Source_View!$Z:$Z,0)),"")</f>
        <v>Winsor And Newton</v>
      </c>
      <c r="C318" s="2" t="str">
        <f aca="false">IFERROR(INDEX(Query_Source_View!$F:$F,MATCH(ROW()-14,Query_Source_View!$Z:$Z,0)),"")</f>
        <v>Acrylic</v>
      </c>
      <c r="D318" s="2" t="str">
        <f aca="false">IFERROR(INDEX(Query_Source_View!$H:$H,MATCH(ROW()-14,Query_Source_View!$Z:$Z,0)),"")</f>
        <v>Professional Acrylic</v>
      </c>
      <c r="E318" s="2" t="str">
        <f aca="false">IFERROR(INDEX(Query_Source_View!$J:$J,MATCH(ROW()-14,Query_Source_View!$Z:$Z,0)),"")</f>
        <v>Cadmium Yellow Deep</v>
      </c>
      <c r="F318" s="2" t="str">
        <f aca="false">IFERROR(INDEX(Query_Source_View!$L:$L,MATCH(ROW()-14,Query_Source_View!$Z:$Z,0)),"")</f>
        <v>Yellow</v>
      </c>
      <c r="G318" s="2" t="str">
        <f aca="false">IFERROR(INDEX(Query_Source_View!$N:$N,MATCH(ROW()-14,Query_Source_View!$Z:$Z,0)),"")</f>
        <v>PY35</v>
      </c>
      <c r="H318" s="2" t="n">
        <f aca="false">IFERROR(INDEX(Query_Source_View!$P:$P,MATCH(ROW()-14,Query_Source_View!$Z:$Z,0)),"")</f>
        <v>2</v>
      </c>
      <c r="I318" s="2" t="str">
        <f aca="false">IFERROR(INDEX(Query_Source_View!$Q:$Q,MATCH(ROW()-14,Query_Source_View!$Z:$Z,0)),"")</f>
        <v>No</v>
      </c>
      <c r="J318" s="2" t="str">
        <f aca="false">IFERROR(INDEX(Query_Source_View!$R:$R,MATCH(ROW()-14,Query_Source_View!$Z:$Z,0)),"")</f>
        <v>Opaque</v>
      </c>
      <c r="K318" s="2" t="str">
        <f aca="false">IFERROR(INDEX(Query_Source_View!$T:$T,MATCH(ROW()-14,Query_Source_View!$Z:$Z,0)),"")</f>
        <v>Permanent</v>
      </c>
      <c r="L318" s="2" t="str">
        <f aca="false">IFERROR(INDEX(Query_Source_View!$U:$U,MATCH(ROW()-14,Query_Source_View!$Z:$Z,0)),"")</f>
        <v>I</v>
      </c>
      <c r="M318" s="2" t="n">
        <f aca="false">IFERROR(INDEX(Query_Source_View!$V:$V,MATCH(ROW()-14,Query_Source_View!$Z:$Z,0)),"")</f>
        <v>3</v>
      </c>
      <c r="N318" s="2" t="str">
        <f aca="false">IFERROR(INDEX(Query_Source_View!$W:$W,MATCH(ROW()-14,Query_Source_View!$Z:$Z,0)),"")</f>
        <v>Verified From Official Source</v>
      </c>
      <c r="O318" s="2" t="str">
        <f aca="false">IFERROR(INDEX(Query_Source_View!$X:$X,MATCH(ROW()-14,Query_Source_View!$Z:$Z,0)),"")</f>
        <v>https://www.winsornewton.com/pages/professional-acrylic-colour</v>
      </c>
    </row>
    <row r="319" customFormat="false" ht="46.25" hidden="false" customHeight="false" outlineLevel="0" collapsed="false">
      <c r="A319" s="2" t="str">
        <f aca="false">IFERROR(INDEX(Query_Source_View!$A:$A,MATCH(ROW()-14,Query_Source_View!$Z:$Z,0)),"")</f>
        <v>PNT000240</v>
      </c>
      <c r="B319" s="2" t="str">
        <f aca="false">IFERROR(INDEX(Query_Source_View!$D:$D,MATCH(ROW()-14,Query_Source_View!$Z:$Z,0)),"")</f>
        <v>Winsor And Newton</v>
      </c>
      <c r="C319" s="2" t="str">
        <f aca="false">IFERROR(INDEX(Query_Source_View!$F:$F,MATCH(ROW()-14,Query_Source_View!$Z:$Z,0)),"")</f>
        <v>Acrylic</v>
      </c>
      <c r="D319" s="2" t="str">
        <f aca="false">IFERROR(INDEX(Query_Source_View!$H:$H,MATCH(ROW()-14,Query_Source_View!$Z:$Z,0)),"")</f>
        <v>Professional Acrylic</v>
      </c>
      <c r="E319" s="2" t="str">
        <f aca="false">IFERROR(INDEX(Query_Source_View!$J:$J,MATCH(ROW()-14,Query_Source_View!$Z:$Z,0)),"")</f>
        <v>Azo Yellow Deep</v>
      </c>
      <c r="F319" s="2" t="str">
        <f aca="false">IFERROR(INDEX(Query_Source_View!$L:$L,MATCH(ROW()-14,Query_Source_View!$Z:$Z,0)),"")</f>
        <v>Yellow</v>
      </c>
      <c r="G319" s="2" t="str">
        <f aca="false">IFERROR(INDEX(Query_Source_View!$N:$N,MATCH(ROW()-14,Query_Source_View!$Z:$Z,0)),"")</f>
        <v>PY65</v>
      </c>
      <c r="H319" s="2" t="n">
        <f aca="false">IFERROR(INDEX(Query_Source_View!$P:$P,MATCH(ROW()-14,Query_Source_View!$Z:$Z,0)),"")</f>
        <v>1</v>
      </c>
      <c r="I319" s="2" t="str">
        <f aca="false">IFERROR(INDEX(Query_Source_View!$Q:$Q,MATCH(ROW()-14,Query_Source_View!$Z:$Z,0)),"")</f>
        <v>Yes</v>
      </c>
      <c r="J319" s="2" t="str">
        <f aca="false">IFERROR(INDEX(Query_Source_View!$R:$R,MATCH(ROW()-14,Query_Source_View!$Z:$Z,0)),"")</f>
        <v>Semi Transparent</v>
      </c>
      <c r="K319" s="2" t="str">
        <f aca="false">IFERROR(INDEX(Query_Source_View!$T:$T,MATCH(ROW()-14,Query_Source_View!$Z:$Z,0)),"")</f>
        <v>Permanent</v>
      </c>
      <c r="L319" s="2" t="str">
        <f aca="false">IFERROR(INDEX(Query_Source_View!$U:$U,MATCH(ROW()-14,Query_Source_View!$Z:$Z,0)),"")</f>
        <v>I</v>
      </c>
      <c r="M319" s="2" t="n">
        <f aca="false">IFERROR(INDEX(Query_Source_View!$V:$V,MATCH(ROW()-14,Query_Source_View!$Z:$Z,0)),"")</f>
        <v>2</v>
      </c>
      <c r="N319" s="2" t="str">
        <f aca="false">IFERROR(INDEX(Query_Source_View!$W:$W,MATCH(ROW()-14,Query_Source_View!$Z:$Z,0)),"")</f>
        <v>Verified From Official Source</v>
      </c>
      <c r="O319" s="2" t="str">
        <f aca="false">IFERROR(INDEX(Query_Source_View!$X:$X,MATCH(ROW()-14,Query_Source_View!$Z:$Z,0)),"")</f>
        <v>https://www.winsornewton.com/pages/professional-acrylic-colour</v>
      </c>
    </row>
    <row r="320" customFormat="false" ht="46.25" hidden="false" customHeight="false" outlineLevel="0" collapsed="false">
      <c r="A320" s="2" t="str">
        <f aca="false">IFERROR(INDEX(Query_Source_View!$A:$A,MATCH(ROW()-14,Query_Source_View!$Z:$Z,0)),"")</f>
        <v>PNT000241</v>
      </c>
      <c r="B320" s="2" t="str">
        <f aca="false">IFERROR(INDEX(Query_Source_View!$D:$D,MATCH(ROW()-14,Query_Source_View!$Z:$Z,0)),"")</f>
        <v>Winsor And Newton</v>
      </c>
      <c r="C320" s="2" t="str">
        <f aca="false">IFERROR(INDEX(Query_Source_View!$F:$F,MATCH(ROW()-14,Query_Source_View!$Z:$Z,0)),"")</f>
        <v>Acrylic</v>
      </c>
      <c r="D320" s="2" t="str">
        <f aca="false">IFERROR(INDEX(Query_Source_View!$H:$H,MATCH(ROW()-14,Query_Source_View!$Z:$Z,0)),"")</f>
        <v>Professional Acrylic</v>
      </c>
      <c r="E320" s="2" t="str">
        <f aca="false">IFERROR(INDEX(Query_Source_View!$J:$J,MATCH(ROW()-14,Query_Source_View!$Z:$Z,0)),"")</f>
        <v>Cadmium Orange</v>
      </c>
      <c r="F320" s="2" t="str">
        <f aca="false">IFERROR(INDEX(Query_Source_View!$L:$L,MATCH(ROW()-14,Query_Source_View!$Z:$Z,0)),"")</f>
        <v>Orange</v>
      </c>
      <c r="G320" s="2" t="str">
        <f aca="false">IFERROR(INDEX(Query_Source_View!$N:$N,MATCH(ROW()-14,Query_Source_View!$Z:$Z,0)),"")</f>
        <v>PO20</v>
      </c>
      <c r="H320" s="2" t="n">
        <f aca="false">IFERROR(INDEX(Query_Source_View!$P:$P,MATCH(ROW()-14,Query_Source_View!$Z:$Z,0)),"")</f>
        <v>1</v>
      </c>
      <c r="I320" s="2" t="str">
        <f aca="false">IFERROR(INDEX(Query_Source_View!$Q:$Q,MATCH(ROW()-14,Query_Source_View!$Z:$Z,0)),"")</f>
        <v>Yes</v>
      </c>
      <c r="J320" s="2" t="str">
        <f aca="false">IFERROR(INDEX(Query_Source_View!$R:$R,MATCH(ROW()-14,Query_Source_View!$Z:$Z,0)),"")</f>
        <v>Opaque</v>
      </c>
      <c r="K320" s="2" t="str">
        <f aca="false">IFERROR(INDEX(Query_Source_View!$T:$T,MATCH(ROW()-14,Query_Source_View!$Z:$Z,0)),"")</f>
        <v>Permanent</v>
      </c>
      <c r="L320" s="2" t="str">
        <f aca="false">IFERROR(INDEX(Query_Source_View!$U:$U,MATCH(ROW()-14,Query_Source_View!$Z:$Z,0)),"")</f>
        <v>I</v>
      </c>
      <c r="M320" s="2" t="n">
        <f aca="false">IFERROR(INDEX(Query_Source_View!$V:$V,MATCH(ROW()-14,Query_Source_View!$Z:$Z,0)),"")</f>
        <v>3</v>
      </c>
      <c r="N320" s="2" t="str">
        <f aca="false">IFERROR(INDEX(Query_Source_View!$W:$W,MATCH(ROW()-14,Query_Source_View!$Z:$Z,0)),"")</f>
        <v>Verified From Official Source</v>
      </c>
      <c r="O320" s="2" t="str">
        <f aca="false">IFERROR(INDEX(Query_Source_View!$X:$X,MATCH(ROW()-14,Query_Source_View!$Z:$Z,0)),"")</f>
        <v>https://www.winsornewton.com/pages/professional-acrylic-colour</v>
      </c>
    </row>
    <row r="321" customFormat="false" ht="46.25" hidden="false" customHeight="false" outlineLevel="0" collapsed="false">
      <c r="A321" s="2" t="str">
        <f aca="false">IFERROR(INDEX(Query_Source_View!$A:$A,MATCH(ROW()-14,Query_Source_View!$Z:$Z,0)),"")</f>
        <v>PNT000242</v>
      </c>
      <c r="B321" s="2" t="str">
        <f aca="false">IFERROR(INDEX(Query_Source_View!$D:$D,MATCH(ROW()-14,Query_Source_View!$Z:$Z,0)),"")</f>
        <v>Winsor And Newton</v>
      </c>
      <c r="C321" s="2" t="str">
        <f aca="false">IFERROR(INDEX(Query_Source_View!$F:$F,MATCH(ROW()-14,Query_Source_View!$Z:$Z,0)),"")</f>
        <v>Acrylic</v>
      </c>
      <c r="D321" s="2" t="str">
        <f aca="false">IFERROR(INDEX(Query_Source_View!$H:$H,MATCH(ROW()-14,Query_Source_View!$Z:$Z,0)),"")</f>
        <v>Professional Acrylic</v>
      </c>
      <c r="E321" s="2" t="str">
        <f aca="false">IFERROR(INDEX(Query_Source_View!$J:$J,MATCH(ROW()-14,Query_Source_View!$Z:$Z,0)),"")</f>
        <v>Pyrrole Orange</v>
      </c>
      <c r="F321" s="2" t="str">
        <f aca="false">IFERROR(INDEX(Query_Source_View!$L:$L,MATCH(ROW()-14,Query_Source_View!$Z:$Z,0)),"")</f>
        <v>Orange</v>
      </c>
      <c r="G321" s="2" t="str">
        <f aca="false">IFERROR(INDEX(Query_Source_View!$N:$N,MATCH(ROW()-14,Query_Source_View!$Z:$Z,0)),"")</f>
        <v>PO73</v>
      </c>
      <c r="H321" s="2" t="n">
        <f aca="false">IFERROR(INDEX(Query_Source_View!$P:$P,MATCH(ROW()-14,Query_Source_View!$Z:$Z,0)),"")</f>
        <v>1</v>
      </c>
      <c r="I321" s="2" t="str">
        <f aca="false">IFERROR(INDEX(Query_Source_View!$Q:$Q,MATCH(ROW()-14,Query_Source_View!$Z:$Z,0)),"")</f>
        <v>Yes</v>
      </c>
      <c r="J321" s="2" t="str">
        <f aca="false">IFERROR(INDEX(Query_Source_View!$R:$R,MATCH(ROW()-14,Query_Source_View!$Z:$Z,0)),"")</f>
        <v>Semi Transparent</v>
      </c>
      <c r="K321" s="2" t="str">
        <f aca="false">IFERROR(INDEX(Query_Source_View!$T:$T,MATCH(ROW()-14,Query_Source_View!$Z:$Z,0)),"")</f>
        <v>Permanent</v>
      </c>
      <c r="L321" s="2" t="str">
        <f aca="false">IFERROR(INDEX(Query_Source_View!$U:$U,MATCH(ROW()-14,Query_Source_View!$Z:$Z,0)),"")</f>
        <v>N/A</v>
      </c>
      <c r="M321" s="2" t="n">
        <f aca="false">IFERROR(INDEX(Query_Source_View!$V:$V,MATCH(ROW()-14,Query_Source_View!$Z:$Z,0)),"")</f>
        <v>4</v>
      </c>
      <c r="N321" s="2" t="str">
        <f aca="false">IFERROR(INDEX(Query_Source_View!$W:$W,MATCH(ROW()-14,Query_Source_View!$Z:$Z,0)),"")</f>
        <v>Verified From Official Source</v>
      </c>
      <c r="O321" s="2" t="str">
        <f aca="false">IFERROR(INDEX(Query_Source_View!$X:$X,MATCH(ROW()-14,Query_Source_View!$Z:$Z,0)),"")</f>
        <v>https://www.winsornewton.com/pages/professional-acrylic-colour</v>
      </c>
    </row>
    <row r="322" customFormat="false" ht="46.25" hidden="false" customHeight="false" outlineLevel="0" collapsed="false">
      <c r="A322" s="2" t="str">
        <f aca="false">IFERROR(INDEX(Query_Source_View!$A:$A,MATCH(ROW()-14,Query_Source_View!$Z:$Z,0)),"")</f>
        <v>PNT000243</v>
      </c>
      <c r="B322" s="2" t="str">
        <f aca="false">IFERROR(INDEX(Query_Source_View!$D:$D,MATCH(ROW()-14,Query_Source_View!$Z:$Z,0)),"")</f>
        <v>Winsor And Newton</v>
      </c>
      <c r="C322" s="2" t="str">
        <f aca="false">IFERROR(INDEX(Query_Source_View!$F:$F,MATCH(ROW()-14,Query_Source_View!$Z:$Z,0)),"")</f>
        <v>Acrylic</v>
      </c>
      <c r="D322" s="2" t="str">
        <f aca="false">IFERROR(INDEX(Query_Source_View!$H:$H,MATCH(ROW()-14,Query_Source_View!$Z:$Z,0)),"")</f>
        <v>Professional Acrylic</v>
      </c>
      <c r="E322" s="2" t="str">
        <f aca="false">IFERROR(INDEX(Query_Source_View!$J:$J,MATCH(ROW()-14,Query_Source_View!$Z:$Z,0)),"")</f>
        <v>Cadmium Red Light</v>
      </c>
      <c r="F322" s="2" t="str">
        <f aca="false">IFERROR(INDEX(Query_Source_View!$L:$L,MATCH(ROW()-14,Query_Source_View!$Z:$Z,0)),"")</f>
        <v>Red</v>
      </c>
      <c r="G322" s="2" t="str">
        <f aca="false">IFERROR(INDEX(Query_Source_View!$N:$N,MATCH(ROW()-14,Query_Source_View!$Z:$Z,0)),"")</f>
        <v>PR108</v>
      </c>
      <c r="H322" s="2" t="n">
        <f aca="false">IFERROR(INDEX(Query_Source_View!$P:$P,MATCH(ROW()-14,Query_Source_View!$Z:$Z,0)),"")</f>
        <v>1</v>
      </c>
      <c r="I322" s="2" t="str">
        <f aca="false">IFERROR(INDEX(Query_Source_View!$Q:$Q,MATCH(ROW()-14,Query_Source_View!$Z:$Z,0)),"")</f>
        <v>Yes</v>
      </c>
      <c r="J322" s="2" t="str">
        <f aca="false">IFERROR(INDEX(Query_Source_View!$R:$R,MATCH(ROW()-14,Query_Source_View!$Z:$Z,0)),"")</f>
        <v>Opaque</v>
      </c>
      <c r="K322" s="2" t="str">
        <f aca="false">IFERROR(INDEX(Query_Source_View!$T:$T,MATCH(ROW()-14,Query_Source_View!$Z:$Z,0)),"")</f>
        <v>Permanent</v>
      </c>
      <c r="L322" s="2" t="str">
        <f aca="false">IFERROR(INDEX(Query_Source_View!$U:$U,MATCH(ROW()-14,Query_Source_View!$Z:$Z,0)),"")</f>
        <v>I</v>
      </c>
      <c r="M322" s="2" t="n">
        <f aca="false">IFERROR(INDEX(Query_Source_View!$V:$V,MATCH(ROW()-14,Query_Source_View!$Z:$Z,0)),"")</f>
        <v>3</v>
      </c>
      <c r="N322" s="2" t="str">
        <f aca="false">IFERROR(INDEX(Query_Source_View!$W:$W,MATCH(ROW()-14,Query_Source_View!$Z:$Z,0)),"")</f>
        <v>Verified From Official Source</v>
      </c>
      <c r="O322" s="2" t="str">
        <f aca="false">IFERROR(INDEX(Query_Source_View!$X:$X,MATCH(ROW()-14,Query_Source_View!$Z:$Z,0)),"")</f>
        <v>https://www.winsornewton.com/pages/professional-acrylic-colour</v>
      </c>
    </row>
    <row r="323" customFormat="false" ht="46.25" hidden="false" customHeight="false" outlineLevel="0" collapsed="false">
      <c r="A323" s="2" t="str">
        <f aca="false">IFERROR(INDEX(Query_Source_View!$A:$A,MATCH(ROW()-14,Query_Source_View!$Z:$Z,0)),"")</f>
        <v>PNT000244</v>
      </c>
      <c r="B323" s="2" t="str">
        <f aca="false">IFERROR(INDEX(Query_Source_View!$D:$D,MATCH(ROW()-14,Query_Source_View!$Z:$Z,0)),"")</f>
        <v>Winsor And Newton</v>
      </c>
      <c r="C323" s="2" t="str">
        <f aca="false">IFERROR(INDEX(Query_Source_View!$F:$F,MATCH(ROW()-14,Query_Source_View!$Z:$Z,0)),"")</f>
        <v>Acrylic</v>
      </c>
      <c r="D323" s="2" t="str">
        <f aca="false">IFERROR(INDEX(Query_Source_View!$H:$H,MATCH(ROW()-14,Query_Source_View!$Z:$Z,0)),"")</f>
        <v>Professional Acrylic</v>
      </c>
      <c r="E323" s="2" t="str">
        <f aca="false">IFERROR(INDEX(Query_Source_View!$J:$J,MATCH(ROW()-14,Query_Source_View!$Z:$Z,0)),"")</f>
        <v>Cerulean Blue Hue</v>
      </c>
      <c r="F323" s="2" t="str">
        <f aca="false">IFERROR(INDEX(Query_Source_View!$L:$L,MATCH(ROW()-14,Query_Source_View!$Z:$Z,0)),"")</f>
        <v>Blue</v>
      </c>
      <c r="G323" s="2" t="str">
        <f aca="false">IFERROR(INDEX(Query_Source_View!$N:$N,MATCH(ROW()-14,Query_Source_View!$Z:$Z,0)),"")</f>
        <v>PB29</v>
      </c>
      <c r="H323" s="2" t="n">
        <f aca="false">IFERROR(INDEX(Query_Source_View!$P:$P,MATCH(ROW()-14,Query_Source_View!$Z:$Z,0)),"")</f>
        <v>3</v>
      </c>
      <c r="I323" s="2" t="str">
        <f aca="false">IFERROR(INDEX(Query_Source_View!$Q:$Q,MATCH(ROW()-14,Query_Source_View!$Z:$Z,0)),"")</f>
        <v>No</v>
      </c>
      <c r="J323" s="2" t="str">
        <f aca="false">IFERROR(INDEX(Query_Source_View!$R:$R,MATCH(ROW()-14,Query_Source_View!$Z:$Z,0)),"")</f>
        <v>Opaque</v>
      </c>
      <c r="K323" s="2" t="str">
        <f aca="false">IFERROR(INDEX(Query_Source_View!$T:$T,MATCH(ROW()-14,Query_Source_View!$Z:$Z,0)),"")</f>
        <v>Permanent</v>
      </c>
      <c r="L323" s="2" t="str">
        <f aca="false">IFERROR(INDEX(Query_Source_View!$U:$U,MATCH(ROW()-14,Query_Source_View!$Z:$Z,0)),"")</f>
        <v>I</v>
      </c>
      <c r="M323" s="2" t="n">
        <f aca="false">IFERROR(INDEX(Query_Source_View!$V:$V,MATCH(ROW()-14,Query_Source_View!$Z:$Z,0)),"")</f>
        <v>2</v>
      </c>
      <c r="N323" s="2" t="str">
        <f aca="false">IFERROR(INDEX(Query_Source_View!$W:$W,MATCH(ROW()-14,Query_Source_View!$Z:$Z,0)),"")</f>
        <v>Verified From Official Source</v>
      </c>
      <c r="O323" s="2" t="str">
        <f aca="false">IFERROR(INDEX(Query_Source_View!$X:$X,MATCH(ROW()-14,Query_Source_View!$Z:$Z,0)),"")</f>
        <v>https://www.winsornewton.com/pages/professional-acrylic-colour</v>
      </c>
    </row>
    <row r="324" customFormat="false" ht="46.25" hidden="false" customHeight="false" outlineLevel="0" collapsed="false">
      <c r="A324" s="2" t="str">
        <f aca="false">IFERROR(INDEX(Query_Source_View!$A:$A,MATCH(ROW()-14,Query_Source_View!$Z:$Z,0)),"")</f>
        <v>PNT000244</v>
      </c>
      <c r="B324" s="2" t="str">
        <f aca="false">IFERROR(INDEX(Query_Source_View!$D:$D,MATCH(ROW()-14,Query_Source_View!$Z:$Z,0)),"")</f>
        <v>Winsor And Newton</v>
      </c>
      <c r="C324" s="2" t="str">
        <f aca="false">IFERROR(INDEX(Query_Source_View!$F:$F,MATCH(ROW()-14,Query_Source_View!$Z:$Z,0)),"")</f>
        <v>Acrylic</v>
      </c>
      <c r="D324" s="2" t="str">
        <f aca="false">IFERROR(INDEX(Query_Source_View!$H:$H,MATCH(ROW()-14,Query_Source_View!$Z:$Z,0)),"")</f>
        <v>Professional Acrylic</v>
      </c>
      <c r="E324" s="2" t="str">
        <f aca="false">IFERROR(INDEX(Query_Source_View!$J:$J,MATCH(ROW()-14,Query_Source_View!$Z:$Z,0)),"")</f>
        <v>Cerulean Blue Hue</v>
      </c>
      <c r="F324" s="2" t="str">
        <f aca="false">IFERROR(INDEX(Query_Source_View!$L:$L,MATCH(ROW()-14,Query_Source_View!$Z:$Z,0)),"")</f>
        <v>Blue</v>
      </c>
      <c r="G324" s="2" t="str">
        <f aca="false">IFERROR(INDEX(Query_Source_View!$N:$N,MATCH(ROW()-14,Query_Source_View!$Z:$Z,0)),"")</f>
        <v>PG7</v>
      </c>
      <c r="H324" s="2" t="n">
        <f aca="false">IFERROR(INDEX(Query_Source_View!$P:$P,MATCH(ROW()-14,Query_Source_View!$Z:$Z,0)),"")</f>
        <v>3</v>
      </c>
      <c r="I324" s="2" t="str">
        <f aca="false">IFERROR(INDEX(Query_Source_View!$Q:$Q,MATCH(ROW()-14,Query_Source_View!$Z:$Z,0)),"")</f>
        <v>No</v>
      </c>
      <c r="J324" s="2" t="str">
        <f aca="false">IFERROR(INDEX(Query_Source_View!$R:$R,MATCH(ROW()-14,Query_Source_View!$Z:$Z,0)),"")</f>
        <v>Opaque</v>
      </c>
      <c r="K324" s="2" t="str">
        <f aca="false">IFERROR(INDEX(Query_Source_View!$T:$T,MATCH(ROW()-14,Query_Source_View!$Z:$Z,0)),"")</f>
        <v>Permanent</v>
      </c>
      <c r="L324" s="2" t="str">
        <f aca="false">IFERROR(INDEX(Query_Source_View!$U:$U,MATCH(ROW()-14,Query_Source_View!$Z:$Z,0)),"")</f>
        <v>I</v>
      </c>
      <c r="M324" s="2" t="n">
        <f aca="false">IFERROR(INDEX(Query_Source_View!$V:$V,MATCH(ROW()-14,Query_Source_View!$Z:$Z,0)),"")</f>
        <v>2</v>
      </c>
      <c r="N324" s="2" t="str">
        <f aca="false">IFERROR(INDEX(Query_Source_View!$W:$W,MATCH(ROW()-14,Query_Source_View!$Z:$Z,0)),"")</f>
        <v>Verified From Official Source</v>
      </c>
      <c r="O324" s="2" t="str">
        <f aca="false">IFERROR(INDEX(Query_Source_View!$X:$X,MATCH(ROW()-14,Query_Source_View!$Z:$Z,0)),"")</f>
        <v>https://www.winsornewton.com/pages/professional-acrylic-colour</v>
      </c>
    </row>
    <row r="325" customFormat="false" ht="46.25" hidden="false" customHeight="false" outlineLevel="0" collapsed="false">
      <c r="A325" s="2" t="str">
        <f aca="false">IFERROR(INDEX(Query_Source_View!$A:$A,MATCH(ROW()-14,Query_Source_View!$Z:$Z,0)),"")</f>
        <v>PNT000244</v>
      </c>
      <c r="B325" s="2" t="str">
        <f aca="false">IFERROR(INDEX(Query_Source_View!$D:$D,MATCH(ROW()-14,Query_Source_View!$Z:$Z,0)),"")</f>
        <v>Winsor And Newton</v>
      </c>
      <c r="C325" s="2" t="str">
        <f aca="false">IFERROR(INDEX(Query_Source_View!$F:$F,MATCH(ROW()-14,Query_Source_View!$Z:$Z,0)),"")</f>
        <v>Acrylic</v>
      </c>
      <c r="D325" s="2" t="str">
        <f aca="false">IFERROR(INDEX(Query_Source_View!$H:$H,MATCH(ROW()-14,Query_Source_View!$Z:$Z,0)),"")</f>
        <v>Professional Acrylic</v>
      </c>
      <c r="E325" s="2" t="str">
        <f aca="false">IFERROR(INDEX(Query_Source_View!$J:$J,MATCH(ROW()-14,Query_Source_View!$Z:$Z,0)),"")</f>
        <v>Cerulean Blue Hue</v>
      </c>
      <c r="F325" s="2" t="str">
        <f aca="false">IFERROR(INDEX(Query_Source_View!$L:$L,MATCH(ROW()-14,Query_Source_View!$Z:$Z,0)),"")</f>
        <v>Blue</v>
      </c>
      <c r="G325" s="2" t="str">
        <f aca="false">IFERROR(INDEX(Query_Source_View!$N:$N,MATCH(ROW()-14,Query_Source_View!$Z:$Z,0)),"")</f>
        <v>PW6</v>
      </c>
      <c r="H325" s="2" t="n">
        <f aca="false">IFERROR(INDEX(Query_Source_View!$P:$P,MATCH(ROW()-14,Query_Source_View!$Z:$Z,0)),"")</f>
        <v>3</v>
      </c>
      <c r="I325" s="2" t="str">
        <f aca="false">IFERROR(INDEX(Query_Source_View!$Q:$Q,MATCH(ROW()-14,Query_Source_View!$Z:$Z,0)),"")</f>
        <v>No</v>
      </c>
      <c r="J325" s="2" t="str">
        <f aca="false">IFERROR(INDEX(Query_Source_View!$R:$R,MATCH(ROW()-14,Query_Source_View!$Z:$Z,0)),"")</f>
        <v>Opaque</v>
      </c>
      <c r="K325" s="2" t="str">
        <f aca="false">IFERROR(INDEX(Query_Source_View!$T:$T,MATCH(ROW()-14,Query_Source_View!$Z:$Z,0)),"")</f>
        <v>Permanent</v>
      </c>
      <c r="L325" s="2" t="str">
        <f aca="false">IFERROR(INDEX(Query_Source_View!$U:$U,MATCH(ROW()-14,Query_Source_View!$Z:$Z,0)),"")</f>
        <v>I</v>
      </c>
      <c r="M325" s="2" t="n">
        <f aca="false">IFERROR(INDEX(Query_Source_View!$V:$V,MATCH(ROW()-14,Query_Source_View!$Z:$Z,0)),"")</f>
        <v>2</v>
      </c>
      <c r="N325" s="2" t="str">
        <f aca="false">IFERROR(INDEX(Query_Source_View!$W:$W,MATCH(ROW()-14,Query_Source_View!$Z:$Z,0)),"")</f>
        <v>Verified From Official Source</v>
      </c>
      <c r="O325" s="2" t="str">
        <f aca="false">IFERROR(INDEX(Query_Source_View!$X:$X,MATCH(ROW()-14,Query_Source_View!$Z:$Z,0)),"")</f>
        <v>https://www.winsornewton.com/pages/professional-acrylic-colour</v>
      </c>
    </row>
    <row r="326" customFormat="false" ht="46.25" hidden="false" customHeight="false" outlineLevel="0" collapsed="false">
      <c r="A326" s="2" t="str">
        <f aca="false">IFERROR(INDEX(Query_Source_View!$A:$A,MATCH(ROW()-14,Query_Source_View!$Z:$Z,0)),"")</f>
        <v>PNT000245</v>
      </c>
      <c r="B326" s="2" t="str">
        <f aca="false">IFERROR(INDEX(Query_Source_View!$D:$D,MATCH(ROW()-14,Query_Source_View!$Z:$Z,0)),"")</f>
        <v>Winsor And Newton</v>
      </c>
      <c r="C326" s="2" t="str">
        <f aca="false">IFERROR(INDEX(Query_Source_View!$F:$F,MATCH(ROW()-14,Query_Source_View!$Z:$Z,0)),"")</f>
        <v>Acrylic</v>
      </c>
      <c r="D326" s="2" t="str">
        <f aca="false">IFERROR(INDEX(Query_Source_View!$H:$H,MATCH(ROW()-14,Query_Source_View!$Z:$Z,0)),"")</f>
        <v>Professional Acrylic</v>
      </c>
      <c r="E326" s="2" t="str">
        <f aca="false">IFERROR(INDEX(Query_Source_View!$J:$J,MATCH(ROW()-14,Query_Source_View!$Z:$Z,0)),"")</f>
        <v>Cobalt Turquoise Light</v>
      </c>
      <c r="F326" s="2" t="str">
        <f aca="false">IFERROR(INDEX(Query_Source_View!$L:$L,MATCH(ROW()-14,Query_Source_View!$Z:$Z,0)),"")</f>
        <v>Blue</v>
      </c>
      <c r="G326" s="2" t="str">
        <f aca="false">IFERROR(INDEX(Query_Source_View!$N:$N,MATCH(ROW()-14,Query_Source_View!$Z:$Z,0)),"")</f>
        <v>PG50</v>
      </c>
      <c r="H326" s="2" t="n">
        <f aca="false">IFERROR(INDEX(Query_Source_View!$P:$P,MATCH(ROW()-14,Query_Source_View!$Z:$Z,0)),"")</f>
        <v>1</v>
      </c>
      <c r="I326" s="2" t="str">
        <f aca="false">IFERROR(INDEX(Query_Source_View!$Q:$Q,MATCH(ROW()-14,Query_Source_View!$Z:$Z,0)),"")</f>
        <v>Yes</v>
      </c>
      <c r="J326" s="2" t="str">
        <f aca="false">IFERROR(INDEX(Query_Source_View!$R:$R,MATCH(ROW()-14,Query_Source_View!$Z:$Z,0)),"")</f>
        <v>Opaque</v>
      </c>
      <c r="K326" s="2" t="str">
        <f aca="false">IFERROR(INDEX(Query_Source_View!$T:$T,MATCH(ROW()-14,Query_Source_View!$Z:$Z,0)),"")</f>
        <v>Extremely Permanent</v>
      </c>
      <c r="L326" s="2" t="str">
        <f aca="false">IFERROR(INDEX(Query_Source_View!$U:$U,MATCH(ROW()-14,Query_Source_View!$Z:$Z,0)),"")</f>
        <v>I</v>
      </c>
      <c r="M326" s="2" t="n">
        <f aca="false">IFERROR(INDEX(Query_Source_View!$V:$V,MATCH(ROW()-14,Query_Source_View!$Z:$Z,0)),"")</f>
        <v>4</v>
      </c>
      <c r="N326" s="2" t="str">
        <f aca="false">IFERROR(INDEX(Query_Source_View!$W:$W,MATCH(ROW()-14,Query_Source_View!$Z:$Z,0)),"")</f>
        <v>Verified From Official Source</v>
      </c>
      <c r="O326" s="2" t="str">
        <f aca="false">IFERROR(INDEX(Query_Source_View!$X:$X,MATCH(ROW()-14,Query_Source_View!$Z:$Z,0)),"")</f>
        <v>https://www.winsornewton.com/pages/professional-acrylic-colour</v>
      </c>
    </row>
    <row r="327" customFormat="false" ht="46.25" hidden="false" customHeight="false" outlineLevel="0" collapsed="false">
      <c r="A327" s="2" t="str">
        <f aca="false">IFERROR(INDEX(Query_Source_View!$A:$A,MATCH(ROW()-14,Query_Source_View!$Z:$Z,0)),"")</f>
        <v>PNT000246</v>
      </c>
      <c r="B327" s="2" t="str">
        <f aca="false">IFERROR(INDEX(Query_Source_View!$D:$D,MATCH(ROW()-14,Query_Source_View!$Z:$Z,0)),"")</f>
        <v>Winsor And Newton</v>
      </c>
      <c r="C327" s="2" t="str">
        <f aca="false">IFERROR(INDEX(Query_Source_View!$F:$F,MATCH(ROW()-14,Query_Source_View!$Z:$Z,0)),"")</f>
        <v>Acrylic</v>
      </c>
      <c r="D327" s="2" t="str">
        <f aca="false">IFERROR(INDEX(Query_Source_View!$H:$H,MATCH(ROW()-14,Query_Source_View!$Z:$Z,0)),"")</f>
        <v>Professional Acrylic</v>
      </c>
      <c r="E327" s="2" t="str">
        <f aca="false">IFERROR(INDEX(Query_Source_View!$J:$J,MATCH(ROW()-14,Query_Source_View!$Z:$Z,0)),"")</f>
        <v>Cobalt Turquoise</v>
      </c>
      <c r="F327" s="2" t="str">
        <f aca="false">IFERROR(INDEX(Query_Source_View!$L:$L,MATCH(ROW()-14,Query_Source_View!$Z:$Z,0)),"")</f>
        <v>Blue</v>
      </c>
      <c r="G327" s="2" t="str">
        <f aca="false">IFERROR(INDEX(Query_Source_View!$N:$N,MATCH(ROW()-14,Query_Source_View!$Z:$Z,0)),"")</f>
        <v>PB36</v>
      </c>
      <c r="H327" s="2" t="n">
        <f aca="false">IFERROR(INDEX(Query_Source_View!$P:$P,MATCH(ROW()-14,Query_Source_View!$Z:$Z,0)),"")</f>
        <v>1</v>
      </c>
      <c r="I327" s="2" t="str">
        <f aca="false">IFERROR(INDEX(Query_Source_View!$Q:$Q,MATCH(ROW()-14,Query_Source_View!$Z:$Z,0)),"")</f>
        <v>Yes</v>
      </c>
      <c r="J327" s="2" t="str">
        <f aca="false">IFERROR(INDEX(Query_Source_View!$R:$R,MATCH(ROW()-14,Query_Source_View!$Z:$Z,0)),"")</f>
        <v>Opaque</v>
      </c>
      <c r="K327" s="2" t="str">
        <f aca="false">IFERROR(INDEX(Query_Source_View!$T:$T,MATCH(ROW()-14,Query_Source_View!$Z:$Z,0)),"")</f>
        <v>Extremely Permanent</v>
      </c>
      <c r="L327" s="2" t="str">
        <f aca="false">IFERROR(INDEX(Query_Source_View!$U:$U,MATCH(ROW()-14,Query_Source_View!$Z:$Z,0)),"")</f>
        <v>I</v>
      </c>
      <c r="M327" s="2" t="n">
        <f aca="false">IFERROR(INDEX(Query_Source_View!$V:$V,MATCH(ROW()-14,Query_Source_View!$Z:$Z,0)),"")</f>
        <v>5</v>
      </c>
      <c r="N327" s="2" t="str">
        <f aca="false">IFERROR(INDEX(Query_Source_View!$W:$W,MATCH(ROW()-14,Query_Source_View!$Z:$Z,0)),"")</f>
        <v>Verified From Official Source</v>
      </c>
      <c r="O327" s="2" t="str">
        <f aca="false">IFERROR(INDEX(Query_Source_View!$X:$X,MATCH(ROW()-14,Query_Source_View!$Z:$Z,0)),"")</f>
        <v>https://www.winsornewton.com/pages/professional-acrylic-colour</v>
      </c>
    </row>
    <row r="328" customFormat="false" ht="46.25" hidden="false" customHeight="false" outlineLevel="0" collapsed="false">
      <c r="A328" s="2" t="str">
        <f aca="false">IFERROR(INDEX(Query_Source_View!$A:$A,MATCH(ROW()-14,Query_Source_View!$Z:$Z,0)),"")</f>
        <v>PNT000247</v>
      </c>
      <c r="B328" s="2" t="str">
        <f aca="false">IFERROR(INDEX(Query_Source_View!$D:$D,MATCH(ROW()-14,Query_Source_View!$Z:$Z,0)),"")</f>
        <v>Winsor And Newton</v>
      </c>
      <c r="C328" s="2" t="str">
        <f aca="false">IFERROR(INDEX(Query_Source_View!$F:$F,MATCH(ROW()-14,Query_Source_View!$Z:$Z,0)),"")</f>
        <v>Acrylic</v>
      </c>
      <c r="D328" s="2" t="str">
        <f aca="false">IFERROR(INDEX(Query_Source_View!$H:$H,MATCH(ROW()-14,Query_Source_View!$Z:$Z,0)),"")</f>
        <v>Professional Acrylic</v>
      </c>
      <c r="E328" s="2" t="str">
        <f aca="false">IFERROR(INDEX(Query_Source_View!$J:$J,MATCH(ROW()-14,Query_Source_View!$Z:$Z,0)),"")</f>
        <v>Phthalo Turquoise</v>
      </c>
      <c r="F328" s="2" t="str">
        <f aca="false">IFERROR(INDEX(Query_Source_View!$L:$L,MATCH(ROW()-14,Query_Source_View!$Z:$Z,0)),"")</f>
        <v>Blue</v>
      </c>
      <c r="G328" s="2" t="str">
        <f aca="false">IFERROR(INDEX(Query_Source_View!$N:$N,MATCH(ROW()-14,Query_Source_View!$Z:$Z,0)),"")</f>
        <v>PB16</v>
      </c>
      <c r="H328" s="2" t="n">
        <f aca="false">IFERROR(INDEX(Query_Source_View!$P:$P,MATCH(ROW()-14,Query_Source_View!$Z:$Z,0)),"")</f>
        <v>1</v>
      </c>
      <c r="I328" s="2" t="str">
        <f aca="false">IFERROR(INDEX(Query_Source_View!$Q:$Q,MATCH(ROW()-14,Query_Source_View!$Z:$Z,0)),"")</f>
        <v>Yes</v>
      </c>
      <c r="J328" s="2" t="str">
        <f aca="false">IFERROR(INDEX(Query_Source_View!$R:$R,MATCH(ROW()-14,Query_Source_View!$Z:$Z,0)),"")</f>
        <v>Transparent</v>
      </c>
      <c r="K328" s="2" t="str">
        <f aca="false">IFERROR(INDEX(Query_Source_View!$T:$T,MATCH(ROW()-14,Query_Source_View!$Z:$Z,0)),"")</f>
        <v>Permanent</v>
      </c>
      <c r="L328" s="2" t="str">
        <f aca="false">IFERROR(INDEX(Query_Source_View!$U:$U,MATCH(ROW()-14,Query_Source_View!$Z:$Z,0)),"")</f>
        <v>N/A</v>
      </c>
      <c r="M328" s="2" t="n">
        <f aca="false">IFERROR(INDEX(Query_Source_View!$V:$V,MATCH(ROW()-14,Query_Source_View!$Z:$Z,0)),"")</f>
        <v>3</v>
      </c>
      <c r="N328" s="2" t="str">
        <f aca="false">IFERROR(INDEX(Query_Source_View!$W:$W,MATCH(ROW()-14,Query_Source_View!$Z:$Z,0)),"")</f>
        <v>Verified From Official Source</v>
      </c>
      <c r="O328" s="2" t="str">
        <f aca="false">IFERROR(INDEX(Query_Source_View!$X:$X,MATCH(ROW()-14,Query_Source_View!$Z:$Z,0)),"")</f>
        <v>https://www.winsornewton.com/pages/professional-acrylic-colour</v>
      </c>
    </row>
    <row r="329" customFormat="false" ht="46.25" hidden="false" customHeight="false" outlineLevel="0" collapsed="false">
      <c r="A329" s="2" t="str">
        <f aca="false">IFERROR(INDEX(Query_Source_View!$A:$A,MATCH(ROW()-14,Query_Source_View!$Z:$Z,0)),"")</f>
        <v>PNT000248</v>
      </c>
      <c r="B329" s="2" t="str">
        <f aca="false">IFERROR(INDEX(Query_Source_View!$D:$D,MATCH(ROW()-14,Query_Source_View!$Z:$Z,0)),"")</f>
        <v>Winsor And Newton</v>
      </c>
      <c r="C329" s="2" t="str">
        <f aca="false">IFERROR(INDEX(Query_Source_View!$F:$F,MATCH(ROW()-14,Query_Source_View!$Z:$Z,0)),"")</f>
        <v>Acrylic</v>
      </c>
      <c r="D329" s="2" t="str">
        <f aca="false">IFERROR(INDEX(Query_Source_View!$H:$H,MATCH(ROW()-14,Query_Source_View!$Z:$Z,0)),"")</f>
        <v>Professional Acrylic</v>
      </c>
      <c r="E329" s="2" t="str">
        <f aca="false">IFERROR(INDEX(Query_Source_View!$J:$J,MATCH(ROW()-14,Query_Source_View!$Z:$Z,0)),"")</f>
        <v>Phthalo Green (Blue Shade)</v>
      </c>
      <c r="F329" s="2" t="str">
        <f aca="false">IFERROR(INDEX(Query_Source_View!$L:$L,MATCH(ROW()-14,Query_Source_View!$Z:$Z,0)),"")</f>
        <v>Blue</v>
      </c>
      <c r="G329" s="2" t="str">
        <f aca="false">IFERROR(INDEX(Query_Source_View!$N:$N,MATCH(ROW()-14,Query_Source_View!$Z:$Z,0)),"")</f>
        <v>PG7</v>
      </c>
      <c r="H329" s="2" t="n">
        <f aca="false">IFERROR(INDEX(Query_Source_View!$P:$P,MATCH(ROW()-14,Query_Source_View!$Z:$Z,0)),"")</f>
        <v>1</v>
      </c>
      <c r="I329" s="2" t="str">
        <f aca="false">IFERROR(INDEX(Query_Source_View!$Q:$Q,MATCH(ROW()-14,Query_Source_View!$Z:$Z,0)),"")</f>
        <v>Yes</v>
      </c>
      <c r="J329" s="2" t="str">
        <f aca="false">IFERROR(INDEX(Query_Source_View!$R:$R,MATCH(ROW()-14,Query_Source_View!$Z:$Z,0)),"")</f>
        <v>Transparent</v>
      </c>
      <c r="K329" s="2" t="str">
        <f aca="false">IFERROR(INDEX(Query_Source_View!$T:$T,MATCH(ROW()-14,Query_Source_View!$Z:$Z,0)),"")</f>
        <v>Permanent</v>
      </c>
      <c r="L329" s="2" t="str">
        <f aca="false">IFERROR(INDEX(Query_Source_View!$U:$U,MATCH(ROW()-14,Query_Source_View!$Z:$Z,0)),"")</f>
        <v>I</v>
      </c>
      <c r="M329" s="2" t="n">
        <f aca="false">IFERROR(INDEX(Query_Source_View!$V:$V,MATCH(ROW()-14,Query_Source_View!$Z:$Z,0)),"")</f>
        <v>2</v>
      </c>
      <c r="N329" s="2" t="str">
        <f aca="false">IFERROR(INDEX(Query_Source_View!$W:$W,MATCH(ROW()-14,Query_Source_View!$Z:$Z,0)),"")</f>
        <v>Verified From Official Source</v>
      </c>
      <c r="O329" s="2" t="str">
        <f aca="false">IFERROR(INDEX(Query_Source_View!$X:$X,MATCH(ROW()-14,Query_Source_View!$Z:$Z,0)),"")</f>
        <v>https://www.winsornewton.com/pages/professional-acrylic-colour</v>
      </c>
    </row>
    <row r="330" customFormat="false" ht="46.25" hidden="false" customHeight="false" outlineLevel="0" collapsed="false">
      <c r="A330" s="2" t="str">
        <f aca="false">IFERROR(INDEX(Query_Source_View!$A:$A,MATCH(ROW()-14,Query_Source_View!$Z:$Z,0)),"")</f>
        <v>PNT000249</v>
      </c>
      <c r="B330" s="2" t="str">
        <f aca="false">IFERROR(INDEX(Query_Source_View!$D:$D,MATCH(ROW()-14,Query_Source_View!$Z:$Z,0)),"")</f>
        <v>Winsor And Newton</v>
      </c>
      <c r="C330" s="2" t="str">
        <f aca="false">IFERROR(INDEX(Query_Source_View!$F:$F,MATCH(ROW()-14,Query_Source_View!$Z:$Z,0)),"")</f>
        <v>Acrylic</v>
      </c>
      <c r="D330" s="2" t="str">
        <f aca="false">IFERROR(INDEX(Query_Source_View!$H:$H,MATCH(ROW()-14,Query_Source_View!$Z:$Z,0)),"")</f>
        <v>Professional Acrylic</v>
      </c>
      <c r="E330" s="2" t="str">
        <f aca="false">IFERROR(INDEX(Query_Source_View!$J:$J,MATCH(ROW()-14,Query_Source_View!$Z:$Z,0)),"")</f>
        <v>Phthalo Green (Yellow Shade)</v>
      </c>
      <c r="F330" s="2" t="str">
        <f aca="false">IFERROR(INDEX(Query_Source_View!$L:$L,MATCH(ROW()-14,Query_Source_View!$Z:$Z,0)),"")</f>
        <v>Yellow</v>
      </c>
      <c r="G330" s="2" t="str">
        <f aca="false">IFERROR(INDEX(Query_Source_View!$N:$N,MATCH(ROW()-14,Query_Source_View!$Z:$Z,0)),"")</f>
        <v>PG36</v>
      </c>
      <c r="H330" s="2" t="n">
        <f aca="false">IFERROR(INDEX(Query_Source_View!$P:$P,MATCH(ROW()-14,Query_Source_View!$Z:$Z,0)),"")</f>
        <v>1</v>
      </c>
      <c r="I330" s="2" t="str">
        <f aca="false">IFERROR(INDEX(Query_Source_View!$Q:$Q,MATCH(ROW()-14,Query_Source_View!$Z:$Z,0)),"")</f>
        <v>Yes</v>
      </c>
      <c r="J330" s="2" t="str">
        <f aca="false">IFERROR(INDEX(Query_Source_View!$R:$R,MATCH(ROW()-14,Query_Source_View!$Z:$Z,0)),"")</f>
        <v>Transparent</v>
      </c>
      <c r="K330" s="2" t="str">
        <f aca="false">IFERROR(INDEX(Query_Source_View!$T:$T,MATCH(ROW()-14,Query_Source_View!$Z:$Z,0)),"")</f>
        <v>Permanent</v>
      </c>
      <c r="L330" s="2" t="str">
        <f aca="false">IFERROR(INDEX(Query_Source_View!$U:$U,MATCH(ROW()-14,Query_Source_View!$Z:$Z,0)),"")</f>
        <v>I</v>
      </c>
      <c r="M330" s="2" t="n">
        <f aca="false">IFERROR(INDEX(Query_Source_View!$V:$V,MATCH(ROW()-14,Query_Source_View!$Z:$Z,0)),"")</f>
        <v>2</v>
      </c>
      <c r="N330" s="2" t="str">
        <f aca="false">IFERROR(INDEX(Query_Source_View!$W:$W,MATCH(ROW()-14,Query_Source_View!$Z:$Z,0)),"")</f>
        <v>Verified From Official Source</v>
      </c>
      <c r="O330" s="2" t="str">
        <f aca="false">IFERROR(INDEX(Query_Source_View!$X:$X,MATCH(ROW()-14,Query_Source_View!$Z:$Z,0)),"")</f>
        <v>https://www.winsornewton.com/pages/professional-acrylic-colour</v>
      </c>
    </row>
    <row r="331" customFormat="false" ht="46.25" hidden="false" customHeight="false" outlineLevel="0" collapsed="false">
      <c r="A331" s="2" t="str">
        <f aca="false">IFERROR(INDEX(Query_Source_View!$A:$A,MATCH(ROW()-14,Query_Source_View!$Z:$Z,0)),"")</f>
        <v>PNT000250</v>
      </c>
      <c r="B331" s="2" t="str">
        <f aca="false">IFERROR(INDEX(Query_Source_View!$D:$D,MATCH(ROW()-14,Query_Source_View!$Z:$Z,0)),"")</f>
        <v>Winsor And Newton</v>
      </c>
      <c r="C331" s="2" t="str">
        <f aca="false">IFERROR(INDEX(Query_Source_View!$F:$F,MATCH(ROW()-14,Query_Source_View!$Z:$Z,0)),"")</f>
        <v>Acrylic</v>
      </c>
      <c r="D331" s="2" t="str">
        <f aca="false">IFERROR(INDEX(Query_Source_View!$H:$H,MATCH(ROW()-14,Query_Source_View!$Z:$Z,0)),"")</f>
        <v>Professional Acrylic</v>
      </c>
      <c r="E331" s="2" t="str">
        <f aca="false">IFERROR(INDEX(Query_Source_View!$J:$J,MATCH(ROW()-14,Query_Source_View!$Z:$Z,0)),"")</f>
        <v>Cobalt Green</v>
      </c>
      <c r="F331" s="2" t="str">
        <f aca="false">IFERROR(INDEX(Query_Source_View!$L:$L,MATCH(ROW()-14,Query_Source_View!$Z:$Z,0)),"")</f>
        <v>Blue</v>
      </c>
      <c r="G331" s="2" t="str">
        <f aca="false">IFERROR(INDEX(Query_Source_View!$N:$N,MATCH(ROW()-14,Query_Source_View!$Z:$Z,0)),"")</f>
        <v>PG50</v>
      </c>
      <c r="H331" s="2" t="n">
        <f aca="false">IFERROR(INDEX(Query_Source_View!$P:$P,MATCH(ROW()-14,Query_Source_View!$Z:$Z,0)),"")</f>
        <v>1</v>
      </c>
      <c r="I331" s="2" t="str">
        <f aca="false">IFERROR(INDEX(Query_Source_View!$Q:$Q,MATCH(ROW()-14,Query_Source_View!$Z:$Z,0)),"")</f>
        <v>Yes</v>
      </c>
      <c r="J331" s="2" t="str">
        <f aca="false">IFERROR(INDEX(Query_Source_View!$R:$R,MATCH(ROW()-14,Query_Source_View!$Z:$Z,0)),"")</f>
        <v>Opaque</v>
      </c>
      <c r="K331" s="2" t="str">
        <f aca="false">IFERROR(INDEX(Query_Source_View!$T:$T,MATCH(ROW()-14,Query_Source_View!$Z:$Z,0)),"")</f>
        <v>Extremely Permanent</v>
      </c>
      <c r="L331" s="2" t="str">
        <f aca="false">IFERROR(INDEX(Query_Source_View!$U:$U,MATCH(ROW()-14,Query_Source_View!$Z:$Z,0)),"")</f>
        <v>I</v>
      </c>
      <c r="M331" s="2" t="n">
        <f aca="false">IFERROR(INDEX(Query_Source_View!$V:$V,MATCH(ROW()-14,Query_Source_View!$Z:$Z,0)),"")</f>
        <v>4</v>
      </c>
      <c r="N331" s="2" t="str">
        <f aca="false">IFERROR(INDEX(Query_Source_View!$W:$W,MATCH(ROW()-14,Query_Source_View!$Z:$Z,0)),"")</f>
        <v>Verified From Official Source</v>
      </c>
      <c r="O331" s="2" t="str">
        <f aca="false">IFERROR(INDEX(Query_Source_View!$X:$X,MATCH(ROW()-14,Query_Source_View!$Z:$Z,0)),"")</f>
        <v>https://www.winsornewton.com/pages/professional-acrylic-colour</v>
      </c>
    </row>
    <row r="332" customFormat="false" ht="46.25" hidden="false" customHeight="false" outlineLevel="0" collapsed="false">
      <c r="A332" s="2" t="str">
        <f aca="false">IFERROR(INDEX(Query_Source_View!$A:$A,MATCH(ROW()-14,Query_Source_View!$Z:$Z,0)),"")</f>
        <v>PNT000251</v>
      </c>
      <c r="B332" s="2" t="str">
        <f aca="false">IFERROR(INDEX(Query_Source_View!$D:$D,MATCH(ROW()-14,Query_Source_View!$Z:$Z,0)),"")</f>
        <v>Winsor And Newton</v>
      </c>
      <c r="C332" s="2" t="str">
        <f aca="false">IFERROR(INDEX(Query_Source_View!$F:$F,MATCH(ROW()-14,Query_Source_View!$Z:$Z,0)),"")</f>
        <v>Acrylic</v>
      </c>
      <c r="D332" s="2" t="str">
        <f aca="false">IFERROR(INDEX(Query_Source_View!$H:$H,MATCH(ROW()-14,Query_Source_View!$Z:$Z,0)),"")</f>
        <v>Professional Acrylic</v>
      </c>
      <c r="E332" s="2" t="str">
        <f aca="false">IFERROR(INDEX(Query_Source_View!$J:$J,MATCH(ROW()-14,Query_Source_View!$Z:$Z,0)),"")</f>
        <v>Cobalt Green Deep</v>
      </c>
      <c r="F332" s="2" t="str">
        <f aca="false">IFERROR(INDEX(Query_Source_View!$L:$L,MATCH(ROW()-14,Query_Source_View!$Z:$Z,0)),"")</f>
        <v>Blue</v>
      </c>
      <c r="G332" s="2" t="str">
        <f aca="false">IFERROR(INDEX(Query_Source_View!$N:$N,MATCH(ROW()-14,Query_Source_View!$Z:$Z,0)),"")</f>
        <v>PG26</v>
      </c>
      <c r="H332" s="2" t="n">
        <f aca="false">IFERROR(INDEX(Query_Source_View!$P:$P,MATCH(ROW()-14,Query_Source_View!$Z:$Z,0)),"")</f>
        <v>1</v>
      </c>
      <c r="I332" s="2" t="str">
        <f aca="false">IFERROR(INDEX(Query_Source_View!$Q:$Q,MATCH(ROW()-14,Query_Source_View!$Z:$Z,0)),"")</f>
        <v>Yes</v>
      </c>
      <c r="J332" s="2" t="str">
        <f aca="false">IFERROR(INDEX(Query_Source_View!$R:$R,MATCH(ROW()-14,Query_Source_View!$Z:$Z,0)),"")</f>
        <v>Semi Opaque</v>
      </c>
      <c r="K332" s="2" t="str">
        <f aca="false">IFERROR(INDEX(Query_Source_View!$T:$T,MATCH(ROW()-14,Query_Source_View!$Z:$Z,0)),"")</f>
        <v>Extremely Permanent</v>
      </c>
      <c r="L332" s="2" t="str">
        <f aca="false">IFERROR(INDEX(Query_Source_View!$U:$U,MATCH(ROW()-14,Query_Source_View!$Z:$Z,0)),"")</f>
        <v>I</v>
      </c>
      <c r="M332" s="2" t="n">
        <f aca="false">IFERROR(INDEX(Query_Source_View!$V:$V,MATCH(ROW()-14,Query_Source_View!$Z:$Z,0)),"")</f>
        <v>3</v>
      </c>
      <c r="N332" s="2" t="str">
        <f aca="false">IFERROR(INDEX(Query_Source_View!$W:$W,MATCH(ROW()-14,Query_Source_View!$Z:$Z,0)),"")</f>
        <v>Verified From Official Source</v>
      </c>
      <c r="O332" s="2" t="str">
        <f aca="false">IFERROR(INDEX(Query_Source_View!$X:$X,MATCH(ROW()-14,Query_Source_View!$Z:$Z,0)),"")</f>
        <v>https://www.winsornewton.com/pages/professional-acrylic-colour</v>
      </c>
    </row>
    <row r="333" customFormat="false" ht="46.25" hidden="false" customHeight="false" outlineLevel="0" collapsed="false">
      <c r="A333" s="2" t="str">
        <f aca="false">IFERROR(INDEX(Query_Source_View!$A:$A,MATCH(ROW()-14,Query_Source_View!$Z:$Z,0)),"")</f>
        <v>PNT000252</v>
      </c>
      <c r="B333" s="2" t="str">
        <f aca="false">IFERROR(INDEX(Query_Source_View!$D:$D,MATCH(ROW()-14,Query_Source_View!$Z:$Z,0)),"")</f>
        <v>Winsor And Newton</v>
      </c>
      <c r="C333" s="2" t="str">
        <f aca="false">IFERROR(INDEX(Query_Source_View!$F:$F,MATCH(ROW()-14,Query_Source_View!$Z:$Z,0)),"")</f>
        <v>Acrylic</v>
      </c>
      <c r="D333" s="2" t="str">
        <f aca="false">IFERROR(INDEX(Query_Source_View!$H:$H,MATCH(ROW()-14,Query_Source_View!$Z:$Z,0)),"")</f>
        <v>Professional Acrylic</v>
      </c>
      <c r="E333" s="2" t="str">
        <f aca="false">IFERROR(INDEX(Query_Source_View!$J:$J,MATCH(ROW()-14,Query_Source_View!$Z:$Z,0)),"")</f>
        <v>Chromium Oxide Green</v>
      </c>
      <c r="F333" s="2" t="str">
        <f aca="false">IFERROR(INDEX(Query_Source_View!$L:$L,MATCH(ROW()-14,Query_Source_View!$Z:$Z,0)),"")</f>
        <v>Green</v>
      </c>
      <c r="G333" s="2" t="str">
        <f aca="false">IFERROR(INDEX(Query_Source_View!$N:$N,MATCH(ROW()-14,Query_Source_View!$Z:$Z,0)),"")</f>
        <v>PG17</v>
      </c>
      <c r="H333" s="2" t="n">
        <f aca="false">IFERROR(INDEX(Query_Source_View!$P:$P,MATCH(ROW()-14,Query_Source_View!$Z:$Z,0)),"")</f>
        <v>1</v>
      </c>
      <c r="I333" s="2" t="str">
        <f aca="false">IFERROR(INDEX(Query_Source_View!$Q:$Q,MATCH(ROW()-14,Query_Source_View!$Z:$Z,0)),"")</f>
        <v>Yes</v>
      </c>
      <c r="J333" s="2" t="str">
        <f aca="false">IFERROR(INDEX(Query_Source_View!$R:$R,MATCH(ROW()-14,Query_Source_View!$Z:$Z,0)),"")</f>
        <v>Opaque</v>
      </c>
      <c r="K333" s="2" t="str">
        <f aca="false">IFERROR(INDEX(Query_Source_View!$T:$T,MATCH(ROW()-14,Query_Source_View!$Z:$Z,0)),"")</f>
        <v>Extremely Permanent</v>
      </c>
      <c r="L333" s="2" t="str">
        <f aca="false">IFERROR(INDEX(Query_Source_View!$U:$U,MATCH(ROW()-14,Query_Source_View!$Z:$Z,0)),"")</f>
        <v>I</v>
      </c>
      <c r="M333" s="2" t="n">
        <f aca="false">IFERROR(INDEX(Query_Source_View!$V:$V,MATCH(ROW()-14,Query_Source_View!$Z:$Z,0)),"")</f>
        <v>3</v>
      </c>
      <c r="N333" s="2" t="str">
        <f aca="false">IFERROR(INDEX(Query_Source_View!$W:$W,MATCH(ROW()-14,Query_Source_View!$Z:$Z,0)),"")</f>
        <v>Verified From Official Source</v>
      </c>
      <c r="O333" s="2" t="str">
        <f aca="false">IFERROR(INDEX(Query_Source_View!$X:$X,MATCH(ROW()-14,Query_Source_View!$Z:$Z,0)),"")</f>
        <v>https://www.winsornewton.com/pages/professional-acrylic-colour</v>
      </c>
    </row>
    <row r="334" customFormat="false" ht="46.25" hidden="false" customHeight="false" outlineLevel="0" collapsed="false">
      <c r="A334" s="2" t="str">
        <f aca="false">IFERROR(INDEX(Query_Source_View!$A:$A,MATCH(ROW()-14,Query_Source_View!$Z:$Z,0)),"")</f>
        <v>PNT000253</v>
      </c>
      <c r="B334" s="2" t="str">
        <f aca="false">IFERROR(INDEX(Query_Source_View!$D:$D,MATCH(ROW()-14,Query_Source_View!$Z:$Z,0)),"")</f>
        <v>Winsor And Newton</v>
      </c>
      <c r="C334" s="2" t="str">
        <f aca="false">IFERROR(INDEX(Query_Source_View!$F:$F,MATCH(ROW()-14,Query_Source_View!$Z:$Z,0)),"")</f>
        <v>Acrylic</v>
      </c>
      <c r="D334" s="2" t="str">
        <f aca="false">IFERROR(INDEX(Query_Source_View!$H:$H,MATCH(ROW()-14,Query_Source_View!$Z:$Z,0)),"")</f>
        <v>Professional Acrylic</v>
      </c>
      <c r="E334" s="2" t="str">
        <f aca="false">IFERROR(INDEX(Query_Source_View!$J:$J,MATCH(ROW()-14,Query_Source_View!$Z:$Z,0)),"")</f>
        <v>Hooker’s Green</v>
      </c>
      <c r="F334" s="2" t="str">
        <f aca="false">IFERROR(INDEX(Query_Source_View!$L:$L,MATCH(ROW()-14,Query_Source_View!$Z:$Z,0)),"")</f>
        <v>Green</v>
      </c>
      <c r="G334" s="2" t="str">
        <f aca="false">IFERROR(INDEX(Query_Source_View!$N:$N,MATCH(ROW()-14,Query_Source_View!$Z:$Z,0)),"")</f>
        <v>PG36</v>
      </c>
      <c r="H334" s="2" t="n">
        <f aca="false">IFERROR(INDEX(Query_Source_View!$P:$P,MATCH(ROW()-14,Query_Source_View!$Z:$Z,0)),"")</f>
        <v>2</v>
      </c>
      <c r="I334" s="2" t="str">
        <f aca="false">IFERROR(INDEX(Query_Source_View!$Q:$Q,MATCH(ROW()-14,Query_Source_View!$Z:$Z,0)),"")</f>
        <v>No</v>
      </c>
      <c r="J334" s="2" t="str">
        <f aca="false">IFERROR(INDEX(Query_Source_View!$R:$R,MATCH(ROW()-14,Query_Source_View!$Z:$Z,0)),"")</f>
        <v>Transparent</v>
      </c>
      <c r="K334" s="2" t="str">
        <f aca="false">IFERROR(INDEX(Query_Source_View!$T:$T,MATCH(ROW()-14,Query_Source_View!$Z:$Z,0)),"")</f>
        <v>Permanent</v>
      </c>
      <c r="L334" s="2" t="str">
        <f aca="false">IFERROR(INDEX(Query_Source_View!$U:$U,MATCH(ROW()-14,Query_Source_View!$Z:$Z,0)),"")</f>
        <v>N/A</v>
      </c>
      <c r="M334" s="2" t="n">
        <f aca="false">IFERROR(INDEX(Query_Source_View!$V:$V,MATCH(ROW()-14,Query_Source_View!$Z:$Z,0)),"")</f>
        <v>3</v>
      </c>
      <c r="N334" s="2" t="str">
        <f aca="false">IFERROR(INDEX(Query_Source_View!$W:$W,MATCH(ROW()-14,Query_Source_View!$Z:$Z,0)),"")</f>
        <v>Verified From Official Source</v>
      </c>
      <c r="O334" s="2" t="str">
        <f aca="false">IFERROR(INDEX(Query_Source_View!$X:$X,MATCH(ROW()-14,Query_Source_View!$Z:$Z,0)),"")</f>
        <v>https://www.winsornewton.com/pages/professional-acrylic-colour</v>
      </c>
    </row>
    <row r="335" customFormat="false" ht="46.25" hidden="false" customHeight="false" outlineLevel="0" collapsed="false">
      <c r="A335" s="2" t="str">
        <f aca="false">IFERROR(INDEX(Query_Source_View!$A:$A,MATCH(ROW()-14,Query_Source_View!$Z:$Z,0)),"")</f>
        <v>PNT000253</v>
      </c>
      <c r="B335" s="2" t="str">
        <f aca="false">IFERROR(INDEX(Query_Source_View!$D:$D,MATCH(ROW()-14,Query_Source_View!$Z:$Z,0)),"")</f>
        <v>Winsor And Newton</v>
      </c>
      <c r="C335" s="2" t="str">
        <f aca="false">IFERROR(INDEX(Query_Source_View!$F:$F,MATCH(ROW()-14,Query_Source_View!$Z:$Z,0)),"")</f>
        <v>Acrylic</v>
      </c>
      <c r="D335" s="2" t="str">
        <f aca="false">IFERROR(INDEX(Query_Source_View!$H:$H,MATCH(ROW()-14,Query_Source_View!$Z:$Z,0)),"")</f>
        <v>Professional Acrylic</v>
      </c>
      <c r="E335" s="2" t="str">
        <f aca="false">IFERROR(INDEX(Query_Source_View!$J:$J,MATCH(ROW()-14,Query_Source_View!$Z:$Z,0)),"")</f>
        <v>Hooker’s Green</v>
      </c>
      <c r="F335" s="2" t="str">
        <f aca="false">IFERROR(INDEX(Query_Source_View!$L:$L,MATCH(ROW()-14,Query_Source_View!$Z:$Z,0)),"")</f>
        <v>Green</v>
      </c>
      <c r="G335" s="2" t="str">
        <f aca="false">IFERROR(INDEX(Query_Source_View!$N:$N,MATCH(ROW()-14,Query_Source_View!$Z:$Z,0)),"")</f>
        <v>PY110</v>
      </c>
      <c r="H335" s="2" t="n">
        <f aca="false">IFERROR(INDEX(Query_Source_View!$P:$P,MATCH(ROW()-14,Query_Source_View!$Z:$Z,0)),"")</f>
        <v>2</v>
      </c>
      <c r="I335" s="2" t="str">
        <f aca="false">IFERROR(INDEX(Query_Source_View!$Q:$Q,MATCH(ROW()-14,Query_Source_View!$Z:$Z,0)),"")</f>
        <v>No</v>
      </c>
      <c r="J335" s="2" t="str">
        <f aca="false">IFERROR(INDEX(Query_Source_View!$R:$R,MATCH(ROW()-14,Query_Source_View!$Z:$Z,0)),"")</f>
        <v>Transparent</v>
      </c>
      <c r="K335" s="2" t="str">
        <f aca="false">IFERROR(INDEX(Query_Source_View!$T:$T,MATCH(ROW()-14,Query_Source_View!$Z:$Z,0)),"")</f>
        <v>Permanent</v>
      </c>
      <c r="L335" s="2" t="str">
        <f aca="false">IFERROR(INDEX(Query_Source_View!$U:$U,MATCH(ROW()-14,Query_Source_View!$Z:$Z,0)),"")</f>
        <v>N/A</v>
      </c>
      <c r="M335" s="2" t="n">
        <f aca="false">IFERROR(INDEX(Query_Source_View!$V:$V,MATCH(ROW()-14,Query_Source_View!$Z:$Z,0)),"")</f>
        <v>3</v>
      </c>
      <c r="N335" s="2" t="str">
        <f aca="false">IFERROR(INDEX(Query_Source_View!$W:$W,MATCH(ROW()-14,Query_Source_View!$Z:$Z,0)),"")</f>
        <v>Verified From Official Source</v>
      </c>
      <c r="O335" s="2" t="str">
        <f aca="false">IFERROR(INDEX(Query_Source_View!$X:$X,MATCH(ROW()-14,Query_Source_View!$Z:$Z,0)),"")</f>
        <v>https://www.winsornewton.com/pages/professional-acrylic-colour</v>
      </c>
    </row>
    <row r="336" customFormat="false" ht="46.25" hidden="false" customHeight="false" outlineLevel="0" collapsed="false">
      <c r="A336" s="2" t="str">
        <f aca="false">IFERROR(INDEX(Query_Source_View!$A:$A,MATCH(ROW()-14,Query_Source_View!$Z:$Z,0)),"")</f>
        <v>PNT000254</v>
      </c>
      <c r="B336" s="2" t="str">
        <f aca="false">IFERROR(INDEX(Query_Source_View!$D:$D,MATCH(ROW()-14,Query_Source_View!$Z:$Z,0)),"")</f>
        <v>Winsor And Newton</v>
      </c>
      <c r="C336" s="2" t="str">
        <f aca="false">IFERROR(INDEX(Query_Source_View!$F:$F,MATCH(ROW()-14,Query_Source_View!$Z:$Z,0)),"")</f>
        <v>Acrylic</v>
      </c>
      <c r="D336" s="2" t="str">
        <f aca="false">IFERROR(INDEX(Query_Source_View!$H:$H,MATCH(ROW()-14,Query_Source_View!$Z:$Z,0)),"")</f>
        <v>Professional Acrylic</v>
      </c>
      <c r="E336" s="2" t="str">
        <f aca="false">IFERROR(INDEX(Query_Source_View!$J:$J,MATCH(ROW()-14,Query_Source_View!$Z:$Z,0)),"")</f>
        <v>Perylene Green</v>
      </c>
      <c r="F336" s="2" t="str">
        <f aca="false">IFERROR(INDEX(Query_Source_View!$L:$L,MATCH(ROW()-14,Query_Source_View!$Z:$Z,0)),"")</f>
        <v>Green</v>
      </c>
      <c r="G336" s="2" t="str">
        <f aca="false">IFERROR(INDEX(Query_Source_View!$N:$N,MATCH(ROW()-14,Query_Source_View!$Z:$Z,0)),"")</f>
        <v>PBk31</v>
      </c>
      <c r="H336" s="2" t="n">
        <f aca="false">IFERROR(INDEX(Query_Source_View!$P:$P,MATCH(ROW()-14,Query_Source_View!$Z:$Z,0)),"")</f>
        <v>1</v>
      </c>
      <c r="I336" s="2" t="str">
        <f aca="false">IFERROR(INDEX(Query_Source_View!$Q:$Q,MATCH(ROW()-14,Query_Source_View!$Z:$Z,0)),"")</f>
        <v>Yes</v>
      </c>
      <c r="J336" s="2" t="str">
        <f aca="false">IFERROR(INDEX(Query_Source_View!$R:$R,MATCH(ROW()-14,Query_Source_View!$Z:$Z,0)),"")</f>
        <v>Semi Transparent</v>
      </c>
      <c r="K336" s="2" t="str">
        <f aca="false">IFERROR(INDEX(Query_Source_View!$T:$T,MATCH(ROW()-14,Query_Source_View!$Z:$Z,0)),"")</f>
        <v>Permanent</v>
      </c>
      <c r="L336" s="2" t="str">
        <f aca="false">IFERROR(INDEX(Query_Source_View!$U:$U,MATCH(ROW()-14,Query_Source_View!$Z:$Z,0)),"")</f>
        <v>N/A</v>
      </c>
      <c r="M336" s="2" t="n">
        <f aca="false">IFERROR(INDEX(Query_Source_View!$V:$V,MATCH(ROW()-14,Query_Source_View!$Z:$Z,0)),"")</f>
        <v>4</v>
      </c>
      <c r="N336" s="2" t="str">
        <f aca="false">IFERROR(INDEX(Query_Source_View!$W:$W,MATCH(ROW()-14,Query_Source_View!$Z:$Z,0)),"")</f>
        <v>Verified From Official Source</v>
      </c>
      <c r="O336" s="2" t="str">
        <f aca="false">IFERROR(INDEX(Query_Source_View!$X:$X,MATCH(ROW()-14,Query_Source_View!$Z:$Z,0)),"")</f>
        <v>https://www.winsornewton.com/pages/professional-acrylic-colour</v>
      </c>
    </row>
    <row r="337" customFormat="false" ht="46.25" hidden="false" customHeight="false" outlineLevel="0" collapsed="false">
      <c r="A337" s="2" t="str">
        <f aca="false">IFERROR(INDEX(Query_Source_View!$A:$A,MATCH(ROW()-14,Query_Source_View!$Z:$Z,0)),"")</f>
        <v>PNT000255</v>
      </c>
      <c r="B337" s="2" t="str">
        <f aca="false">IFERROR(INDEX(Query_Source_View!$D:$D,MATCH(ROW()-14,Query_Source_View!$Z:$Z,0)),"")</f>
        <v>Winsor And Newton</v>
      </c>
      <c r="C337" s="2" t="str">
        <f aca="false">IFERROR(INDEX(Query_Source_View!$F:$F,MATCH(ROW()-14,Query_Source_View!$Z:$Z,0)),"")</f>
        <v>Acrylic</v>
      </c>
      <c r="D337" s="2" t="str">
        <f aca="false">IFERROR(INDEX(Query_Source_View!$H:$H,MATCH(ROW()-14,Query_Source_View!$Z:$Z,0)),"")</f>
        <v>Professional Acrylic</v>
      </c>
      <c r="E337" s="2" t="str">
        <f aca="false">IFERROR(INDEX(Query_Source_View!$J:$J,MATCH(ROW()-14,Query_Source_View!$Z:$Z,0)),"")</f>
        <v>Permanent Sap Green</v>
      </c>
      <c r="F337" s="2" t="str">
        <f aca="false">IFERROR(INDEX(Query_Source_View!$L:$L,MATCH(ROW()-14,Query_Source_View!$Z:$Z,0)),"")</f>
        <v>Green</v>
      </c>
      <c r="G337" s="2" t="str">
        <f aca="false">IFERROR(INDEX(Query_Source_View!$N:$N,MATCH(ROW()-14,Query_Source_View!$Z:$Z,0)),"")</f>
        <v>PB15:3</v>
      </c>
      <c r="H337" s="2" t="n">
        <f aca="false">IFERROR(INDEX(Query_Source_View!$P:$P,MATCH(ROW()-14,Query_Source_View!$Z:$Z,0)),"")</f>
        <v>3</v>
      </c>
      <c r="I337" s="2" t="str">
        <f aca="false">IFERROR(INDEX(Query_Source_View!$Q:$Q,MATCH(ROW()-14,Query_Source_View!$Z:$Z,0)),"")</f>
        <v>No</v>
      </c>
      <c r="J337" s="2" t="str">
        <f aca="false">IFERROR(INDEX(Query_Source_View!$R:$R,MATCH(ROW()-14,Query_Source_View!$Z:$Z,0)),"")</f>
        <v>Transparent</v>
      </c>
      <c r="K337" s="2" t="str">
        <f aca="false">IFERROR(INDEX(Query_Source_View!$T:$T,MATCH(ROW()-14,Query_Source_View!$Z:$Z,0)),"")</f>
        <v>Permanent</v>
      </c>
      <c r="L337" s="2" t="str">
        <f aca="false">IFERROR(INDEX(Query_Source_View!$U:$U,MATCH(ROW()-14,Query_Source_View!$Z:$Z,0)),"")</f>
        <v>I</v>
      </c>
      <c r="M337" s="2" t="n">
        <f aca="false">IFERROR(INDEX(Query_Source_View!$V:$V,MATCH(ROW()-14,Query_Source_View!$Z:$Z,0)),"")</f>
        <v>3</v>
      </c>
      <c r="N337" s="2" t="str">
        <f aca="false">IFERROR(INDEX(Query_Source_View!$W:$W,MATCH(ROW()-14,Query_Source_View!$Z:$Z,0)),"")</f>
        <v>Verified From Official Source</v>
      </c>
      <c r="O337" s="2" t="str">
        <f aca="false">IFERROR(INDEX(Query_Source_View!$X:$X,MATCH(ROW()-14,Query_Source_View!$Z:$Z,0)),"")</f>
        <v>https://www.winsornewton.com/pages/professional-acrylic-colour</v>
      </c>
    </row>
    <row r="338" customFormat="false" ht="46.25" hidden="false" customHeight="false" outlineLevel="0" collapsed="false">
      <c r="A338" s="2" t="str">
        <f aca="false">IFERROR(INDEX(Query_Source_View!$A:$A,MATCH(ROW()-14,Query_Source_View!$Z:$Z,0)),"")</f>
        <v>PNT000255</v>
      </c>
      <c r="B338" s="2" t="str">
        <f aca="false">IFERROR(INDEX(Query_Source_View!$D:$D,MATCH(ROW()-14,Query_Source_View!$Z:$Z,0)),"")</f>
        <v>Winsor And Newton</v>
      </c>
      <c r="C338" s="2" t="str">
        <f aca="false">IFERROR(INDEX(Query_Source_View!$F:$F,MATCH(ROW()-14,Query_Source_View!$Z:$Z,0)),"")</f>
        <v>Acrylic</v>
      </c>
      <c r="D338" s="2" t="str">
        <f aca="false">IFERROR(INDEX(Query_Source_View!$H:$H,MATCH(ROW()-14,Query_Source_View!$Z:$Z,0)),"")</f>
        <v>Professional Acrylic</v>
      </c>
      <c r="E338" s="2" t="str">
        <f aca="false">IFERROR(INDEX(Query_Source_View!$J:$J,MATCH(ROW()-14,Query_Source_View!$Z:$Z,0)),"")</f>
        <v>Permanent Sap Green</v>
      </c>
      <c r="F338" s="2" t="str">
        <f aca="false">IFERROR(INDEX(Query_Source_View!$L:$L,MATCH(ROW()-14,Query_Source_View!$Z:$Z,0)),"")</f>
        <v>Green</v>
      </c>
      <c r="G338" s="2" t="str">
        <f aca="false">IFERROR(INDEX(Query_Source_View!$N:$N,MATCH(ROW()-14,Query_Source_View!$Z:$Z,0)),"")</f>
        <v>PBk9</v>
      </c>
      <c r="H338" s="2" t="n">
        <f aca="false">IFERROR(INDEX(Query_Source_View!$P:$P,MATCH(ROW()-14,Query_Source_View!$Z:$Z,0)),"")</f>
        <v>3</v>
      </c>
      <c r="I338" s="2" t="str">
        <f aca="false">IFERROR(INDEX(Query_Source_View!$Q:$Q,MATCH(ROW()-14,Query_Source_View!$Z:$Z,0)),"")</f>
        <v>No</v>
      </c>
      <c r="J338" s="2" t="str">
        <f aca="false">IFERROR(INDEX(Query_Source_View!$R:$R,MATCH(ROW()-14,Query_Source_View!$Z:$Z,0)),"")</f>
        <v>Transparent</v>
      </c>
      <c r="K338" s="2" t="str">
        <f aca="false">IFERROR(INDEX(Query_Source_View!$T:$T,MATCH(ROW()-14,Query_Source_View!$Z:$Z,0)),"")</f>
        <v>Permanent</v>
      </c>
      <c r="L338" s="2" t="str">
        <f aca="false">IFERROR(INDEX(Query_Source_View!$U:$U,MATCH(ROW()-14,Query_Source_View!$Z:$Z,0)),"")</f>
        <v>I</v>
      </c>
      <c r="M338" s="2" t="n">
        <f aca="false">IFERROR(INDEX(Query_Source_View!$V:$V,MATCH(ROW()-14,Query_Source_View!$Z:$Z,0)),"")</f>
        <v>3</v>
      </c>
      <c r="N338" s="2" t="str">
        <f aca="false">IFERROR(INDEX(Query_Source_View!$W:$W,MATCH(ROW()-14,Query_Source_View!$Z:$Z,0)),"")</f>
        <v>Verified From Official Source</v>
      </c>
      <c r="O338" s="2" t="str">
        <f aca="false">IFERROR(INDEX(Query_Source_View!$X:$X,MATCH(ROW()-14,Query_Source_View!$Z:$Z,0)),"")</f>
        <v>https://www.winsornewton.com/pages/professional-acrylic-colour</v>
      </c>
    </row>
    <row r="339" customFormat="false" ht="46.25" hidden="false" customHeight="false" outlineLevel="0" collapsed="false">
      <c r="A339" s="2" t="str">
        <f aca="false">IFERROR(INDEX(Query_Source_View!$A:$A,MATCH(ROW()-14,Query_Source_View!$Z:$Z,0)),"")</f>
        <v>PNT000255</v>
      </c>
      <c r="B339" s="2" t="str">
        <f aca="false">IFERROR(INDEX(Query_Source_View!$D:$D,MATCH(ROW()-14,Query_Source_View!$Z:$Z,0)),"")</f>
        <v>Winsor And Newton</v>
      </c>
      <c r="C339" s="2" t="str">
        <f aca="false">IFERROR(INDEX(Query_Source_View!$F:$F,MATCH(ROW()-14,Query_Source_View!$Z:$Z,0)),"")</f>
        <v>Acrylic</v>
      </c>
      <c r="D339" s="2" t="str">
        <f aca="false">IFERROR(INDEX(Query_Source_View!$H:$H,MATCH(ROW()-14,Query_Source_View!$Z:$Z,0)),"")</f>
        <v>Professional Acrylic</v>
      </c>
      <c r="E339" s="2" t="str">
        <f aca="false">IFERROR(INDEX(Query_Source_View!$J:$J,MATCH(ROW()-14,Query_Source_View!$Z:$Z,0)),"")</f>
        <v>Permanent Sap Green</v>
      </c>
      <c r="F339" s="2" t="str">
        <f aca="false">IFERROR(INDEX(Query_Source_View!$L:$L,MATCH(ROW()-14,Query_Source_View!$Z:$Z,0)),"")</f>
        <v>Green</v>
      </c>
      <c r="G339" s="2" t="str">
        <f aca="false">IFERROR(INDEX(Query_Source_View!$N:$N,MATCH(ROW()-14,Query_Source_View!$Z:$Z,0)),"")</f>
        <v>PY83</v>
      </c>
      <c r="H339" s="2" t="n">
        <f aca="false">IFERROR(INDEX(Query_Source_View!$P:$P,MATCH(ROW()-14,Query_Source_View!$Z:$Z,0)),"")</f>
        <v>3</v>
      </c>
      <c r="I339" s="2" t="str">
        <f aca="false">IFERROR(INDEX(Query_Source_View!$Q:$Q,MATCH(ROW()-14,Query_Source_View!$Z:$Z,0)),"")</f>
        <v>No</v>
      </c>
      <c r="J339" s="2" t="str">
        <f aca="false">IFERROR(INDEX(Query_Source_View!$R:$R,MATCH(ROW()-14,Query_Source_View!$Z:$Z,0)),"")</f>
        <v>Transparent</v>
      </c>
      <c r="K339" s="2" t="str">
        <f aca="false">IFERROR(INDEX(Query_Source_View!$T:$T,MATCH(ROW()-14,Query_Source_View!$Z:$Z,0)),"")</f>
        <v>Permanent</v>
      </c>
      <c r="L339" s="2" t="str">
        <f aca="false">IFERROR(INDEX(Query_Source_View!$U:$U,MATCH(ROW()-14,Query_Source_View!$Z:$Z,0)),"")</f>
        <v>I</v>
      </c>
      <c r="M339" s="2" t="n">
        <f aca="false">IFERROR(INDEX(Query_Source_View!$V:$V,MATCH(ROW()-14,Query_Source_View!$Z:$Z,0)),"")</f>
        <v>3</v>
      </c>
      <c r="N339" s="2" t="str">
        <f aca="false">IFERROR(INDEX(Query_Source_View!$W:$W,MATCH(ROW()-14,Query_Source_View!$Z:$Z,0)),"")</f>
        <v>Verified From Official Source</v>
      </c>
      <c r="O339" s="2" t="str">
        <f aca="false">IFERROR(INDEX(Query_Source_View!$X:$X,MATCH(ROW()-14,Query_Source_View!$Z:$Z,0)),"")</f>
        <v>https://www.winsornewton.com/pages/professional-acrylic-colour</v>
      </c>
    </row>
    <row r="340" customFormat="false" ht="46.25" hidden="false" customHeight="false" outlineLevel="0" collapsed="false">
      <c r="A340" s="2" t="str">
        <f aca="false">IFERROR(INDEX(Query_Source_View!$A:$A,MATCH(ROW()-14,Query_Source_View!$Z:$Z,0)),"")</f>
        <v>PNT000256</v>
      </c>
      <c r="B340" s="2" t="str">
        <f aca="false">IFERROR(INDEX(Query_Source_View!$D:$D,MATCH(ROW()-14,Query_Source_View!$Z:$Z,0)),"")</f>
        <v>Winsor And Newton</v>
      </c>
      <c r="C340" s="2" t="str">
        <f aca="false">IFERROR(INDEX(Query_Source_View!$F:$F,MATCH(ROW()-14,Query_Source_View!$Z:$Z,0)),"")</f>
        <v>Acrylic</v>
      </c>
      <c r="D340" s="2" t="str">
        <f aca="false">IFERROR(INDEX(Query_Source_View!$H:$H,MATCH(ROW()-14,Query_Source_View!$Z:$Z,0)),"")</f>
        <v>Professional Acrylic</v>
      </c>
      <c r="E340" s="2" t="str">
        <f aca="false">IFERROR(INDEX(Query_Source_View!$J:$J,MATCH(ROW()-14,Query_Source_View!$Z:$Z,0)),"")</f>
        <v>Pyrrole Red Light</v>
      </c>
      <c r="F340" s="2" t="str">
        <f aca="false">IFERROR(INDEX(Query_Source_View!$L:$L,MATCH(ROW()-14,Query_Source_View!$Z:$Z,0)),"")</f>
        <v>Red</v>
      </c>
      <c r="G340" s="2" t="str">
        <f aca="false">IFERROR(INDEX(Query_Source_View!$N:$N,MATCH(ROW()-14,Query_Source_View!$Z:$Z,0)),"")</f>
        <v>PR255</v>
      </c>
      <c r="H340" s="2" t="n">
        <f aca="false">IFERROR(INDEX(Query_Source_View!$P:$P,MATCH(ROW()-14,Query_Source_View!$Z:$Z,0)),"")</f>
        <v>1</v>
      </c>
      <c r="I340" s="2" t="str">
        <f aca="false">IFERROR(INDEX(Query_Source_View!$Q:$Q,MATCH(ROW()-14,Query_Source_View!$Z:$Z,0)),"")</f>
        <v>Yes</v>
      </c>
      <c r="J340" s="2" t="str">
        <f aca="false">IFERROR(INDEX(Query_Source_View!$R:$R,MATCH(ROW()-14,Query_Source_View!$Z:$Z,0)),"")</f>
        <v>Opaque</v>
      </c>
      <c r="K340" s="2" t="str">
        <f aca="false">IFERROR(INDEX(Query_Source_View!$T:$T,MATCH(ROW()-14,Query_Source_View!$Z:$Z,0)),"")</f>
        <v>Permanent</v>
      </c>
      <c r="L340" s="2" t="str">
        <f aca="false">IFERROR(INDEX(Query_Source_View!$U:$U,MATCH(ROW()-14,Query_Source_View!$Z:$Z,0)),"")</f>
        <v>I</v>
      </c>
      <c r="M340" s="2" t="n">
        <f aca="false">IFERROR(INDEX(Query_Source_View!$V:$V,MATCH(ROW()-14,Query_Source_View!$Z:$Z,0)),"")</f>
        <v>4</v>
      </c>
      <c r="N340" s="2" t="str">
        <f aca="false">IFERROR(INDEX(Query_Source_View!$W:$W,MATCH(ROW()-14,Query_Source_View!$Z:$Z,0)),"")</f>
        <v>Verified From Official Source</v>
      </c>
      <c r="O340" s="2" t="str">
        <f aca="false">IFERROR(INDEX(Query_Source_View!$X:$X,MATCH(ROW()-14,Query_Source_View!$Z:$Z,0)),"")</f>
        <v>https://www.winsornewton.com/pages/professional-acrylic-colour</v>
      </c>
    </row>
    <row r="341" customFormat="false" ht="46.25" hidden="false" customHeight="false" outlineLevel="0" collapsed="false">
      <c r="A341" s="2" t="str">
        <f aca="false">IFERROR(INDEX(Query_Source_View!$A:$A,MATCH(ROW()-14,Query_Source_View!$Z:$Z,0)),"")</f>
        <v>PNT000257</v>
      </c>
      <c r="B341" s="2" t="str">
        <f aca="false">IFERROR(INDEX(Query_Source_View!$D:$D,MATCH(ROW()-14,Query_Source_View!$Z:$Z,0)),"")</f>
        <v>Winsor And Newton</v>
      </c>
      <c r="C341" s="2" t="str">
        <f aca="false">IFERROR(INDEX(Query_Source_View!$F:$F,MATCH(ROW()-14,Query_Source_View!$Z:$Z,0)),"")</f>
        <v>Acrylic</v>
      </c>
      <c r="D341" s="2" t="str">
        <f aca="false">IFERROR(INDEX(Query_Source_View!$H:$H,MATCH(ROW()-14,Query_Source_View!$Z:$Z,0)),"")</f>
        <v>Professional Acrylic</v>
      </c>
      <c r="E341" s="2" t="str">
        <f aca="false">IFERROR(INDEX(Query_Source_View!$J:$J,MATCH(ROW()-14,Query_Source_View!$Z:$Z,0)),"")</f>
        <v>Cadmium Red Medium</v>
      </c>
      <c r="F341" s="2" t="str">
        <f aca="false">IFERROR(INDEX(Query_Source_View!$L:$L,MATCH(ROW()-14,Query_Source_View!$Z:$Z,0)),"")</f>
        <v>Red</v>
      </c>
      <c r="G341" s="2" t="str">
        <f aca="false">IFERROR(INDEX(Query_Source_View!$N:$N,MATCH(ROW()-14,Query_Source_View!$Z:$Z,0)),"")</f>
        <v>PR108</v>
      </c>
      <c r="H341" s="2" t="n">
        <f aca="false">IFERROR(INDEX(Query_Source_View!$P:$P,MATCH(ROW()-14,Query_Source_View!$Z:$Z,0)),"")</f>
        <v>1</v>
      </c>
      <c r="I341" s="2" t="str">
        <f aca="false">IFERROR(INDEX(Query_Source_View!$Q:$Q,MATCH(ROW()-14,Query_Source_View!$Z:$Z,0)),"")</f>
        <v>Yes</v>
      </c>
      <c r="J341" s="2" t="str">
        <f aca="false">IFERROR(INDEX(Query_Source_View!$R:$R,MATCH(ROW()-14,Query_Source_View!$Z:$Z,0)),"")</f>
        <v>Opaque</v>
      </c>
      <c r="K341" s="2" t="str">
        <f aca="false">IFERROR(INDEX(Query_Source_View!$T:$T,MATCH(ROW()-14,Query_Source_View!$Z:$Z,0)),"")</f>
        <v>Permanent</v>
      </c>
      <c r="L341" s="2" t="str">
        <f aca="false">IFERROR(INDEX(Query_Source_View!$U:$U,MATCH(ROW()-14,Query_Source_View!$Z:$Z,0)),"")</f>
        <v>I</v>
      </c>
      <c r="M341" s="2" t="n">
        <f aca="false">IFERROR(INDEX(Query_Source_View!$V:$V,MATCH(ROW()-14,Query_Source_View!$Z:$Z,0)),"")</f>
        <v>3</v>
      </c>
      <c r="N341" s="2" t="str">
        <f aca="false">IFERROR(INDEX(Query_Source_View!$W:$W,MATCH(ROW()-14,Query_Source_View!$Z:$Z,0)),"")</f>
        <v>Verified From Official Source</v>
      </c>
      <c r="O341" s="2" t="str">
        <f aca="false">IFERROR(INDEX(Query_Source_View!$X:$X,MATCH(ROW()-14,Query_Source_View!$Z:$Z,0)),"")</f>
        <v>https://www.winsornewton.com/pages/professional-acrylic-colour</v>
      </c>
    </row>
    <row r="342" customFormat="false" ht="46.25" hidden="false" customHeight="false" outlineLevel="0" collapsed="false">
      <c r="A342" s="2" t="str">
        <f aca="false">IFERROR(INDEX(Query_Source_View!$A:$A,MATCH(ROW()-14,Query_Source_View!$Z:$Z,0)),"")</f>
        <v>PNT000258</v>
      </c>
      <c r="B342" s="2" t="str">
        <f aca="false">IFERROR(INDEX(Query_Source_View!$D:$D,MATCH(ROW()-14,Query_Source_View!$Z:$Z,0)),"")</f>
        <v>Winsor And Newton</v>
      </c>
      <c r="C342" s="2" t="str">
        <f aca="false">IFERROR(INDEX(Query_Source_View!$F:$F,MATCH(ROW()-14,Query_Source_View!$Z:$Z,0)),"")</f>
        <v>Acrylic</v>
      </c>
      <c r="D342" s="2" t="str">
        <f aca="false">IFERROR(INDEX(Query_Source_View!$H:$H,MATCH(ROW()-14,Query_Source_View!$Z:$Z,0)),"")</f>
        <v>Professional Acrylic</v>
      </c>
      <c r="E342" s="2" t="str">
        <f aca="false">IFERROR(INDEX(Query_Source_View!$J:$J,MATCH(ROW()-14,Query_Source_View!$Z:$Z,0)),"")</f>
        <v>Naphthol Red Light</v>
      </c>
      <c r="F342" s="2" t="str">
        <f aca="false">IFERROR(INDEX(Query_Source_View!$L:$L,MATCH(ROW()-14,Query_Source_View!$Z:$Z,0)),"")</f>
        <v>Red</v>
      </c>
      <c r="G342" s="2" t="str">
        <f aca="false">IFERROR(INDEX(Query_Source_View!$N:$N,MATCH(ROW()-14,Query_Source_View!$Z:$Z,0)),"")</f>
        <v>PR112</v>
      </c>
      <c r="H342" s="2" t="n">
        <f aca="false">IFERROR(INDEX(Query_Source_View!$P:$P,MATCH(ROW()-14,Query_Source_View!$Z:$Z,0)),"")</f>
        <v>1</v>
      </c>
      <c r="I342" s="2" t="str">
        <f aca="false">IFERROR(INDEX(Query_Source_View!$Q:$Q,MATCH(ROW()-14,Query_Source_View!$Z:$Z,0)),"")</f>
        <v>Yes</v>
      </c>
      <c r="J342" s="2" t="str">
        <f aca="false">IFERROR(INDEX(Query_Source_View!$R:$R,MATCH(ROW()-14,Query_Source_View!$Z:$Z,0)),"")</f>
        <v>Semi Transparent</v>
      </c>
      <c r="K342" s="2" t="str">
        <f aca="false">IFERROR(INDEX(Query_Source_View!$T:$T,MATCH(ROW()-14,Query_Source_View!$Z:$Z,0)),"")</f>
        <v>Permanent</v>
      </c>
      <c r="L342" s="2" t="str">
        <f aca="false">IFERROR(INDEX(Query_Source_View!$U:$U,MATCH(ROW()-14,Query_Source_View!$Z:$Z,0)),"")</f>
        <v>II</v>
      </c>
      <c r="M342" s="2" t="n">
        <f aca="false">IFERROR(INDEX(Query_Source_View!$V:$V,MATCH(ROW()-14,Query_Source_View!$Z:$Z,0)),"")</f>
        <v>2</v>
      </c>
      <c r="N342" s="2" t="str">
        <f aca="false">IFERROR(INDEX(Query_Source_View!$W:$W,MATCH(ROW()-14,Query_Source_View!$Z:$Z,0)),"")</f>
        <v>Verified From Official Source</v>
      </c>
      <c r="O342" s="2" t="str">
        <f aca="false">IFERROR(INDEX(Query_Source_View!$X:$X,MATCH(ROW()-14,Query_Source_View!$Z:$Z,0)),"")</f>
        <v>https://www.winsornewton.com/pages/professional-acrylic-colour</v>
      </c>
    </row>
    <row r="343" customFormat="false" ht="46.25" hidden="false" customHeight="false" outlineLevel="0" collapsed="false">
      <c r="A343" s="2" t="str">
        <f aca="false">IFERROR(INDEX(Query_Source_View!$A:$A,MATCH(ROW()-14,Query_Source_View!$Z:$Z,0)),"")</f>
        <v>PNT000259</v>
      </c>
      <c r="B343" s="2" t="str">
        <f aca="false">IFERROR(INDEX(Query_Source_View!$D:$D,MATCH(ROW()-14,Query_Source_View!$Z:$Z,0)),"")</f>
        <v>Winsor And Newton</v>
      </c>
      <c r="C343" s="2" t="str">
        <f aca="false">IFERROR(INDEX(Query_Source_View!$F:$F,MATCH(ROW()-14,Query_Source_View!$Z:$Z,0)),"")</f>
        <v>Acrylic</v>
      </c>
      <c r="D343" s="2" t="str">
        <f aca="false">IFERROR(INDEX(Query_Source_View!$H:$H,MATCH(ROW()-14,Query_Source_View!$Z:$Z,0)),"")</f>
        <v>Professional Acrylic</v>
      </c>
      <c r="E343" s="2" t="str">
        <f aca="false">IFERROR(INDEX(Query_Source_View!$J:$J,MATCH(ROW()-14,Query_Source_View!$Z:$Z,0)),"")</f>
        <v>Pyrrole Red</v>
      </c>
      <c r="F343" s="2" t="str">
        <f aca="false">IFERROR(INDEX(Query_Source_View!$L:$L,MATCH(ROW()-14,Query_Source_View!$Z:$Z,0)),"")</f>
        <v>Red</v>
      </c>
      <c r="G343" s="2" t="str">
        <f aca="false">IFERROR(INDEX(Query_Source_View!$N:$N,MATCH(ROW()-14,Query_Source_View!$Z:$Z,0)),"")</f>
        <v>PR254</v>
      </c>
      <c r="H343" s="2" t="n">
        <f aca="false">IFERROR(INDEX(Query_Source_View!$P:$P,MATCH(ROW()-14,Query_Source_View!$Z:$Z,0)),"")</f>
        <v>1</v>
      </c>
      <c r="I343" s="2" t="str">
        <f aca="false">IFERROR(INDEX(Query_Source_View!$Q:$Q,MATCH(ROW()-14,Query_Source_View!$Z:$Z,0)),"")</f>
        <v>Yes</v>
      </c>
      <c r="J343" s="2" t="str">
        <f aca="false">IFERROR(INDEX(Query_Source_View!$R:$R,MATCH(ROW()-14,Query_Source_View!$Z:$Z,0)),"")</f>
        <v>Opaque</v>
      </c>
      <c r="K343" s="2" t="str">
        <f aca="false">IFERROR(INDEX(Query_Source_View!$T:$T,MATCH(ROW()-14,Query_Source_View!$Z:$Z,0)),"")</f>
        <v>Permanent</v>
      </c>
      <c r="L343" s="2" t="str">
        <f aca="false">IFERROR(INDEX(Query_Source_View!$U:$U,MATCH(ROW()-14,Query_Source_View!$Z:$Z,0)),"")</f>
        <v>I</v>
      </c>
      <c r="M343" s="2" t="n">
        <f aca="false">IFERROR(INDEX(Query_Source_View!$V:$V,MATCH(ROW()-14,Query_Source_View!$Z:$Z,0)),"")</f>
        <v>4</v>
      </c>
      <c r="N343" s="2" t="str">
        <f aca="false">IFERROR(INDEX(Query_Source_View!$W:$W,MATCH(ROW()-14,Query_Source_View!$Z:$Z,0)),"")</f>
        <v>Verified From Official Source</v>
      </c>
      <c r="O343" s="2" t="str">
        <f aca="false">IFERROR(INDEX(Query_Source_View!$X:$X,MATCH(ROW()-14,Query_Source_View!$Z:$Z,0)),"")</f>
        <v>https://www.winsornewton.com/pages/professional-acrylic-colour</v>
      </c>
    </row>
    <row r="344" customFormat="false" ht="46.25" hidden="false" customHeight="false" outlineLevel="0" collapsed="false">
      <c r="A344" s="2" t="str">
        <f aca="false">IFERROR(INDEX(Query_Source_View!$A:$A,MATCH(ROW()-14,Query_Source_View!$Z:$Z,0)),"")</f>
        <v>PNT000260</v>
      </c>
      <c r="B344" s="2" t="str">
        <f aca="false">IFERROR(INDEX(Query_Source_View!$D:$D,MATCH(ROW()-14,Query_Source_View!$Z:$Z,0)),"")</f>
        <v>Winsor And Newton</v>
      </c>
      <c r="C344" s="2" t="str">
        <f aca="false">IFERROR(INDEX(Query_Source_View!$F:$F,MATCH(ROW()-14,Query_Source_View!$Z:$Z,0)),"")</f>
        <v>Acrylic</v>
      </c>
      <c r="D344" s="2" t="str">
        <f aca="false">IFERROR(INDEX(Query_Source_View!$H:$H,MATCH(ROW()-14,Query_Source_View!$Z:$Z,0)),"")</f>
        <v>Professional Acrylic</v>
      </c>
      <c r="E344" s="2" t="str">
        <f aca="false">IFERROR(INDEX(Query_Source_View!$J:$J,MATCH(ROW()-14,Query_Source_View!$Z:$Z,0)),"")</f>
        <v>Cadmium Red Deep</v>
      </c>
      <c r="F344" s="2" t="str">
        <f aca="false">IFERROR(INDEX(Query_Source_View!$L:$L,MATCH(ROW()-14,Query_Source_View!$Z:$Z,0)),"")</f>
        <v>Red</v>
      </c>
      <c r="G344" s="2" t="str">
        <f aca="false">IFERROR(INDEX(Query_Source_View!$N:$N,MATCH(ROW()-14,Query_Source_View!$Z:$Z,0)),"")</f>
        <v>PR108</v>
      </c>
      <c r="H344" s="2" t="n">
        <f aca="false">IFERROR(INDEX(Query_Source_View!$P:$P,MATCH(ROW()-14,Query_Source_View!$Z:$Z,0)),"")</f>
        <v>1</v>
      </c>
      <c r="I344" s="2" t="str">
        <f aca="false">IFERROR(INDEX(Query_Source_View!$Q:$Q,MATCH(ROW()-14,Query_Source_View!$Z:$Z,0)),"")</f>
        <v>Yes</v>
      </c>
      <c r="J344" s="2" t="str">
        <f aca="false">IFERROR(INDEX(Query_Source_View!$R:$R,MATCH(ROW()-14,Query_Source_View!$Z:$Z,0)),"")</f>
        <v>Opaque</v>
      </c>
      <c r="K344" s="2" t="str">
        <f aca="false">IFERROR(INDEX(Query_Source_View!$T:$T,MATCH(ROW()-14,Query_Source_View!$Z:$Z,0)),"")</f>
        <v>Permanent</v>
      </c>
      <c r="L344" s="2" t="str">
        <f aca="false">IFERROR(INDEX(Query_Source_View!$U:$U,MATCH(ROW()-14,Query_Source_View!$Z:$Z,0)),"")</f>
        <v>I</v>
      </c>
      <c r="M344" s="2" t="n">
        <f aca="false">IFERROR(INDEX(Query_Source_View!$V:$V,MATCH(ROW()-14,Query_Source_View!$Z:$Z,0)),"")</f>
        <v>3</v>
      </c>
      <c r="N344" s="2" t="str">
        <f aca="false">IFERROR(INDEX(Query_Source_View!$W:$W,MATCH(ROW()-14,Query_Source_View!$Z:$Z,0)),"")</f>
        <v>Verified From Official Source</v>
      </c>
      <c r="O344" s="2" t="str">
        <f aca="false">IFERROR(INDEX(Query_Source_View!$X:$X,MATCH(ROW()-14,Query_Source_View!$Z:$Z,0)),"")</f>
        <v>https://www.winsornewton.com/pages/professional-acrylic-colour</v>
      </c>
    </row>
    <row r="345" customFormat="false" ht="46.25" hidden="false" customHeight="false" outlineLevel="0" collapsed="false">
      <c r="A345" s="2" t="str">
        <f aca="false">IFERROR(INDEX(Query_Source_View!$A:$A,MATCH(ROW()-14,Query_Source_View!$Z:$Z,0)),"")</f>
        <v>PNT000261</v>
      </c>
      <c r="B345" s="2" t="str">
        <f aca="false">IFERROR(INDEX(Query_Source_View!$D:$D,MATCH(ROW()-14,Query_Source_View!$Z:$Z,0)),"")</f>
        <v>Winsor And Newton</v>
      </c>
      <c r="C345" s="2" t="str">
        <f aca="false">IFERROR(INDEX(Query_Source_View!$F:$F,MATCH(ROW()-14,Query_Source_View!$Z:$Z,0)),"")</f>
        <v>Acrylic</v>
      </c>
      <c r="D345" s="2" t="str">
        <f aca="false">IFERROR(INDEX(Query_Source_View!$H:$H,MATCH(ROW()-14,Query_Source_View!$Z:$Z,0)),"")</f>
        <v>Professional Acrylic</v>
      </c>
      <c r="E345" s="2" t="str">
        <f aca="false">IFERROR(INDEX(Query_Source_View!$J:$J,MATCH(ROW()-14,Query_Source_View!$Z:$Z,0)),"")</f>
        <v>Quinacridone Red</v>
      </c>
      <c r="F345" s="2" t="str">
        <f aca="false">IFERROR(INDEX(Query_Source_View!$L:$L,MATCH(ROW()-14,Query_Source_View!$Z:$Z,0)),"")</f>
        <v>Red</v>
      </c>
      <c r="G345" s="2" t="str">
        <f aca="false">IFERROR(INDEX(Query_Source_View!$N:$N,MATCH(ROW()-14,Query_Source_View!$Z:$Z,0)),"")</f>
        <v>PR209</v>
      </c>
      <c r="H345" s="2" t="n">
        <f aca="false">IFERROR(INDEX(Query_Source_View!$P:$P,MATCH(ROW()-14,Query_Source_View!$Z:$Z,0)),"")</f>
        <v>1</v>
      </c>
      <c r="I345" s="2" t="str">
        <f aca="false">IFERROR(INDEX(Query_Source_View!$Q:$Q,MATCH(ROW()-14,Query_Source_View!$Z:$Z,0)),"")</f>
        <v>Yes</v>
      </c>
      <c r="J345" s="2" t="str">
        <f aca="false">IFERROR(INDEX(Query_Source_View!$R:$R,MATCH(ROW()-14,Query_Source_View!$Z:$Z,0)),"")</f>
        <v>Transparent</v>
      </c>
      <c r="K345" s="2" t="str">
        <f aca="false">IFERROR(INDEX(Query_Source_View!$T:$T,MATCH(ROW()-14,Query_Source_View!$Z:$Z,0)),"")</f>
        <v>Permanent</v>
      </c>
      <c r="L345" s="2" t="str">
        <f aca="false">IFERROR(INDEX(Query_Source_View!$U:$U,MATCH(ROW()-14,Query_Source_View!$Z:$Z,0)),"")</f>
        <v>I</v>
      </c>
      <c r="M345" s="2" t="n">
        <f aca="false">IFERROR(INDEX(Query_Source_View!$V:$V,MATCH(ROW()-14,Query_Source_View!$Z:$Z,0)),"")</f>
        <v>3</v>
      </c>
      <c r="N345" s="2" t="str">
        <f aca="false">IFERROR(INDEX(Query_Source_View!$W:$W,MATCH(ROW()-14,Query_Source_View!$Z:$Z,0)),"")</f>
        <v>Verified From Official Source</v>
      </c>
      <c r="O345" s="2" t="str">
        <f aca="false">IFERROR(INDEX(Query_Source_View!$X:$X,MATCH(ROW()-14,Query_Source_View!$Z:$Z,0)),"")</f>
        <v>https://www.winsornewton.com/pages/professional-acrylic-colour</v>
      </c>
    </row>
    <row r="346" customFormat="false" ht="46.25" hidden="false" customHeight="false" outlineLevel="0" collapsed="false">
      <c r="A346" s="2" t="str">
        <f aca="false">IFERROR(INDEX(Query_Source_View!$A:$A,MATCH(ROW()-14,Query_Source_View!$Z:$Z,0)),"")</f>
        <v>PNT000262</v>
      </c>
      <c r="B346" s="2" t="str">
        <f aca="false">IFERROR(INDEX(Query_Source_View!$D:$D,MATCH(ROW()-14,Query_Source_View!$Z:$Z,0)),"")</f>
        <v>Winsor And Newton</v>
      </c>
      <c r="C346" s="2" t="str">
        <f aca="false">IFERROR(INDEX(Query_Source_View!$F:$F,MATCH(ROW()-14,Query_Source_View!$Z:$Z,0)),"")</f>
        <v>Acrylic</v>
      </c>
      <c r="D346" s="2" t="str">
        <f aca="false">IFERROR(INDEX(Query_Source_View!$H:$H,MATCH(ROW()-14,Query_Source_View!$Z:$Z,0)),"")</f>
        <v>Professional Acrylic</v>
      </c>
      <c r="E346" s="2" t="str">
        <f aca="false">IFERROR(INDEX(Query_Source_View!$J:$J,MATCH(ROW()-14,Query_Source_View!$Z:$Z,0)),"")</f>
        <v>Perylene Red</v>
      </c>
      <c r="F346" s="2" t="str">
        <f aca="false">IFERROR(INDEX(Query_Source_View!$L:$L,MATCH(ROW()-14,Query_Source_View!$Z:$Z,0)),"")</f>
        <v>Red</v>
      </c>
      <c r="G346" s="2" t="str">
        <f aca="false">IFERROR(INDEX(Query_Source_View!$N:$N,MATCH(ROW()-14,Query_Source_View!$Z:$Z,0)),"")</f>
        <v>PR149</v>
      </c>
      <c r="H346" s="2" t="n">
        <f aca="false">IFERROR(INDEX(Query_Source_View!$P:$P,MATCH(ROW()-14,Query_Source_View!$Z:$Z,0)),"")</f>
        <v>1</v>
      </c>
      <c r="I346" s="2" t="str">
        <f aca="false">IFERROR(INDEX(Query_Source_View!$Q:$Q,MATCH(ROW()-14,Query_Source_View!$Z:$Z,0)),"")</f>
        <v>Yes</v>
      </c>
      <c r="J346" s="2" t="str">
        <f aca="false">IFERROR(INDEX(Query_Source_View!$R:$R,MATCH(ROW()-14,Query_Source_View!$Z:$Z,0)),"")</f>
        <v>Transparent</v>
      </c>
      <c r="K346" s="2" t="str">
        <f aca="false">IFERROR(INDEX(Query_Source_View!$T:$T,MATCH(ROW()-14,Query_Source_View!$Z:$Z,0)),"")</f>
        <v>Permanent</v>
      </c>
      <c r="L346" s="2" t="str">
        <f aca="false">IFERROR(INDEX(Query_Source_View!$U:$U,MATCH(ROW()-14,Query_Source_View!$Z:$Z,0)),"")</f>
        <v>I</v>
      </c>
      <c r="M346" s="2" t="n">
        <f aca="false">IFERROR(INDEX(Query_Source_View!$V:$V,MATCH(ROW()-14,Query_Source_View!$Z:$Z,0)),"")</f>
        <v>4</v>
      </c>
      <c r="N346" s="2" t="str">
        <f aca="false">IFERROR(INDEX(Query_Source_View!$W:$W,MATCH(ROW()-14,Query_Source_View!$Z:$Z,0)),"")</f>
        <v>Verified From Official Source</v>
      </c>
      <c r="O346" s="2" t="str">
        <f aca="false">IFERROR(INDEX(Query_Source_View!$X:$X,MATCH(ROW()-14,Query_Source_View!$Z:$Z,0)),"")</f>
        <v>https://www.winsornewton.com/pages/professional-acrylic-colour</v>
      </c>
    </row>
    <row r="347" customFormat="false" ht="46.25" hidden="false" customHeight="false" outlineLevel="0" collapsed="false">
      <c r="A347" s="2" t="str">
        <f aca="false">IFERROR(INDEX(Query_Source_View!$A:$A,MATCH(ROW()-14,Query_Source_View!$Z:$Z,0)),"")</f>
        <v>PNT000263</v>
      </c>
      <c r="B347" s="2" t="str">
        <f aca="false">IFERROR(INDEX(Query_Source_View!$D:$D,MATCH(ROW()-14,Query_Source_View!$Z:$Z,0)),"")</f>
        <v>Winsor And Newton</v>
      </c>
      <c r="C347" s="2" t="str">
        <f aca="false">IFERROR(INDEX(Query_Source_View!$F:$F,MATCH(ROW()-14,Query_Source_View!$Z:$Z,0)),"")</f>
        <v>Acrylic</v>
      </c>
      <c r="D347" s="2" t="str">
        <f aca="false">IFERROR(INDEX(Query_Source_View!$H:$H,MATCH(ROW()-14,Query_Source_View!$Z:$Z,0)),"")</f>
        <v>Professional Acrylic</v>
      </c>
      <c r="E347" s="2" t="str">
        <f aca="false">IFERROR(INDEX(Query_Source_View!$J:$J,MATCH(ROW()-14,Query_Source_View!$Z:$Z,0)),"")</f>
        <v>Naphthol Red Medium</v>
      </c>
      <c r="F347" s="2" t="str">
        <f aca="false">IFERROR(INDEX(Query_Source_View!$L:$L,MATCH(ROW()-14,Query_Source_View!$Z:$Z,0)),"")</f>
        <v>Red</v>
      </c>
      <c r="G347" s="2" t="str">
        <f aca="false">IFERROR(INDEX(Query_Source_View!$N:$N,MATCH(ROW()-14,Query_Source_View!$Z:$Z,0)),"")</f>
        <v>PR170</v>
      </c>
      <c r="H347" s="2" t="n">
        <f aca="false">IFERROR(INDEX(Query_Source_View!$P:$P,MATCH(ROW()-14,Query_Source_View!$Z:$Z,0)),"")</f>
        <v>1</v>
      </c>
      <c r="I347" s="2" t="str">
        <f aca="false">IFERROR(INDEX(Query_Source_View!$Q:$Q,MATCH(ROW()-14,Query_Source_View!$Z:$Z,0)),"")</f>
        <v>Yes</v>
      </c>
      <c r="J347" s="2" t="str">
        <f aca="false">IFERROR(INDEX(Query_Source_View!$R:$R,MATCH(ROW()-14,Query_Source_View!$Z:$Z,0)),"")</f>
        <v>Semi Transparent</v>
      </c>
      <c r="K347" s="2" t="str">
        <f aca="false">IFERROR(INDEX(Query_Source_View!$T:$T,MATCH(ROW()-14,Query_Source_View!$Z:$Z,0)),"")</f>
        <v>Permanent</v>
      </c>
      <c r="L347" s="2" t="str">
        <f aca="false">IFERROR(INDEX(Query_Source_View!$U:$U,MATCH(ROW()-14,Query_Source_View!$Z:$Z,0)),"")</f>
        <v>II</v>
      </c>
      <c r="M347" s="2" t="n">
        <f aca="false">IFERROR(INDEX(Query_Source_View!$V:$V,MATCH(ROW()-14,Query_Source_View!$Z:$Z,0)),"")</f>
        <v>2</v>
      </c>
      <c r="N347" s="2" t="str">
        <f aca="false">IFERROR(INDEX(Query_Source_View!$W:$W,MATCH(ROW()-14,Query_Source_View!$Z:$Z,0)),"")</f>
        <v>Verified From Official Source</v>
      </c>
      <c r="O347" s="2" t="str">
        <f aca="false">IFERROR(INDEX(Query_Source_View!$X:$X,MATCH(ROW()-14,Query_Source_View!$Z:$Z,0)),"")</f>
        <v>https://www.winsornewton.com/pages/professional-acrylic-colour</v>
      </c>
    </row>
    <row r="348" customFormat="false" ht="46.25" hidden="false" customHeight="false" outlineLevel="0" collapsed="false">
      <c r="A348" s="2" t="str">
        <f aca="false">IFERROR(INDEX(Query_Source_View!$A:$A,MATCH(ROW()-14,Query_Source_View!$Z:$Z,0)),"")</f>
        <v>PNT000264</v>
      </c>
      <c r="B348" s="2" t="str">
        <f aca="false">IFERROR(INDEX(Query_Source_View!$D:$D,MATCH(ROW()-14,Query_Source_View!$Z:$Z,0)),"")</f>
        <v>Winsor And Newton</v>
      </c>
      <c r="C348" s="2" t="str">
        <f aca="false">IFERROR(INDEX(Query_Source_View!$F:$F,MATCH(ROW()-14,Query_Source_View!$Z:$Z,0)),"")</f>
        <v>Acrylic</v>
      </c>
      <c r="D348" s="2" t="str">
        <f aca="false">IFERROR(INDEX(Query_Source_View!$H:$H,MATCH(ROW()-14,Query_Source_View!$Z:$Z,0)),"")</f>
        <v>Professional Acrylic</v>
      </c>
      <c r="E348" s="2" t="str">
        <f aca="false">IFERROR(INDEX(Query_Source_View!$J:$J,MATCH(ROW()-14,Query_Source_View!$Z:$Z,0)),"")</f>
        <v>Permanent Rose</v>
      </c>
      <c r="F348" s="2" t="str">
        <f aca="false">IFERROR(INDEX(Query_Source_View!$L:$L,MATCH(ROW()-14,Query_Source_View!$Z:$Z,0)),"")</f>
        <v>Red</v>
      </c>
      <c r="G348" s="2" t="str">
        <f aca="false">IFERROR(INDEX(Query_Source_View!$N:$N,MATCH(ROW()-14,Query_Source_View!$Z:$Z,0)),"")</f>
        <v>PV19</v>
      </c>
      <c r="H348" s="2" t="n">
        <f aca="false">IFERROR(INDEX(Query_Source_View!$P:$P,MATCH(ROW()-14,Query_Source_View!$Z:$Z,0)),"")</f>
        <v>1</v>
      </c>
      <c r="I348" s="2" t="str">
        <f aca="false">IFERROR(INDEX(Query_Source_View!$Q:$Q,MATCH(ROW()-14,Query_Source_View!$Z:$Z,0)),"")</f>
        <v>Yes</v>
      </c>
      <c r="J348" s="2" t="str">
        <f aca="false">IFERROR(INDEX(Query_Source_View!$R:$R,MATCH(ROW()-14,Query_Source_View!$Z:$Z,0)),"")</f>
        <v>Transparent</v>
      </c>
      <c r="K348" s="2" t="str">
        <f aca="false">IFERROR(INDEX(Query_Source_View!$T:$T,MATCH(ROW()-14,Query_Source_View!$Z:$Z,0)),"")</f>
        <v>Permanent</v>
      </c>
      <c r="L348" s="2" t="str">
        <f aca="false">IFERROR(INDEX(Query_Source_View!$U:$U,MATCH(ROW()-14,Query_Source_View!$Z:$Z,0)),"")</f>
        <v>I</v>
      </c>
      <c r="M348" s="2" t="n">
        <f aca="false">IFERROR(INDEX(Query_Source_View!$V:$V,MATCH(ROW()-14,Query_Source_View!$Z:$Z,0)),"")</f>
        <v>3</v>
      </c>
      <c r="N348" s="2" t="str">
        <f aca="false">IFERROR(INDEX(Query_Source_View!$W:$W,MATCH(ROW()-14,Query_Source_View!$Z:$Z,0)),"")</f>
        <v>Verified From Official Source</v>
      </c>
      <c r="O348" s="2" t="str">
        <f aca="false">IFERROR(INDEX(Query_Source_View!$X:$X,MATCH(ROW()-14,Query_Source_View!$Z:$Z,0)),"")</f>
        <v>https://www.winsornewton.com/pages/professional-acrylic-colour</v>
      </c>
    </row>
    <row r="349" customFormat="false" ht="46.25" hidden="false" customHeight="false" outlineLevel="0" collapsed="false">
      <c r="A349" s="2" t="str">
        <f aca="false">IFERROR(INDEX(Query_Source_View!$A:$A,MATCH(ROW()-14,Query_Source_View!$Z:$Z,0)),"")</f>
        <v>PNT000265</v>
      </c>
      <c r="B349" s="2" t="str">
        <f aca="false">IFERROR(INDEX(Query_Source_View!$D:$D,MATCH(ROW()-14,Query_Source_View!$Z:$Z,0)),"")</f>
        <v>Winsor And Newton</v>
      </c>
      <c r="C349" s="2" t="str">
        <f aca="false">IFERROR(INDEX(Query_Source_View!$F:$F,MATCH(ROW()-14,Query_Source_View!$Z:$Z,0)),"")</f>
        <v>Acrylic</v>
      </c>
      <c r="D349" s="2" t="str">
        <f aca="false">IFERROR(INDEX(Query_Source_View!$H:$H,MATCH(ROW()-14,Query_Source_View!$Z:$Z,0)),"")</f>
        <v>Professional Acrylic</v>
      </c>
      <c r="E349" s="2" t="str">
        <f aca="false">IFERROR(INDEX(Query_Source_View!$J:$J,MATCH(ROW()-14,Query_Source_View!$Z:$Z,0)),"")</f>
        <v>Permanent Alizarin Crimson</v>
      </c>
      <c r="F349" s="2" t="str">
        <f aca="false">IFERROR(INDEX(Query_Source_View!$L:$L,MATCH(ROW()-14,Query_Source_View!$Z:$Z,0)),"")</f>
        <v>Red</v>
      </c>
      <c r="G349" s="2" t="str">
        <f aca="false">IFERROR(INDEX(Query_Source_View!$N:$N,MATCH(ROW()-14,Query_Source_View!$Z:$Z,0)),"")</f>
        <v>PR177</v>
      </c>
      <c r="H349" s="2" t="n">
        <f aca="false">IFERROR(INDEX(Query_Source_View!$P:$P,MATCH(ROW()-14,Query_Source_View!$Z:$Z,0)),"")</f>
        <v>2</v>
      </c>
      <c r="I349" s="2" t="str">
        <f aca="false">IFERROR(INDEX(Query_Source_View!$Q:$Q,MATCH(ROW()-14,Query_Source_View!$Z:$Z,0)),"")</f>
        <v>No</v>
      </c>
      <c r="J349" s="2" t="str">
        <f aca="false">IFERROR(INDEX(Query_Source_View!$R:$R,MATCH(ROW()-14,Query_Source_View!$Z:$Z,0)),"")</f>
        <v>Transparent</v>
      </c>
      <c r="K349" s="2" t="str">
        <f aca="false">IFERROR(INDEX(Query_Source_View!$T:$T,MATCH(ROW()-14,Query_Source_View!$Z:$Z,0)),"")</f>
        <v>Permanent</v>
      </c>
      <c r="L349" s="2" t="str">
        <f aca="false">IFERROR(INDEX(Query_Source_View!$U:$U,MATCH(ROW()-14,Query_Source_View!$Z:$Z,0)),"")</f>
        <v>N/A</v>
      </c>
      <c r="M349" s="2" t="n">
        <f aca="false">IFERROR(INDEX(Query_Source_View!$V:$V,MATCH(ROW()-14,Query_Source_View!$Z:$Z,0)),"")</f>
        <v>3</v>
      </c>
      <c r="N349" s="2" t="str">
        <f aca="false">IFERROR(INDEX(Query_Source_View!$W:$W,MATCH(ROW()-14,Query_Source_View!$Z:$Z,0)),"")</f>
        <v>Verified From Official Source</v>
      </c>
      <c r="O349" s="2" t="str">
        <f aca="false">IFERROR(INDEX(Query_Source_View!$X:$X,MATCH(ROW()-14,Query_Source_View!$Z:$Z,0)),"")</f>
        <v>https://www.winsornewton.com/pages/professional-acrylic-colour</v>
      </c>
    </row>
    <row r="350" customFormat="false" ht="46.25" hidden="false" customHeight="false" outlineLevel="0" collapsed="false">
      <c r="A350" s="2" t="str">
        <f aca="false">IFERROR(INDEX(Query_Source_View!$A:$A,MATCH(ROW()-14,Query_Source_View!$Z:$Z,0)),"")</f>
        <v>PNT000265</v>
      </c>
      <c r="B350" s="2" t="str">
        <f aca="false">IFERROR(INDEX(Query_Source_View!$D:$D,MATCH(ROW()-14,Query_Source_View!$Z:$Z,0)),"")</f>
        <v>Winsor And Newton</v>
      </c>
      <c r="C350" s="2" t="str">
        <f aca="false">IFERROR(INDEX(Query_Source_View!$F:$F,MATCH(ROW()-14,Query_Source_View!$Z:$Z,0)),"")</f>
        <v>Acrylic</v>
      </c>
      <c r="D350" s="2" t="str">
        <f aca="false">IFERROR(INDEX(Query_Source_View!$H:$H,MATCH(ROW()-14,Query_Source_View!$Z:$Z,0)),"")</f>
        <v>Professional Acrylic</v>
      </c>
      <c r="E350" s="2" t="str">
        <f aca="false">IFERROR(INDEX(Query_Source_View!$J:$J,MATCH(ROW()-14,Query_Source_View!$Z:$Z,0)),"")</f>
        <v>Permanent Alizarin Crimson</v>
      </c>
      <c r="F350" s="2" t="str">
        <f aca="false">IFERROR(INDEX(Query_Source_View!$L:$L,MATCH(ROW()-14,Query_Source_View!$Z:$Z,0)),"")</f>
        <v>Red</v>
      </c>
      <c r="G350" s="2" t="str">
        <f aca="false">IFERROR(INDEX(Query_Source_View!$N:$N,MATCH(ROW()-14,Query_Source_View!$Z:$Z,0)),"")</f>
        <v>PV23</v>
      </c>
      <c r="H350" s="2" t="n">
        <f aca="false">IFERROR(INDEX(Query_Source_View!$P:$P,MATCH(ROW()-14,Query_Source_View!$Z:$Z,0)),"")</f>
        <v>2</v>
      </c>
      <c r="I350" s="2" t="str">
        <f aca="false">IFERROR(INDEX(Query_Source_View!$Q:$Q,MATCH(ROW()-14,Query_Source_View!$Z:$Z,0)),"")</f>
        <v>No</v>
      </c>
      <c r="J350" s="2" t="str">
        <f aca="false">IFERROR(INDEX(Query_Source_View!$R:$R,MATCH(ROW()-14,Query_Source_View!$Z:$Z,0)),"")</f>
        <v>Transparent</v>
      </c>
      <c r="K350" s="2" t="str">
        <f aca="false">IFERROR(INDEX(Query_Source_View!$T:$T,MATCH(ROW()-14,Query_Source_View!$Z:$Z,0)),"")</f>
        <v>Permanent</v>
      </c>
      <c r="L350" s="2" t="str">
        <f aca="false">IFERROR(INDEX(Query_Source_View!$U:$U,MATCH(ROW()-14,Query_Source_View!$Z:$Z,0)),"")</f>
        <v>N/A</v>
      </c>
      <c r="M350" s="2" t="n">
        <f aca="false">IFERROR(INDEX(Query_Source_View!$V:$V,MATCH(ROW()-14,Query_Source_View!$Z:$Z,0)),"")</f>
        <v>3</v>
      </c>
      <c r="N350" s="2" t="str">
        <f aca="false">IFERROR(INDEX(Query_Source_View!$W:$W,MATCH(ROW()-14,Query_Source_View!$Z:$Z,0)),"")</f>
        <v>Verified From Official Source</v>
      </c>
      <c r="O350" s="2" t="str">
        <f aca="false">IFERROR(INDEX(Query_Source_View!$X:$X,MATCH(ROW()-14,Query_Source_View!$Z:$Z,0)),"")</f>
        <v>https://www.winsornewton.com/pages/professional-acrylic-colour</v>
      </c>
    </row>
    <row r="351" customFormat="false" ht="46.25" hidden="false" customHeight="false" outlineLevel="0" collapsed="false">
      <c r="A351" s="2" t="str">
        <f aca="false">IFERROR(INDEX(Query_Source_View!$A:$A,MATCH(ROW()-14,Query_Source_View!$Z:$Z,0)),"")</f>
        <v>PNT000266</v>
      </c>
      <c r="B351" s="2" t="str">
        <f aca="false">IFERROR(INDEX(Query_Source_View!$D:$D,MATCH(ROW()-14,Query_Source_View!$Z:$Z,0)),"")</f>
        <v>Winsor And Newton</v>
      </c>
      <c r="C351" s="2" t="str">
        <f aca="false">IFERROR(INDEX(Query_Source_View!$F:$F,MATCH(ROW()-14,Query_Source_View!$Z:$Z,0)),"")</f>
        <v>Acrylic</v>
      </c>
      <c r="D351" s="2" t="str">
        <f aca="false">IFERROR(INDEX(Query_Source_View!$H:$H,MATCH(ROW()-14,Query_Source_View!$Z:$Z,0)),"")</f>
        <v>Professional Acrylic</v>
      </c>
      <c r="E351" s="2" t="str">
        <f aca="false">IFERROR(INDEX(Query_Source_View!$J:$J,MATCH(ROW()-14,Query_Source_View!$Z:$Z,0)),"")</f>
        <v>Perylene Maroon</v>
      </c>
      <c r="F351" s="2" t="str">
        <f aca="false">IFERROR(INDEX(Query_Source_View!$L:$L,MATCH(ROW()-14,Query_Source_View!$Z:$Z,0)),"")</f>
        <v>Red</v>
      </c>
      <c r="G351" s="2" t="str">
        <f aca="false">IFERROR(INDEX(Query_Source_View!$N:$N,MATCH(ROW()-14,Query_Source_View!$Z:$Z,0)),"")</f>
        <v>PR179</v>
      </c>
      <c r="H351" s="2" t="n">
        <f aca="false">IFERROR(INDEX(Query_Source_View!$P:$P,MATCH(ROW()-14,Query_Source_View!$Z:$Z,0)),"")</f>
        <v>1</v>
      </c>
      <c r="I351" s="2" t="str">
        <f aca="false">IFERROR(INDEX(Query_Source_View!$Q:$Q,MATCH(ROW()-14,Query_Source_View!$Z:$Z,0)),"")</f>
        <v>Yes</v>
      </c>
      <c r="J351" s="2" t="str">
        <f aca="false">IFERROR(INDEX(Query_Source_View!$R:$R,MATCH(ROW()-14,Query_Source_View!$Z:$Z,0)),"")</f>
        <v>Transparent</v>
      </c>
      <c r="K351" s="2" t="str">
        <f aca="false">IFERROR(INDEX(Query_Source_View!$T:$T,MATCH(ROW()-14,Query_Source_View!$Z:$Z,0)),"")</f>
        <v>Permanent</v>
      </c>
      <c r="L351" s="2" t="str">
        <f aca="false">IFERROR(INDEX(Query_Source_View!$U:$U,MATCH(ROW()-14,Query_Source_View!$Z:$Z,0)),"")</f>
        <v>N/A</v>
      </c>
      <c r="M351" s="2" t="n">
        <f aca="false">IFERROR(INDEX(Query_Source_View!$V:$V,MATCH(ROW()-14,Query_Source_View!$Z:$Z,0)),"")</f>
        <v>4</v>
      </c>
      <c r="N351" s="2" t="str">
        <f aca="false">IFERROR(INDEX(Query_Source_View!$W:$W,MATCH(ROW()-14,Query_Source_View!$Z:$Z,0)),"")</f>
        <v>Verified From Official Source</v>
      </c>
      <c r="O351" s="2" t="str">
        <f aca="false">IFERROR(INDEX(Query_Source_View!$X:$X,MATCH(ROW()-14,Query_Source_View!$Z:$Z,0)),"")</f>
        <v>https://www.winsornewton.com/pages/professional-acrylic-colour</v>
      </c>
    </row>
    <row r="352" customFormat="false" ht="46.25" hidden="false" customHeight="false" outlineLevel="0" collapsed="false">
      <c r="A352" s="2" t="str">
        <f aca="false">IFERROR(INDEX(Query_Source_View!$A:$A,MATCH(ROW()-14,Query_Source_View!$Z:$Z,0)),"")</f>
        <v>PNT000267</v>
      </c>
      <c r="B352" s="2" t="str">
        <f aca="false">IFERROR(INDEX(Query_Source_View!$D:$D,MATCH(ROW()-14,Query_Source_View!$Z:$Z,0)),"")</f>
        <v>Winsor And Newton</v>
      </c>
      <c r="C352" s="2" t="str">
        <f aca="false">IFERROR(INDEX(Query_Source_View!$F:$F,MATCH(ROW()-14,Query_Source_View!$Z:$Z,0)),"")</f>
        <v>Acrylic</v>
      </c>
      <c r="D352" s="2" t="str">
        <f aca="false">IFERROR(INDEX(Query_Source_View!$H:$H,MATCH(ROW()-14,Query_Source_View!$Z:$Z,0)),"")</f>
        <v>Professional Acrylic</v>
      </c>
      <c r="E352" s="2" t="str">
        <f aca="false">IFERROR(INDEX(Query_Source_View!$J:$J,MATCH(ROW()-14,Query_Source_View!$Z:$Z,0)),"")</f>
        <v>Quinacridone Violet</v>
      </c>
      <c r="F352" s="2" t="str">
        <f aca="false">IFERROR(INDEX(Query_Source_View!$L:$L,MATCH(ROW()-14,Query_Source_View!$Z:$Z,0)),"")</f>
        <v>Violet</v>
      </c>
      <c r="G352" s="2" t="str">
        <f aca="false">IFERROR(INDEX(Query_Source_View!$N:$N,MATCH(ROW()-14,Query_Source_View!$Z:$Z,0)),"")</f>
        <v>PR122</v>
      </c>
      <c r="H352" s="2" t="n">
        <f aca="false">IFERROR(INDEX(Query_Source_View!$P:$P,MATCH(ROW()-14,Query_Source_View!$Z:$Z,0)),"")</f>
        <v>1</v>
      </c>
      <c r="I352" s="2" t="str">
        <f aca="false">IFERROR(INDEX(Query_Source_View!$Q:$Q,MATCH(ROW()-14,Query_Source_View!$Z:$Z,0)),"")</f>
        <v>Yes</v>
      </c>
      <c r="J352" s="2" t="str">
        <f aca="false">IFERROR(INDEX(Query_Source_View!$R:$R,MATCH(ROW()-14,Query_Source_View!$Z:$Z,0)),"")</f>
        <v>Transparent</v>
      </c>
      <c r="K352" s="2" t="str">
        <f aca="false">IFERROR(INDEX(Query_Source_View!$T:$T,MATCH(ROW()-14,Query_Source_View!$Z:$Z,0)),"")</f>
        <v>Permanent</v>
      </c>
      <c r="L352" s="2" t="str">
        <f aca="false">IFERROR(INDEX(Query_Source_View!$U:$U,MATCH(ROW()-14,Query_Source_View!$Z:$Z,0)),"")</f>
        <v>I</v>
      </c>
      <c r="M352" s="2" t="n">
        <f aca="false">IFERROR(INDEX(Query_Source_View!$V:$V,MATCH(ROW()-14,Query_Source_View!$Z:$Z,0)),"")</f>
        <v>3</v>
      </c>
      <c r="N352" s="2" t="str">
        <f aca="false">IFERROR(INDEX(Query_Source_View!$W:$W,MATCH(ROW()-14,Query_Source_View!$Z:$Z,0)),"")</f>
        <v>Verified From Official Source</v>
      </c>
      <c r="O352" s="2" t="str">
        <f aca="false">IFERROR(INDEX(Query_Source_View!$X:$X,MATCH(ROW()-14,Query_Source_View!$Z:$Z,0)),"")</f>
        <v>https://www.winsornewton.com/pages/professional-acrylic-colour</v>
      </c>
    </row>
    <row r="353" customFormat="false" ht="46.25" hidden="false" customHeight="false" outlineLevel="0" collapsed="false">
      <c r="A353" s="2" t="str">
        <f aca="false">IFERROR(INDEX(Query_Source_View!$A:$A,MATCH(ROW()-14,Query_Source_View!$Z:$Z,0)),"")</f>
        <v>PNT000268</v>
      </c>
      <c r="B353" s="2" t="str">
        <f aca="false">IFERROR(INDEX(Query_Source_View!$D:$D,MATCH(ROW()-14,Query_Source_View!$Z:$Z,0)),"")</f>
        <v>Winsor And Newton</v>
      </c>
      <c r="C353" s="2" t="str">
        <f aca="false">IFERROR(INDEX(Query_Source_View!$F:$F,MATCH(ROW()-14,Query_Source_View!$Z:$Z,0)),"")</f>
        <v>Acrylic</v>
      </c>
      <c r="D353" s="2" t="str">
        <f aca="false">IFERROR(INDEX(Query_Source_View!$H:$H,MATCH(ROW()-14,Query_Source_View!$Z:$Z,0)),"")</f>
        <v>Professional Acrylic</v>
      </c>
      <c r="E353" s="2" t="str">
        <f aca="false">IFERROR(INDEX(Query_Source_View!$J:$J,MATCH(ROW()-14,Query_Source_View!$Z:$Z,0)),"")</f>
        <v>Light Red</v>
      </c>
      <c r="F353" s="2" t="str">
        <f aca="false">IFERROR(INDEX(Query_Source_View!$L:$L,MATCH(ROW()-14,Query_Source_View!$Z:$Z,0)),"")</f>
        <v>Red</v>
      </c>
      <c r="G353" s="2" t="str">
        <f aca="false">IFERROR(INDEX(Query_Source_View!$N:$N,MATCH(ROW()-14,Query_Source_View!$Z:$Z,0)),"")</f>
        <v>PR102</v>
      </c>
      <c r="H353" s="2" t="n">
        <f aca="false">IFERROR(INDEX(Query_Source_View!$P:$P,MATCH(ROW()-14,Query_Source_View!$Z:$Z,0)),"")</f>
        <v>1</v>
      </c>
      <c r="I353" s="2" t="str">
        <f aca="false">IFERROR(INDEX(Query_Source_View!$Q:$Q,MATCH(ROW()-14,Query_Source_View!$Z:$Z,0)),"")</f>
        <v>Yes</v>
      </c>
      <c r="J353" s="2" t="str">
        <f aca="false">IFERROR(INDEX(Query_Source_View!$R:$R,MATCH(ROW()-14,Query_Source_View!$Z:$Z,0)),"")</f>
        <v>Semi Opaque</v>
      </c>
      <c r="K353" s="2" t="str">
        <f aca="false">IFERROR(INDEX(Query_Source_View!$T:$T,MATCH(ROW()-14,Query_Source_View!$Z:$Z,0)),"")</f>
        <v>Extremely Permanent</v>
      </c>
      <c r="L353" s="2" t="str">
        <f aca="false">IFERROR(INDEX(Query_Source_View!$U:$U,MATCH(ROW()-14,Query_Source_View!$Z:$Z,0)),"")</f>
        <v>I</v>
      </c>
      <c r="M353" s="2" t="n">
        <f aca="false">IFERROR(INDEX(Query_Source_View!$V:$V,MATCH(ROW()-14,Query_Source_View!$Z:$Z,0)),"")</f>
        <v>1</v>
      </c>
      <c r="N353" s="2" t="str">
        <f aca="false">IFERROR(INDEX(Query_Source_View!$W:$W,MATCH(ROW()-14,Query_Source_View!$Z:$Z,0)),"")</f>
        <v>Verified From Official Source</v>
      </c>
      <c r="O353" s="2" t="str">
        <f aca="false">IFERROR(INDEX(Query_Source_View!$X:$X,MATCH(ROW()-14,Query_Source_View!$Z:$Z,0)),"")</f>
        <v>https://www.winsornewton.com/pages/professional-acrylic-colour</v>
      </c>
    </row>
    <row r="354" customFormat="false" ht="46.25" hidden="false" customHeight="false" outlineLevel="0" collapsed="false">
      <c r="A354" s="2" t="str">
        <f aca="false">IFERROR(INDEX(Query_Source_View!$A:$A,MATCH(ROW()-14,Query_Source_View!$Z:$Z,0)),"")</f>
        <v>PNT000269</v>
      </c>
      <c r="B354" s="2" t="str">
        <f aca="false">IFERROR(INDEX(Query_Source_View!$D:$D,MATCH(ROW()-14,Query_Source_View!$Z:$Z,0)),"")</f>
        <v>Winsor And Newton</v>
      </c>
      <c r="C354" s="2" t="str">
        <f aca="false">IFERROR(INDEX(Query_Source_View!$F:$F,MATCH(ROW()-14,Query_Source_View!$Z:$Z,0)),"")</f>
        <v>Acrylic</v>
      </c>
      <c r="D354" s="2" t="str">
        <f aca="false">IFERROR(INDEX(Query_Source_View!$H:$H,MATCH(ROW()-14,Query_Source_View!$Z:$Z,0)),"")</f>
        <v>Professional Acrylic</v>
      </c>
      <c r="E354" s="2" t="str">
        <f aca="false">IFERROR(INDEX(Query_Source_View!$J:$J,MATCH(ROW()-14,Query_Source_View!$Z:$Z,0)),"")</f>
        <v>Red Iron Oxide</v>
      </c>
      <c r="F354" s="2" t="str">
        <f aca="false">IFERROR(INDEX(Query_Source_View!$L:$L,MATCH(ROW()-14,Query_Source_View!$Z:$Z,0)),"")</f>
        <v>Red</v>
      </c>
      <c r="G354" s="2" t="str">
        <f aca="false">IFERROR(INDEX(Query_Source_View!$N:$N,MATCH(ROW()-14,Query_Source_View!$Z:$Z,0)),"")</f>
        <v>PR101</v>
      </c>
      <c r="H354" s="2" t="n">
        <f aca="false">IFERROR(INDEX(Query_Source_View!$P:$P,MATCH(ROW()-14,Query_Source_View!$Z:$Z,0)),"")</f>
        <v>1</v>
      </c>
      <c r="I354" s="2" t="str">
        <f aca="false">IFERROR(INDEX(Query_Source_View!$Q:$Q,MATCH(ROW()-14,Query_Source_View!$Z:$Z,0)),"")</f>
        <v>Yes</v>
      </c>
      <c r="J354" s="2" t="str">
        <f aca="false">IFERROR(INDEX(Query_Source_View!$R:$R,MATCH(ROW()-14,Query_Source_View!$Z:$Z,0)),"")</f>
        <v>Opaque</v>
      </c>
      <c r="K354" s="2" t="str">
        <f aca="false">IFERROR(INDEX(Query_Source_View!$T:$T,MATCH(ROW()-14,Query_Source_View!$Z:$Z,0)),"")</f>
        <v>Extremely Permanent</v>
      </c>
      <c r="L354" s="2" t="str">
        <f aca="false">IFERROR(INDEX(Query_Source_View!$U:$U,MATCH(ROW()-14,Query_Source_View!$Z:$Z,0)),"")</f>
        <v>I</v>
      </c>
      <c r="M354" s="2" t="n">
        <f aca="false">IFERROR(INDEX(Query_Source_View!$V:$V,MATCH(ROW()-14,Query_Source_View!$Z:$Z,0)),"")</f>
        <v>1</v>
      </c>
      <c r="N354" s="2" t="str">
        <f aca="false">IFERROR(INDEX(Query_Source_View!$W:$W,MATCH(ROW()-14,Query_Source_View!$Z:$Z,0)),"")</f>
        <v>Verified From Official Source</v>
      </c>
      <c r="O354" s="2" t="str">
        <f aca="false">IFERROR(INDEX(Query_Source_View!$X:$X,MATCH(ROW()-14,Query_Source_View!$Z:$Z,0)),"")</f>
        <v>https://www.winsornewton.com/pages/professional-acrylic-colour</v>
      </c>
    </row>
    <row r="355" customFormat="false" ht="46.25" hidden="false" customHeight="false" outlineLevel="0" collapsed="false">
      <c r="A355" s="2" t="str">
        <f aca="false">IFERROR(INDEX(Query_Source_View!$A:$A,MATCH(ROW()-14,Query_Source_View!$Z:$Z,0)),"")</f>
        <v>PNT000270</v>
      </c>
      <c r="B355" s="2" t="str">
        <f aca="false">IFERROR(INDEX(Query_Source_View!$D:$D,MATCH(ROW()-14,Query_Source_View!$Z:$Z,0)),"")</f>
        <v>Winsor And Newton</v>
      </c>
      <c r="C355" s="2" t="str">
        <f aca="false">IFERROR(INDEX(Query_Source_View!$F:$F,MATCH(ROW()-14,Query_Source_View!$Z:$Z,0)),"")</f>
        <v>Acrylic</v>
      </c>
      <c r="D355" s="2" t="str">
        <f aca="false">IFERROR(INDEX(Query_Source_View!$H:$H,MATCH(ROW()-14,Query_Source_View!$Z:$Z,0)),"")</f>
        <v>Professional Acrylic</v>
      </c>
      <c r="E355" s="2" t="str">
        <f aca="false">IFERROR(INDEX(Query_Source_View!$J:$J,MATCH(ROW()-14,Query_Source_View!$Z:$Z,0)),"")</f>
        <v>Quinacridone Burnt Orange</v>
      </c>
      <c r="F355" s="2" t="str">
        <f aca="false">IFERROR(INDEX(Query_Source_View!$L:$L,MATCH(ROW()-14,Query_Source_View!$Z:$Z,0)),"")</f>
        <v>Orange</v>
      </c>
      <c r="G355" s="2" t="str">
        <f aca="false">IFERROR(INDEX(Query_Source_View!$N:$N,MATCH(ROW()-14,Query_Source_View!$Z:$Z,0)),"")</f>
        <v>PR179</v>
      </c>
      <c r="H355" s="2" t="n">
        <f aca="false">IFERROR(INDEX(Query_Source_View!$P:$P,MATCH(ROW()-14,Query_Source_View!$Z:$Z,0)),"")</f>
        <v>1</v>
      </c>
      <c r="I355" s="2" t="str">
        <f aca="false">IFERROR(INDEX(Query_Source_View!$Q:$Q,MATCH(ROW()-14,Query_Source_View!$Z:$Z,0)),"")</f>
        <v>Yes</v>
      </c>
      <c r="J355" s="2" t="str">
        <f aca="false">IFERROR(INDEX(Query_Source_View!$R:$R,MATCH(ROW()-14,Query_Source_View!$Z:$Z,0)),"")</f>
        <v>Transparent</v>
      </c>
      <c r="K355" s="2" t="str">
        <f aca="false">IFERROR(INDEX(Query_Source_View!$T:$T,MATCH(ROW()-14,Query_Source_View!$Z:$Z,0)),"")</f>
        <v>Permanent</v>
      </c>
      <c r="L355" s="2" t="str">
        <f aca="false">IFERROR(INDEX(Query_Source_View!$U:$U,MATCH(ROW()-14,Query_Source_View!$Z:$Z,0)),"")</f>
        <v>I</v>
      </c>
      <c r="M355" s="2" t="n">
        <f aca="false">IFERROR(INDEX(Query_Source_View!$V:$V,MATCH(ROW()-14,Query_Source_View!$Z:$Z,0)),"")</f>
        <v>4</v>
      </c>
      <c r="N355" s="2" t="str">
        <f aca="false">IFERROR(INDEX(Query_Source_View!$W:$W,MATCH(ROW()-14,Query_Source_View!$Z:$Z,0)),"")</f>
        <v>Verified From Official Source</v>
      </c>
      <c r="O355" s="2" t="str">
        <f aca="false">IFERROR(INDEX(Query_Source_View!$X:$X,MATCH(ROW()-14,Query_Source_View!$Z:$Z,0)),"")</f>
        <v>https://www.winsornewton.com/pages/professional-acrylic-colour</v>
      </c>
    </row>
    <row r="356" customFormat="false" ht="46.25" hidden="false" customHeight="false" outlineLevel="0" collapsed="false">
      <c r="A356" s="2" t="str">
        <f aca="false">IFERROR(INDEX(Query_Source_View!$A:$A,MATCH(ROW()-14,Query_Source_View!$Z:$Z,0)),"")</f>
        <v>PNT000271</v>
      </c>
      <c r="B356" s="2" t="str">
        <f aca="false">IFERROR(INDEX(Query_Source_View!$D:$D,MATCH(ROW()-14,Query_Source_View!$Z:$Z,0)),"")</f>
        <v>Winsor And Newton</v>
      </c>
      <c r="C356" s="2" t="str">
        <f aca="false">IFERROR(INDEX(Query_Source_View!$F:$F,MATCH(ROW()-14,Query_Source_View!$Z:$Z,0)),"")</f>
        <v>Acrylic</v>
      </c>
      <c r="D356" s="2" t="str">
        <f aca="false">IFERROR(INDEX(Query_Source_View!$H:$H,MATCH(ROW()-14,Query_Source_View!$Z:$Z,0)),"")</f>
        <v>Professional Acrylic</v>
      </c>
      <c r="E356" s="2" t="str">
        <f aca="false">IFERROR(INDEX(Query_Source_View!$J:$J,MATCH(ROW()-14,Query_Source_View!$Z:$Z,0)),"")</f>
        <v>Violet Iron Oxide</v>
      </c>
      <c r="F356" s="2" t="str">
        <f aca="false">IFERROR(INDEX(Query_Source_View!$L:$L,MATCH(ROW()-14,Query_Source_View!$Z:$Z,0)),"")</f>
        <v>Violet</v>
      </c>
      <c r="G356" s="2" t="str">
        <f aca="false">IFERROR(INDEX(Query_Source_View!$N:$N,MATCH(ROW()-14,Query_Source_View!$Z:$Z,0)),"")</f>
        <v>PR101</v>
      </c>
      <c r="H356" s="2" t="n">
        <f aca="false">IFERROR(INDEX(Query_Source_View!$P:$P,MATCH(ROW()-14,Query_Source_View!$Z:$Z,0)),"")</f>
        <v>1</v>
      </c>
      <c r="I356" s="2" t="str">
        <f aca="false">IFERROR(INDEX(Query_Source_View!$Q:$Q,MATCH(ROW()-14,Query_Source_View!$Z:$Z,0)),"")</f>
        <v>Yes</v>
      </c>
      <c r="J356" s="2" t="str">
        <f aca="false">IFERROR(INDEX(Query_Source_View!$R:$R,MATCH(ROW()-14,Query_Source_View!$Z:$Z,0)),"")</f>
        <v>Opaque</v>
      </c>
      <c r="K356" s="2" t="str">
        <f aca="false">IFERROR(INDEX(Query_Source_View!$T:$T,MATCH(ROW()-14,Query_Source_View!$Z:$Z,0)),"")</f>
        <v>Extremely Permanent</v>
      </c>
      <c r="L356" s="2" t="str">
        <f aca="false">IFERROR(INDEX(Query_Source_View!$U:$U,MATCH(ROW()-14,Query_Source_View!$Z:$Z,0)),"")</f>
        <v>I</v>
      </c>
      <c r="M356" s="2" t="n">
        <f aca="false">IFERROR(INDEX(Query_Source_View!$V:$V,MATCH(ROW()-14,Query_Source_View!$Z:$Z,0)),"")</f>
        <v>1</v>
      </c>
      <c r="N356" s="2" t="str">
        <f aca="false">IFERROR(INDEX(Query_Source_View!$W:$W,MATCH(ROW()-14,Query_Source_View!$Z:$Z,0)),"")</f>
        <v>Verified From Official Source</v>
      </c>
      <c r="O356" s="2" t="str">
        <f aca="false">IFERROR(INDEX(Query_Source_View!$X:$X,MATCH(ROW()-14,Query_Source_View!$Z:$Z,0)),"")</f>
        <v>https://www.winsornewton.com/pages/professional-acrylic-colour</v>
      </c>
    </row>
    <row r="357" customFormat="false" ht="46.25" hidden="false" customHeight="false" outlineLevel="0" collapsed="false">
      <c r="A357" s="2" t="str">
        <f aca="false">IFERROR(INDEX(Query_Source_View!$A:$A,MATCH(ROW()-14,Query_Source_View!$Z:$Z,0)),"")</f>
        <v>PNT000272</v>
      </c>
      <c r="B357" s="2" t="str">
        <f aca="false">IFERROR(INDEX(Query_Source_View!$D:$D,MATCH(ROW()-14,Query_Source_View!$Z:$Z,0)),"")</f>
        <v>Winsor And Newton</v>
      </c>
      <c r="C357" s="2" t="str">
        <f aca="false">IFERROR(INDEX(Query_Source_View!$F:$F,MATCH(ROW()-14,Query_Source_View!$Z:$Z,0)),"")</f>
        <v>Acrylic</v>
      </c>
      <c r="D357" s="2" t="str">
        <f aca="false">IFERROR(INDEX(Query_Source_View!$H:$H,MATCH(ROW()-14,Query_Source_View!$Z:$Z,0)),"")</f>
        <v>Professional Acrylic</v>
      </c>
      <c r="E357" s="2" t="str">
        <f aca="false">IFERROR(INDEX(Query_Source_View!$J:$J,MATCH(ROW()-14,Query_Source_View!$Z:$Z,0)),"")</f>
        <v>Raw Umber Light</v>
      </c>
      <c r="F357" s="2" t="str">
        <f aca="false">IFERROR(INDEX(Query_Source_View!$L:$L,MATCH(ROW()-14,Query_Source_View!$Z:$Z,0)),"")</f>
        <v>Earth</v>
      </c>
      <c r="G357" s="2" t="str">
        <f aca="false">IFERROR(INDEX(Query_Source_View!$N:$N,MATCH(ROW()-14,Query_Source_View!$Z:$Z,0)),"")</f>
        <v>PBr7</v>
      </c>
      <c r="H357" s="2" t="n">
        <f aca="false">IFERROR(INDEX(Query_Source_View!$P:$P,MATCH(ROW()-14,Query_Source_View!$Z:$Z,0)),"")</f>
        <v>1</v>
      </c>
      <c r="I357" s="2" t="str">
        <f aca="false">IFERROR(INDEX(Query_Source_View!$Q:$Q,MATCH(ROW()-14,Query_Source_View!$Z:$Z,0)),"")</f>
        <v>Yes</v>
      </c>
      <c r="J357" s="2" t="str">
        <f aca="false">IFERROR(INDEX(Query_Source_View!$R:$R,MATCH(ROW()-14,Query_Source_View!$Z:$Z,0)),"")</f>
        <v>Transparent</v>
      </c>
      <c r="K357" s="2" t="str">
        <f aca="false">IFERROR(INDEX(Query_Source_View!$T:$T,MATCH(ROW()-14,Query_Source_View!$Z:$Z,0)),"")</f>
        <v>Extremely Permanent</v>
      </c>
      <c r="L357" s="2" t="str">
        <f aca="false">IFERROR(INDEX(Query_Source_View!$U:$U,MATCH(ROW()-14,Query_Source_View!$Z:$Z,0)),"")</f>
        <v>I</v>
      </c>
      <c r="M357" s="2" t="n">
        <f aca="false">IFERROR(INDEX(Query_Source_View!$V:$V,MATCH(ROW()-14,Query_Source_View!$Z:$Z,0)),"")</f>
        <v>1</v>
      </c>
      <c r="N357" s="2" t="str">
        <f aca="false">IFERROR(INDEX(Query_Source_View!$W:$W,MATCH(ROW()-14,Query_Source_View!$Z:$Z,0)),"")</f>
        <v>Verified From Official Source</v>
      </c>
      <c r="O357" s="2" t="str">
        <f aca="false">IFERROR(INDEX(Query_Source_View!$X:$X,MATCH(ROW()-14,Query_Source_View!$Z:$Z,0)),"")</f>
        <v>https://www.winsornewton.com/pages/professional-acrylic-colour</v>
      </c>
    </row>
    <row r="358" customFormat="false" ht="46.25" hidden="false" customHeight="false" outlineLevel="0" collapsed="false">
      <c r="A358" s="2" t="str">
        <f aca="false">IFERROR(INDEX(Query_Source_View!$A:$A,MATCH(ROW()-14,Query_Source_View!$Z:$Z,0)),"")</f>
        <v>PNT000273</v>
      </c>
      <c r="B358" s="2" t="str">
        <f aca="false">IFERROR(INDEX(Query_Source_View!$D:$D,MATCH(ROW()-14,Query_Source_View!$Z:$Z,0)),"")</f>
        <v>Winsor And Newton</v>
      </c>
      <c r="C358" s="2" t="str">
        <f aca="false">IFERROR(INDEX(Query_Source_View!$F:$F,MATCH(ROW()-14,Query_Source_View!$Z:$Z,0)),"")</f>
        <v>Acrylic</v>
      </c>
      <c r="D358" s="2" t="str">
        <f aca="false">IFERROR(INDEX(Query_Source_View!$H:$H,MATCH(ROW()-14,Query_Source_View!$Z:$Z,0)),"")</f>
        <v>Professional Acrylic</v>
      </c>
      <c r="E358" s="2" t="str">
        <f aca="false">IFERROR(INDEX(Query_Source_View!$J:$J,MATCH(ROW()-14,Query_Source_View!$Z:$Z,0)),"")</f>
        <v>Raw Umber</v>
      </c>
      <c r="F358" s="2" t="str">
        <f aca="false">IFERROR(INDEX(Query_Source_View!$L:$L,MATCH(ROW()-14,Query_Source_View!$Z:$Z,0)),"")</f>
        <v>Earth</v>
      </c>
      <c r="G358" s="2" t="str">
        <f aca="false">IFERROR(INDEX(Query_Source_View!$N:$N,MATCH(ROW()-14,Query_Source_View!$Z:$Z,0)),"")</f>
        <v>PBr7</v>
      </c>
      <c r="H358" s="2" t="n">
        <f aca="false">IFERROR(INDEX(Query_Source_View!$P:$P,MATCH(ROW()-14,Query_Source_View!$Z:$Z,0)),"")</f>
        <v>1</v>
      </c>
      <c r="I358" s="2" t="str">
        <f aca="false">IFERROR(INDEX(Query_Source_View!$Q:$Q,MATCH(ROW()-14,Query_Source_View!$Z:$Z,0)),"")</f>
        <v>Yes</v>
      </c>
      <c r="J358" s="2" t="str">
        <f aca="false">IFERROR(INDEX(Query_Source_View!$R:$R,MATCH(ROW()-14,Query_Source_View!$Z:$Z,0)),"")</f>
        <v>Semi Opaque</v>
      </c>
      <c r="K358" s="2" t="str">
        <f aca="false">IFERROR(INDEX(Query_Source_View!$T:$T,MATCH(ROW()-14,Query_Source_View!$Z:$Z,0)),"")</f>
        <v>Extremely Permanent</v>
      </c>
      <c r="L358" s="2" t="str">
        <f aca="false">IFERROR(INDEX(Query_Source_View!$U:$U,MATCH(ROW()-14,Query_Source_View!$Z:$Z,0)),"")</f>
        <v>I</v>
      </c>
      <c r="M358" s="2" t="n">
        <f aca="false">IFERROR(INDEX(Query_Source_View!$V:$V,MATCH(ROW()-14,Query_Source_View!$Z:$Z,0)),"")</f>
        <v>1</v>
      </c>
      <c r="N358" s="2" t="str">
        <f aca="false">IFERROR(INDEX(Query_Source_View!$W:$W,MATCH(ROW()-14,Query_Source_View!$Z:$Z,0)),"")</f>
        <v>Verified From Official Source</v>
      </c>
      <c r="O358" s="2" t="str">
        <f aca="false">IFERROR(INDEX(Query_Source_View!$X:$X,MATCH(ROW()-14,Query_Source_View!$Z:$Z,0)),"")</f>
        <v>https://www.winsornewton.com/pages/professional-acrylic-colour</v>
      </c>
    </row>
    <row r="359" customFormat="false" ht="46.25" hidden="false" customHeight="false" outlineLevel="0" collapsed="false">
      <c r="A359" s="2" t="str">
        <f aca="false">IFERROR(INDEX(Query_Source_View!$A:$A,MATCH(ROW()-14,Query_Source_View!$Z:$Z,0)),"")</f>
        <v>PNT000274</v>
      </c>
      <c r="B359" s="2" t="str">
        <f aca="false">IFERROR(INDEX(Query_Source_View!$D:$D,MATCH(ROW()-14,Query_Source_View!$Z:$Z,0)),"")</f>
        <v>Winsor And Newton</v>
      </c>
      <c r="C359" s="2" t="str">
        <f aca="false">IFERROR(INDEX(Query_Source_View!$F:$F,MATCH(ROW()-14,Query_Source_View!$Z:$Z,0)),"")</f>
        <v>Acrylic</v>
      </c>
      <c r="D359" s="2" t="str">
        <f aca="false">IFERROR(INDEX(Query_Source_View!$H:$H,MATCH(ROW()-14,Query_Source_View!$Z:$Z,0)),"")</f>
        <v>Professional Acrylic</v>
      </c>
      <c r="E359" s="2" t="str">
        <f aca="false">IFERROR(INDEX(Query_Source_View!$J:$J,MATCH(ROW()-14,Query_Source_View!$Z:$Z,0)),"")</f>
        <v>Burnt Umber</v>
      </c>
      <c r="F359" s="2" t="str">
        <f aca="false">IFERROR(INDEX(Query_Source_View!$L:$L,MATCH(ROW()-14,Query_Source_View!$Z:$Z,0)),"")</f>
        <v>Earth</v>
      </c>
      <c r="G359" s="2" t="str">
        <f aca="false">IFERROR(INDEX(Query_Source_View!$N:$N,MATCH(ROW()-14,Query_Source_View!$Z:$Z,0)),"")</f>
        <v>PBr7</v>
      </c>
      <c r="H359" s="2" t="n">
        <f aca="false">IFERROR(INDEX(Query_Source_View!$P:$P,MATCH(ROW()-14,Query_Source_View!$Z:$Z,0)),"")</f>
        <v>1</v>
      </c>
      <c r="I359" s="2" t="str">
        <f aca="false">IFERROR(INDEX(Query_Source_View!$Q:$Q,MATCH(ROW()-14,Query_Source_View!$Z:$Z,0)),"")</f>
        <v>Yes</v>
      </c>
      <c r="J359" s="2" t="str">
        <f aca="false">IFERROR(INDEX(Query_Source_View!$R:$R,MATCH(ROW()-14,Query_Source_View!$Z:$Z,0)),"")</f>
        <v>Semi Opaque</v>
      </c>
      <c r="K359" s="2" t="str">
        <f aca="false">IFERROR(INDEX(Query_Source_View!$T:$T,MATCH(ROW()-14,Query_Source_View!$Z:$Z,0)),"")</f>
        <v>Extremely Permanent</v>
      </c>
      <c r="L359" s="2" t="str">
        <f aca="false">IFERROR(INDEX(Query_Source_View!$U:$U,MATCH(ROW()-14,Query_Source_View!$Z:$Z,0)),"")</f>
        <v>I</v>
      </c>
      <c r="M359" s="2" t="n">
        <f aca="false">IFERROR(INDEX(Query_Source_View!$V:$V,MATCH(ROW()-14,Query_Source_View!$Z:$Z,0)),"")</f>
        <v>1</v>
      </c>
      <c r="N359" s="2" t="str">
        <f aca="false">IFERROR(INDEX(Query_Source_View!$W:$W,MATCH(ROW()-14,Query_Source_View!$Z:$Z,0)),"")</f>
        <v>Verified From Official Source</v>
      </c>
      <c r="O359" s="2" t="str">
        <f aca="false">IFERROR(INDEX(Query_Source_View!$X:$X,MATCH(ROW()-14,Query_Source_View!$Z:$Z,0)),"")</f>
        <v>https://www.winsornewton.com/pages/professional-acrylic-colour</v>
      </c>
    </row>
    <row r="360" customFormat="false" ht="46.25" hidden="false" customHeight="false" outlineLevel="0" collapsed="false">
      <c r="A360" s="2" t="str">
        <f aca="false">IFERROR(INDEX(Query_Source_View!$A:$A,MATCH(ROW()-14,Query_Source_View!$Z:$Z,0)),"")</f>
        <v>PNT000275</v>
      </c>
      <c r="B360" s="2" t="str">
        <f aca="false">IFERROR(INDEX(Query_Source_View!$D:$D,MATCH(ROW()-14,Query_Source_View!$Z:$Z,0)),"")</f>
        <v>Winsor And Newton</v>
      </c>
      <c r="C360" s="2" t="str">
        <f aca="false">IFERROR(INDEX(Query_Source_View!$F:$F,MATCH(ROW()-14,Query_Source_View!$Z:$Z,0)),"")</f>
        <v>Acrylic</v>
      </c>
      <c r="D360" s="2" t="str">
        <f aca="false">IFERROR(INDEX(Query_Source_View!$H:$H,MATCH(ROW()-14,Query_Source_View!$Z:$Z,0)),"")</f>
        <v>Professional Acrylic</v>
      </c>
      <c r="E360" s="2" t="str">
        <f aca="false">IFERROR(INDEX(Query_Source_View!$J:$J,MATCH(ROW()-14,Query_Source_View!$Z:$Z,0)),"")</f>
        <v>Davy’s Gray</v>
      </c>
      <c r="F360" s="2" t="str">
        <f aca="false">IFERROR(INDEX(Query_Source_View!$L:$L,MATCH(ROW()-14,Query_Source_View!$Z:$Z,0)),"")</f>
        <v>Black Or Gray</v>
      </c>
      <c r="G360" s="2" t="str">
        <f aca="false">IFERROR(INDEX(Query_Source_View!$N:$N,MATCH(ROW()-14,Query_Source_View!$Z:$Z,0)),"")</f>
        <v>PBk19</v>
      </c>
      <c r="H360" s="2" t="n">
        <f aca="false">IFERROR(INDEX(Query_Source_View!$P:$P,MATCH(ROW()-14,Query_Source_View!$Z:$Z,0)),"")</f>
        <v>2</v>
      </c>
      <c r="I360" s="2" t="str">
        <f aca="false">IFERROR(INDEX(Query_Source_View!$Q:$Q,MATCH(ROW()-14,Query_Source_View!$Z:$Z,0)),"")</f>
        <v>No</v>
      </c>
      <c r="J360" s="2" t="str">
        <f aca="false">IFERROR(INDEX(Query_Source_View!$R:$R,MATCH(ROW()-14,Query_Source_View!$Z:$Z,0)),"")</f>
        <v>Transparent</v>
      </c>
      <c r="K360" s="2" t="str">
        <f aca="false">IFERROR(INDEX(Query_Source_View!$T:$T,MATCH(ROW()-14,Query_Source_View!$Z:$Z,0)),"")</f>
        <v>Permanent</v>
      </c>
      <c r="L360" s="2" t="str">
        <f aca="false">IFERROR(INDEX(Query_Source_View!$U:$U,MATCH(ROW()-14,Query_Source_View!$Z:$Z,0)),"")</f>
        <v>I</v>
      </c>
      <c r="M360" s="2" t="n">
        <f aca="false">IFERROR(INDEX(Query_Source_View!$V:$V,MATCH(ROW()-14,Query_Source_View!$Z:$Z,0)),"")</f>
        <v>1</v>
      </c>
      <c r="N360" s="2" t="str">
        <f aca="false">IFERROR(INDEX(Query_Source_View!$W:$W,MATCH(ROW()-14,Query_Source_View!$Z:$Z,0)),"")</f>
        <v>Verified From Official Source</v>
      </c>
      <c r="O360" s="2" t="str">
        <f aca="false">IFERROR(INDEX(Query_Source_View!$X:$X,MATCH(ROW()-14,Query_Source_View!$Z:$Z,0)),"")</f>
        <v>https://www.winsornewton.com/pages/professional-acrylic-colour</v>
      </c>
    </row>
    <row r="361" customFormat="false" ht="46.25" hidden="false" customHeight="false" outlineLevel="0" collapsed="false">
      <c r="A361" s="2" t="str">
        <f aca="false">IFERROR(INDEX(Query_Source_View!$A:$A,MATCH(ROW()-14,Query_Source_View!$Z:$Z,0)),"")</f>
        <v>PNT000275</v>
      </c>
      <c r="B361" s="2" t="str">
        <f aca="false">IFERROR(INDEX(Query_Source_View!$D:$D,MATCH(ROW()-14,Query_Source_View!$Z:$Z,0)),"")</f>
        <v>Winsor And Newton</v>
      </c>
      <c r="C361" s="2" t="str">
        <f aca="false">IFERROR(INDEX(Query_Source_View!$F:$F,MATCH(ROW()-14,Query_Source_View!$Z:$Z,0)),"")</f>
        <v>Acrylic</v>
      </c>
      <c r="D361" s="2" t="str">
        <f aca="false">IFERROR(INDEX(Query_Source_View!$H:$H,MATCH(ROW()-14,Query_Source_View!$Z:$Z,0)),"")</f>
        <v>Professional Acrylic</v>
      </c>
      <c r="E361" s="2" t="str">
        <f aca="false">IFERROR(INDEX(Query_Source_View!$J:$J,MATCH(ROW()-14,Query_Source_View!$Z:$Z,0)),"")</f>
        <v>Davy’s Gray</v>
      </c>
      <c r="F361" s="2" t="str">
        <f aca="false">IFERROR(INDEX(Query_Source_View!$L:$L,MATCH(ROW()-14,Query_Source_View!$Z:$Z,0)),"")</f>
        <v>Black Or Gray</v>
      </c>
      <c r="G361" s="2" t="str">
        <f aca="false">IFERROR(INDEX(Query_Source_View!$N:$N,MATCH(ROW()-14,Query_Source_View!$Z:$Z,0)),"")</f>
        <v>PY42</v>
      </c>
      <c r="H361" s="2" t="n">
        <f aca="false">IFERROR(INDEX(Query_Source_View!$P:$P,MATCH(ROW()-14,Query_Source_View!$Z:$Z,0)),"")</f>
        <v>2</v>
      </c>
      <c r="I361" s="2" t="str">
        <f aca="false">IFERROR(INDEX(Query_Source_View!$Q:$Q,MATCH(ROW()-14,Query_Source_View!$Z:$Z,0)),"")</f>
        <v>No</v>
      </c>
      <c r="J361" s="2" t="str">
        <f aca="false">IFERROR(INDEX(Query_Source_View!$R:$R,MATCH(ROW()-14,Query_Source_View!$Z:$Z,0)),"")</f>
        <v>Transparent</v>
      </c>
      <c r="K361" s="2" t="str">
        <f aca="false">IFERROR(INDEX(Query_Source_View!$T:$T,MATCH(ROW()-14,Query_Source_View!$Z:$Z,0)),"")</f>
        <v>Permanent</v>
      </c>
      <c r="L361" s="2" t="str">
        <f aca="false">IFERROR(INDEX(Query_Source_View!$U:$U,MATCH(ROW()-14,Query_Source_View!$Z:$Z,0)),"")</f>
        <v>I</v>
      </c>
      <c r="M361" s="2" t="n">
        <f aca="false">IFERROR(INDEX(Query_Source_View!$V:$V,MATCH(ROW()-14,Query_Source_View!$Z:$Z,0)),"")</f>
        <v>1</v>
      </c>
      <c r="N361" s="2" t="str">
        <f aca="false">IFERROR(INDEX(Query_Source_View!$W:$W,MATCH(ROW()-14,Query_Source_View!$Z:$Z,0)),"")</f>
        <v>Verified From Official Source</v>
      </c>
      <c r="O361" s="2" t="str">
        <f aca="false">IFERROR(INDEX(Query_Source_View!$X:$X,MATCH(ROW()-14,Query_Source_View!$Z:$Z,0)),"")</f>
        <v>https://www.winsornewton.com/pages/professional-acrylic-colour</v>
      </c>
    </row>
    <row r="362" customFormat="false" ht="46.25" hidden="false" customHeight="false" outlineLevel="0" collapsed="false">
      <c r="A362" s="2" t="str">
        <f aca="false">IFERROR(INDEX(Query_Source_View!$A:$A,MATCH(ROW()-14,Query_Source_View!$Z:$Z,0)),"")</f>
        <v>PNT000276</v>
      </c>
      <c r="B362" s="2" t="str">
        <f aca="false">IFERROR(INDEX(Query_Source_View!$D:$D,MATCH(ROW()-14,Query_Source_View!$Z:$Z,0)),"")</f>
        <v>Winsor And Newton</v>
      </c>
      <c r="C362" s="2" t="str">
        <f aca="false">IFERROR(INDEX(Query_Source_View!$F:$F,MATCH(ROW()-14,Query_Source_View!$Z:$Z,0)),"")</f>
        <v>Acrylic</v>
      </c>
      <c r="D362" s="2" t="str">
        <f aca="false">IFERROR(INDEX(Query_Source_View!$H:$H,MATCH(ROW()-14,Query_Source_View!$Z:$Z,0)),"")</f>
        <v>Professional Acrylic</v>
      </c>
      <c r="E362" s="2" t="str">
        <f aca="false">IFERROR(INDEX(Query_Source_View!$J:$J,MATCH(ROW()-14,Query_Source_View!$Z:$Z,0)),"")</f>
        <v>Graphite Grey</v>
      </c>
      <c r="F362" s="2" t="str">
        <f aca="false">IFERROR(INDEX(Query_Source_View!$L:$L,MATCH(ROW()-14,Query_Source_View!$Z:$Z,0)),"")</f>
        <v>Black Or Gray</v>
      </c>
      <c r="G362" s="2" t="str">
        <f aca="false">IFERROR(INDEX(Query_Source_View!$N:$N,MATCH(ROW()-14,Query_Source_View!$Z:$Z,0)),"")</f>
        <v>PBk10</v>
      </c>
      <c r="H362" s="2" t="n">
        <f aca="false">IFERROR(INDEX(Query_Source_View!$P:$P,MATCH(ROW()-14,Query_Source_View!$Z:$Z,0)),"")</f>
        <v>1</v>
      </c>
      <c r="I362" s="2" t="str">
        <f aca="false">IFERROR(INDEX(Query_Source_View!$Q:$Q,MATCH(ROW()-14,Query_Source_View!$Z:$Z,0)),"")</f>
        <v>Yes</v>
      </c>
      <c r="J362" s="2" t="str">
        <f aca="false">IFERROR(INDEX(Query_Source_View!$R:$R,MATCH(ROW()-14,Query_Source_View!$Z:$Z,0)),"")</f>
        <v>Opaque</v>
      </c>
      <c r="K362" s="2" t="str">
        <f aca="false">IFERROR(INDEX(Query_Source_View!$T:$T,MATCH(ROW()-14,Query_Source_View!$Z:$Z,0)),"")</f>
        <v>Extremely Permanent</v>
      </c>
      <c r="L362" s="2" t="str">
        <f aca="false">IFERROR(INDEX(Query_Source_View!$U:$U,MATCH(ROW()-14,Query_Source_View!$Z:$Z,0)),"")</f>
        <v>I</v>
      </c>
      <c r="M362" s="2" t="n">
        <f aca="false">IFERROR(INDEX(Query_Source_View!$V:$V,MATCH(ROW()-14,Query_Source_View!$Z:$Z,0)),"")</f>
        <v>2</v>
      </c>
      <c r="N362" s="2" t="str">
        <f aca="false">IFERROR(INDEX(Query_Source_View!$W:$W,MATCH(ROW()-14,Query_Source_View!$Z:$Z,0)),"")</f>
        <v>Verified From Official Source</v>
      </c>
      <c r="O362" s="2" t="str">
        <f aca="false">IFERROR(INDEX(Query_Source_View!$X:$X,MATCH(ROW()-14,Query_Source_View!$Z:$Z,0)),"")</f>
        <v>https://www.winsornewton.com/pages/professional-acrylic-colour</v>
      </c>
    </row>
    <row r="363" customFormat="false" ht="46.25" hidden="false" customHeight="false" outlineLevel="0" collapsed="false">
      <c r="A363" s="2" t="str">
        <f aca="false">IFERROR(INDEX(Query_Source_View!$A:$A,MATCH(ROW()-14,Query_Source_View!$Z:$Z,0)),"")</f>
        <v>PNT000277</v>
      </c>
      <c r="B363" s="2" t="str">
        <f aca="false">IFERROR(INDEX(Query_Source_View!$D:$D,MATCH(ROW()-14,Query_Source_View!$Z:$Z,0)),"")</f>
        <v>Winsor And Newton</v>
      </c>
      <c r="C363" s="2" t="str">
        <f aca="false">IFERROR(INDEX(Query_Source_View!$F:$F,MATCH(ROW()-14,Query_Source_View!$Z:$Z,0)),"")</f>
        <v>Acrylic</v>
      </c>
      <c r="D363" s="2" t="str">
        <f aca="false">IFERROR(INDEX(Query_Source_View!$H:$H,MATCH(ROW()-14,Query_Source_View!$Z:$Z,0)),"")</f>
        <v>Professional Acrylic</v>
      </c>
      <c r="E363" s="2" t="str">
        <f aca="false">IFERROR(INDEX(Query_Source_View!$J:$J,MATCH(ROW()-14,Query_Source_View!$Z:$Z,0)),"")</f>
        <v>Payne’s Gray</v>
      </c>
      <c r="F363" s="2" t="str">
        <f aca="false">IFERROR(INDEX(Query_Source_View!$L:$L,MATCH(ROW()-14,Query_Source_View!$Z:$Z,0)),"")</f>
        <v>Black Or Gray</v>
      </c>
      <c r="G363" s="2" t="str">
        <f aca="false">IFERROR(INDEX(Query_Source_View!$N:$N,MATCH(ROW()-14,Query_Source_View!$Z:$Z,0)),"")</f>
        <v>PB29</v>
      </c>
      <c r="H363" s="2" t="n">
        <f aca="false">IFERROR(INDEX(Query_Source_View!$P:$P,MATCH(ROW()-14,Query_Source_View!$Z:$Z,0)),"")</f>
        <v>2</v>
      </c>
      <c r="I363" s="2" t="str">
        <f aca="false">IFERROR(INDEX(Query_Source_View!$Q:$Q,MATCH(ROW()-14,Query_Source_View!$Z:$Z,0)),"")</f>
        <v>No</v>
      </c>
      <c r="J363" s="2" t="str">
        <f aca="false">IFERROR(INDEX(Query_Source_View!$R:$R,MATCH(ROW()-14,Query_Source_View!$Z:$Z,0)),"")</f>
        <v>Semi Opaque</v>
      </c>
      <c r="K363" s="2" t="str">
        <f aca="false">IFERROR(INDEX(Query_Source_View!$T:$T,MATCH(ROW()-14,Query_Source_View!$Z:$Z,0)),"")</f>
        <v>Permanent</v>
      </c>
      <c r="L363" s="2" t="str">
        <f aca="false">IFERROR(INDEX(Query_Source_View!$U:$U,MATCH(ROW()-14,Query_Source_View!$Z:$Z,0)),"")</f>
        <v>I</v>
      </c>
      <c r="M363" s="2" t="n">
        <f aca="false">IFERROR(INDEX(Query_Source_View!$V:$V,MATCH(ROW()-14,Query_Source_View!$Z:$Z,0)),"")</f>
        <v>1</v>
      </c>
      <c r="N363" s="2" t="str">
        <f aca="false">IFERROR(INDEX(Query_Source_View!$W:$W,MATCH(ROW()-14,Query_Source_View!$Z:$Z,0)),"")</f>
        <v>Verified From Official Source</v>
      </c>
      <c r="O363" s="2" t="str">
        <f aca="false">IFERROR(INDEX(Query_Source_View!$X:$X,MATCH(ROW()-14,Query_Source_View!$Z:$Z,0)),"")</f>
        <v>https://www.winsornewton.com/pages/professional-acrylic-colour</v>
      </c>
    </row>
    <row r="364" customFormat="false" ht="46.25" hidden="false" customHeight="false" outlineLevel="0" collapsed="false">
      <c r="A364" s="2" t="str">
        <f aca="false">IFERROR(INDEX(Query_Source_View!$A:$A,MATCH(ROW()-14,Query_Source_View!$Z:$Z,0)),"")</f>
        <v>PNT000277</v>
      </c>
      <c r="B364" s="2" t="str">
        <f aca="false">IFERROR(INDEX(Query_Source_View!$D:$D,MATCH(ROW()-14,Query_Source_View!$Z:$Z,0)),"")</f>
        <v>Winsor And Newton</v>
      </c>
      <c r="C364" s="2" t="str">
        <f aca="false">IFERROR(INDEX(Query_Source_View!$F:$F,MATCH(ROW()-14,Query_Source_View!$Z:$Z,0)),"")</f>
        <v>Acrylic</v>
      </c>
      <c r="D364" s="2" t="str">
        <f aca="false">IFERROR(INDEX(Query_Source_View!$H:$H,MATCH(ROW()-14,Query_Source_View!$Z:$Z,0)),"")</f>
        <v>Professional Acrylic</v>
      </c>
      <c r="E364" s="2" t="str">
        <f aca="false">IFERROR(INDEX(Query_Source_View!$J:$J,MATCH(ROW()-14,Query_Source_View!$Z:$Z,0)),"")</f>
        <v>Payne’s Gray</v>
      </c>
      <c r="F364" s="2" t="str">
        <f aca="false">IFERROR(INDEX(Query_Source_View!$L:$L,MATCH(ROW()-14,Query_Source_View!$Z:$Z,0)),"")</f>
        <v>Black Or Gray</v>
      </c>
      <c r="G364" s="2" t="str">
        <f aca="false">IFERROR(INDEX(Query_Source_View!$N:$N,MATCH(ROW()-14,Query_Source_View!$Z:$Z,0)),"")</f>
        <v>PBk9</v>
      </c>
      <c r="H364" s="2" t="n">
        <f aca="false">IFERROR(INDEX(Query_Source_View!$P:$P,MATCH(ROW()-14,Query_Source_View!$Z:$Z,0)),"")</f>
        <v>2</v>
      </c>
      <c r="I364" s="2" t="str">
        <f aca="false">IFERROR(INDEX(Query_Source_View!$Q:$Q,MATCH(ROW()-14,Query_Source_View!$Z:$Z,0)),"")</f>
        <v>No</v>
      </c>
      <c r="J364" s="2" t="str">
        <f aca="false">IFERROR(INDEX(Query_Source_View!$R:$R,MATCH(ROW()-14,Query_Source_View!$Z:$Z,0)),"")</f>
        <v>Semi Opaque</v>
      </c>
      <c r="K364" s="2" t="str">
        <f aca="false">IFERROR(INDEX(Query_Source_View!$T:$T,MATCH(ROW()-14,Query_Source_View!$Z:$Z,0)),"")</f>
        <v>Permanent</v>
      </c>
      <c r="L364" s="2" t="str">
        <f aca="false">IFERROR(INDEX(Query_Source_View!$U:$U,MATCH(ROW()-14,Query_Source_View!$Z:$Z,0)),"")</f>
        <v>I</v>
      </c>
      <c r="M364" s="2" t="n">
        <f aca="false">IFERROR(INDEX(Query_Source_View!$V:$V,MATCH(ROW()-14,Query_Source_View!$Z:$Z,0)),"")</f>
        <v>1</v>
      </c>
      <c r="N364" s="2" t="str">
        <f aca="false">IFERROR(INDEX(Query_Source_View!$W:$W,MATCH(ROW()-14,Query_Source_View!$Z:$Z,0)),"")</f>
        <v>Verified From Official Source</v>
      </c>
      <c r="O364" s="2" t="str">
        <f aca="false">IFERROR(INDEX(Query_Source_View!$X:$X,MATCH(ROW()-14,Query_Source_View!$Z:$Z,0)),"")</f>
        <v>https://www.winsornewton.com/pages/professional-acrylic-colour</v>
      </c>
    </row>
    <row r="365" customFormat="false" ht="46.25" hidden="false" customHeight="false" outlineLevel="0" collapsed="false">
      <c r="A365" s="2" t="str">
        <f aca="false">IFERROR(INDEX(Query_Source_View!$A:$A,MATCH(ROW()-14,Query_Source_View!$Z:$Z,0)),"")</f>
        <v>PNT000278</v>
      </c>
      <c r="B365" s="2" t="str">
        <f aca="false">IFERROR(INDEX(Query_Source_View!$D:$D,MATCH(ROW()-14,Query_Source_View!$Z:$Z,0)),"")</f>
        <v>Winsor And Newton</v>
      </c>
      <c r="C365" s="2" t="str">
        <f aca="false">IFERROR(INDEX(Query_Source_View!$F:$F,MATCH(ROW()-14,Query_Source_View!$Z:$Z,0)),"")</f>
        <v>Acrylic</v>
      </c>
      <c r="D365" s="2" t="str">
        <f aca="false">IFERROR(INDEX(Query_Source_View!$H:$H,MATCH(ROW()-14,Query_Source_View!$Z:$Z,0)),"")</f>
        <v>Professional Acrylic</v>
      </c>
      <c r="E365" s="2" t="str">
        <f aca="false">IFERROR(INDEX(Query_Source_View!$J:$J,MATCH(ROW()-14,Query_Source_View!$Z:$Z,0)),"")</f>
        <v>Ivory Black</v>
      </c>
      <c r="F365" s="2" t="str">
        <f aca="false">IFERROR(INDEX(Query_Source_View!$L:$L,MATCH(ROW()-14,Query_Source_View!$Z:$Z,0)),"")</f>
        <v>Black Or Gray</v>
      </c>
      <c r="G365" s="2" t="str">
        <f aca="false">IFERROR(INDEX(Query_Source_View!$N:$N,MATCH(ROW()-14,Query_Source_View!$Z:$Z,0)),"")</f>
        <v>PBk9</v>
      </c>
      <c r="H365" s="2" t="n">
        <f aca="false">IFERROR(INDEX(Query_Source_View!$P:$P,MATCH(ROW()-14,Query_Source_View!$Z:$Z,0)),"")</f>
        <v>1</v>
      </c>
      <c r="I365" s="2" t="str">
        <f aca="false">IFERROR(INDEX(Query_Source_View!$Q:$Q,MATCH(ROW()-14,Query_Source_View!$Z:$Z,0)),"")</f>
        <v>Yes</v>
      </c>
      <c r="J365" s="2" t="str">
        <f aca="false">IFERROR(INDEX(Query_Source_View!$R:$R,MATCH(ROW()-14,Query_Source_View!$Z:$Z,0)),"")</f>
        <v>Opaque</v>
      </c>
      <c r="K365" s="2" t="str">
        <f aca="false">IFERROR(INDEX(Query_Source_View!$T:$T,MATCH(ROW()-14,Query_Source_View!$Z:$Z,0)),"")</f>
        <v>Extremely Permanent</v>
      </c>
      <c r="L365" s="2" t="str">
        <f aca="false">IFERROR(INDEX(Query_Source_View!$U:$U,MATCH(ROW()-14,Query_Source_View!$Z:$Z,0)),"")</f>
        <v>I</v>
      </c>
      <c r="M365" s="2" t="n">
        <f aca="false">IFERROR(INDEX(Query_Source_View!$V:$V,MATCH(ROW()-14,Query_Source_View!$Z:$Z,0)),"")</f>
        <v>1</v>
      </c>
      <c r="N365" s="2" t="str">
        <f aca="false">IFERROR(INDEX(Query_Source_View!$W:$W,MATCH(ROW()-14,Query_Source_View!$Z:$Z,0)),"")</f>
        <v>Verified From Official Source</v>
      </c>
      <c r="O365" s="2" t="str">
        <f aca="false">IFERROR(INDEX(Query_Source_View!$X:$X,MATCH(ROW()-14,Query_Source_View!$Z:$Z,0)),"")</f>
        <v>https://www.winsornewton.com/pages/professional-acrylic-colour</v>
      </c>
    </row>
    <row r="366" customFormat="false" ht="46.25" hidden="false" customHeight="false" outlineLevel="0" collapsed="false">
      <c r="A366" s="2" t="str">
        <f aca="false">IFERROR(INDEX(Query_Source_View!$A:$A,MATCH(ROW()-14,Query_Source_View!$Z:$Z,0)),"")</f>
        <v>PNT000279</v>
      </c>
      <c r="B366" s="2" t="str">
        <f aca="false">IFERROR(INDEX(Query_Source_View!$D:$D,MATCH(ROW()-14,Query_Source_View!$Z:$Z,0)),"")</f>
        <v>Winsor And Newton</v>
      </c>
      <c r="C366" s="2" t="str">
        <f aca="false">IFERROR(INDEX(Query_Source_View!$F:$F,MATCH(ROW()-14,Query_Source_View!$Z:$Z,0)),"")</f>
        <v>Acrylic</v>
      </c>
      <c r="D366" s="2" t="str">
        <f aca="false">IFERROR(INDEX(Query_Source_View!$H:$H,MATCH(ROW()-14,Query_Source_View!$Z:$Z,0)),"")</f>
        <v>Professional Acrylic</v>
      </c>
      <c r="E366" s="2" t="str">
        <f aca="false">IFERROR(INDEX(Query_Source_View!$J:$J,MATCH(ROW()-14,Query_Source_View!$Z:$Z,0)),"")</f>
        <v>Mars Black</v>
      </c>
      <c r="F366" s="2" t="str">
        <f aca="false">IFERROR(INDEX(Query_Source_View!$L:$L,MATCH(ROW()-14,Query_Source_View!$Z:$Z,0)),"")</f>
        <v>Black Or Gray</v>
      </c>
      <c r="G366" s="2" t="str">
        <f aca="false">IFERROR(INDEX(Query_Source_View!$N:$N,MATCH(ROW()-14,Query_Source_View!$Z:$Z,0)),"")</f>
        <v>PBk11</v>
      </c>
      <c r="H366" s="2" t="n">
        <f aca="false">IFERROR(INDEX(Query_Source_View!$P:$P,MATCH(ROW()-14,Query_Source_View!$Z:$Z,0)),"")</f>
        <v>1</v>
      </c>
      <c r="I366" s="2" t="str">
        <f aca="false">IFERROR(INDEX(Query_Source_View!$Q:$Q,MATCH(ROW()-14,Query_Source_View!$Z:$Z,0)),"")</f>
        <v>Yes</v>
      </c>
      <c r="J366" s="2" t="str">
        <f aca="false">IFERROR(INDEX(Query_Source_View!$R:$R,MATCH(ROW()-14,Query_Source_View!$Z:$Z,0)),"")</f>
        <v>Opaque</v>
      </c>
      <c r="K366" s="2" t="str">
        <f aca="false">IFERROR(INDEX(Query_Source_View!$T:$T,MATCH(ROW()-14,Query_Source_View!$Z:$Z,0)),"")</f>
        <v>Extremely Permanent</v>
      </c>
      <c r="L366" s="2" t="str">
        <f aca="false">IFERROR(INDEX(Query_Source_View!$U:$U,MATCH(ROW()-14,Query_Source_View!$Z:$Z,0)),"")</f>
        <v>I</v>
      </c>
      <c r="M366" s="2" t="n">
        <f aca="false">IFERROR(INDEX(Query_Source_View!$V:$V,MATCH(ROW()-14,Query_Source_View!$Z:$Z,0)),"")</f>
        <v>1</v>
      </c>
      <c r="N366" s="2" t="str">
        <f aca="false">IFERROR(INDEX(Query_Source_View!$W:$W,MATCH(ROW()-14,Query_Source_View!$Z:$Z,0)),"")</f>
        <v>Verified From Official Source</v>
      </c>
      <c r="O366" s="2" t="str">
        <f aca="false">IFERROR(INDEX(Query_Source_View!$X:$X,MATCH(ROW()-14,Query_Source_View!$Z:$Z,0)),"")</f>
        <v>https://www.winsornewton.com/pages/professional-acrylic-colour</v>
      </c>
    </row>
    <row r="367" customFormat="false" ht="15" hidden="false" customHeight="false" outlineLevel="0" collapsed="false">
      <c r="A367" s="2" t="str">
        <f aca="false">IFERROR(INDEX(Query_Source_View!$A:$A,MATCH(ROW()-14,Query_Source_View!$Z:$Z,0)),"")</f>
        <v/>
      </c>
      <c r="B367" s="2" t="str">
        <f aca="false">IFERROR(INDEX(Query_Source_View!$D:$D,MATCH(ROW()-14,Query_Source_View!$Z:$Z,0)),"")</f>
        <v/>
      </c>
      <c r="C367" s="2" t="str">
        <f aca="false">IFERROR(INDEX(Query_Source_View!$F:$F,MATCH(ROW()-14,Query_Source_View!$Z:$Z,0)),"")</f>
        <v/>
      </c>
      <c r="D367" s="2" t="str">
        <f aca="false">IFERROR(INDEX(Query_Source_View!$H:$H,MATCH(ROW()-14,Query_Source_View!$Z:$Z,0)),"")</f>
        <v/>
      </c>
      <c r="E367" s="2" t="str">
        <f aca="false">IFERROR(INDEX(Query_Source_View!$J:$J,MATCH(ROW()-14,Query_Source_View!$Z:$Z,0)),"")</f>
        <v/>
      </c>
      <c r="F367" s="2" t="str">
        <f aca="false">IFERROR(INDEX(Query_Source_View!$L:$L,MATCH(ROW()-14,Query_Source_View!$Z:$Z,0)),"")</f>
        <v/>
      </c>
      <c r="G367" s="2" t="str">
        <f aca="false">IFERROR(INDEX(Query_Source_View!$N:$N,MATCH(ROW()-14,Query_Source_View!$Z:$Z,0)),"")</f>
        <v/>
      </c>
      <c r="H367" s="2" t="str">
        <f aca="false">IFERROR(INDEX(Query_Source_View!$P:$P,MATCH(ROW()-14,Query_Source_View!$Z:$Z,0)),"")</f>
        <v/>
      </c>
      <c r="I367" s="2" t="str">
        <f aca="false">IFERROR(INDEX(Query_Source_View!$Q:$Q,MATCH(ROW()-14,Query_Source_View!$Z:$Z,0)),"")</f>
        <v/>
      </c>
      <c r="J367" s="2" t="str">
        <f aca="false">IFERROR(INDEX(Query_Source_View!$R:$R,MATCH(ROW()-14,Query_Source_View!$Z:$Z,0)),"")</f>
        <v/>
      </c>
      <c r="K367" s="2" t="str">
        <f aca="false">IFERROR(INDEX(Query_Source_View!$T:$T,MATCH(ROW()-14,Query_Source_View!$Z:$Z,0)),"")</f>
        <v/>
      </c>
      <c r="L367" s="2" t="str">
        <f aca="false">IFERROR(INDEX(Query_Source_View!$U:$U,MATCH(ROW()-14,Query_Source_View!$Z:$Z,0)),"")</f>
        <v/>
      </c>
      <c r="M367" s="2" t="str">
        <f aca="false">IFERROR(INDEX(Query_Source_View!$V:$V,MATCH(ROW()-14,Query_Source_View!$Z:$Z,0)),"")</f>
        <v/>
      </c>
      <c r="N367" s="2" t="str">
        <f aca="false">IFERROR(INDEX(Query_Source_View!$W:$W,MATCH(ROW()-14,Query_Source_View!$Z:$Z,0)),"")</f>
        <v/>
      </c>
      <c r="O367" s="2" t="str">
        <f aca="false">IFERROR(INDEX(Query_Source_View!$X:$X,MATCH(ROW()-14,Query_Source_View!$Z:$Z,0)),"")</f>
        <v/>
      </c>
    </row>
    <row r="368" customFormat="false" ht="15" hidden="false" customHeight="false" outlineLevel="0" collapsed="false">
      <c r="A368" s="2" t="str">
        <f aca="false">IFERROR(INDEX(Query_Source_View!$A:$A,MATCH(ROW()-14,Query_Source_View!$Z:$Z,0)),"")</f>
        <v/>
      </c>
      <c r="B368" s="2" t="str">
        <f aca="false">IFERROR(INDEX(Query_Source_View!$D:$D,MATCH(ROW()-14,Query_Source_View!$Z:$Z,0)),"")</f>
        <v/>
      </c>
      <c r="C368" s="2" t="str">
        <f aca="false">IFERROR(INDEX(Query_Source_View!$F:$F,MATCH(ROW()-14,Query_Source_View!$Z:$Z,0)),"")</f>
        <v/>
      </c>
      <c r="D368" s="2" t="str">
        <f aca="false">IFERROR(INDEX(Query_Source_View!$H:$H,MATCH(ROW()-14,Query_Source_View!$Z:$Z,0)),"")</f>
        <v/>
      </c>
      <c r="E368" s="2" t="str">
        <f aca="false">IFERROR(INDEX(Query_Source_View!$J:$J,MATCH(ROW()-14,Query_Source_View!$Z:$Z,0)),"")</f>
        <v/>
      </c>
      <c r="F368" s="2" t="str">
        <f aca="false">IFERROR(INDEX(Query_Source_View!$L:$L,MATCH(ROW()-14,Query_Source_View!$Z:$Z,0)),"")</f>
        <v/>
      </c>
      <c r="G368" s="2" t="str">
        <f aca="false">IFERROR(INDEX(Query_Source_View!$N:$N,MATCH(ROW()-14,Query_Source_View!$Z:$Z,0)),"")</f>
        <v/>
      </c>
      <c r="H368" s="2" t="str">
        <f aca="false">IFERROR(INDEX(Query_Source_View!$P:$P,MATCH(ROW()-14,Query_Source_View!$Z:$Z,0)),"")</f>
        <v/>
      </c>
      <c r="I368" s="2" t="str">
        <f aca="false">IFERROR(INDEX(Query_Source_View!$Q:$Q,MATCH(ROW()-14,Query_Source_View!$Z:$Z,0)),"")</f>
        <v/>
      </c>
      <c r="J368" s="2" t="str">
        <f aca="false">IFERROR(INDEX(Query_Source_View!$R:$R,MATCH(ROW()-14,Query_Source_View!$Z:$Z,0)),"")</f>
        <v/>
      </c>
      <c r="K368" s="2" t="str">
        <f aca="false">IFERROR(INDEX(Query_Source_View!$T:$T,MATCH(ROW()-14,Query_Source_View!$Z:$Z,0)),"")</f>
        <v/>
      </c>
      <c r="L368" s="2" t="str">
        <f aca="false">IFERROR(INDEX(Query_Source_View!$U:$U,MATCH(ROW()-14,Query_Source_View!$Z:$Z,0)),"")</f>
        <v/>
      </c>
      <c r="M368" s="2" t="str">
        <f aca="false">IFERROR(INDEX(Query_Source_View!$V:$V,MATCH(ROW()-14,Query_Source_View!$Z:$Z,0)),"")</f>
        <v/>
      </c>
      <c r="N368" s="2" t="str">
        <f aca="false">IFERROR(INDEX(Query_Source_View!$W:$W,MATCH(ROW()-14,Query_Source_View!$Z:$Z,0)),"")</f>
        <v/>
      </c>
      <c r="O368" s="2" t="str">
        <f aca="false">IFERROR(INDEX(Query_Source_View!$X:$X,MATCH(ROW()-14,Query_Source_View!$Z:$Z,0)),"")</f>
        <v/>
      </c>
    </row>
    <row r="369" customFormat="false" ht="15" hidden="false" customHeight="false" outlineLevel="0" collapsed="false">
      <c r="A369" s="2" t="str">
        <f aca="false">IFERROR(INDEX(Query_Source_View!$A:$A,MATCH(ROW()-14,Query_Source_View!$Z:$Z,0)),"")</f>
        <v/>
      </c>
      <c r="B369" s="2" t="str">
        <f aca="false">IFERROR(INDEX(Query_Source_View!$D:$D,MATCH(ROW()-14,Query_Source_View!$Z:$Z,0)),"")</f>
        <v/>
      </c>
      <c r="C369" s="2" t="str">
        <f aca="false">IFERROR(INDEX(Query_Source_View!$F:$F,MATCH(ROW()-14,Query_Source_View!$Z:$Z,0)),"")</f>
        <v/>
      </c>
      <c r="D369" s="2" t="str">
        <f aca="false">IFERROR(INDEX(Query_Source_View!$H:$H,MATCH(ROW()-14,Query_Source_View!$Z:$Z,0)),"")</f>
        <v/>
      </c>
      <c r="E369" s="2" t="str">
        <f aca="false">IFERROR(INDEX(Query_Source_View!$J:$J,MATCH(ROW()-14,Query_Source_View!$Z:$Z,0)),"")</f>
        <v/>
      </c>
      <c r="F369" s="2" t="str">
        <f aca="false">IFERROR(INDEX(Query_Source_View!$L:$L,MATCH(ROW()-14,Query_Source_View!$Z:$Z,0)),"")</f>
        <v/>
      </c>
      <c r="G369" s="2" t="str">
        <f aca="false">IFERROR(INDEX(Query_Source_View!$N:$N,MATCH(ROW()-14,Query_Source_View!$Z:$Z,0)),"")</f>
        <v/>
      </c>
      <c r="H369" s="2" t="str">
        <f aca="false">IFERROR(INDEX(Query_Source_View!$P:$P,MATCH(ROW()-14,Query_Source_View!$Z:$Z,0)),"")</f>
        <v/>
      </c>
      <c r="I369" s="2" t="str">
        <f aca="false">IFERROR(INDEX(Query_Source_View!$Q:$Q,MATCH(ROW()-14,Query_Source_View!$Z:$Z,0)),"")</f>
        <v/>
      </c>
      <c r="J369" s="2" t="str">
        <f aca="false">IFERROR(INDEX(Query_Source_View!$R:$R,MATCH(ROW()-14,Query_Source_View!$Z:$Z,0)),"")</f>
        <v/>
      </c>
      <c r="K369" s="2" t="str">
        <f aca="false">IFERROR(INDEX(Query_Source_View!$T:$T,MATCH(ROW()-14,Query_Source_View!$Z:$Z,0)),"")</f>
        <v/>
      </c>
      <c r="L369" s="2" t="str">
        <f aca="false">IFERROR(INDEX(Query_Source_View!$U:$U,MATCH(ROW()-14,Query_Source_View!$Z:$Z,0)),"")</f>
        <v/>
      </c>
      <c r="M369" s="2" t="str">
        <f aca="false">IFERROR(INDEX(Query_Source_View!$V:$V,MATCH(ROW()-14,Query_Source_View!$Z:$Z,0)),"")</f>
        <v/>
      </c>
      <c r="N369" s="2" t="str">
        <f aca="false">IFERROR(INDEX(Query_Source_View!$W:$W,MATCH(ROW()-14,Query_Source_View!$Z:$Z,0)),"")</f>
        <v/>
      </c>
      <c r="O369" s="2" t="str">
        <f aca="false">IFERROR(INDEX(Query_Source_View!$X:$X,MATCH(ROW()-14,Query_Source_View!$Z:$Z,0)),"")</f>
        <v/>
      </c>
    </row>
    <row r="370" customFormat="false" ht="15" hidden="false" customHeight="false" outlineLevel="0" collapsed="false">
      <c r="A370" s="2" t="str">
        <f aca="false">IFERROR(INDEX(Query_Source_View!$A:$A,MATCH(ROW()-14,Query_Source_View!$Z:$Z,0)),"")</f>
        <v/>
      </c>
      <c r="B370" s="2" t="str">
        <f aca="false">IFERROR(INDEX(Query_Source_View!$D:$D,MATCH(ROW()-14,Query_Source_View!$Z:$Z,0)),"")</f>
        <v/>
      </c>
      <c r="C370" s="2" t="str">
        <f aca="false">IFERROR(INDEX(Query_Source_View!$F:$F,MATCH(ROW()-14,Query_Source_View!$Z:$Z,0)),"")</f>
        <v/>
      </c>
      <c r="D370" s="2" t="str">
        <f aca="false">IFERROR(INDEX(Query_Source_View!$H:$H,MATCH(ROW()-14,Query_Source_View!$Z:$Z,0)),"")</f>
        <v/>
      </c>
      <c r="E370" s="2" t="str">
        <f aca="false">IFERROR(INDEX(Query_Source_View!$J:$J,MATCH(ROW()-14,Query_Source_View!$Z:$Z,0)),"")</f>
        <v/>
      </c>
      <c r="F370" s="2" t="str">
        <f aca="false">IFERROR(INDEX(Query_Source_View!$L:$L,MATCH(ROW()-14,Query_Source_View!$Z:$Z,0)),"")</f>
        <v/>
      </c>
      <c r="G370" s="2" t="str">
        <f aca="false">IFERROR(INDEX(Query_Source_View!$N:$N,MATCH(ROW()-14,Query_Source_View!$Z:$Z,0)),"")</f>
        <v/>
      </c>
      <c r="H370" s="2" t="str">
        <f aca="false">IFERROR(INDEX(Query_Source_View!$P:$P,MATCH(ROW()-14,Query_Source_View!$Z:$Z,0)),"")</f>
        <v/>
      </c>
      <c r="I370" s="2" t="str">
        <f aca="false">IFERROR(INDEX(Query_Source_View!$Q:$Q,MATCH(ROW()-14,Query_Source_View!$Z:$Z,0)),"")</f>
        <v/>
      </c>
      <c r="J370" s="2" t="str">
        <f aca="false">IFERROR(INDEX(Query_Source_View!$R:$R,MATCH(ROW()-14,Query_Source_View!$Z:$Z,0)),"")</f>
        <v/>
      </c>
      <c r="K370" s="2" t="str">
        <f aca="false">IFERROR(INDEX(Query_Source_View!$T:$T,MATCH(ROW()-14,Query_Source_View!$Z:$Z,0)),"")</f>
        <v/>
      </c>
      <c r="L370" s="2" t="str">
        <f aca="false">IFERROR(INDEX(Query_Source_View!$U:$U,MATCH(ROW()-14,Query_Source_View!$Z:$Z,0)),"")</f>
        <v/>
      </c>
      <c r="M370" s="2" t="str">
        <f aca="false">IFERROR(INDEX(Query_Source_View!$V:$V,MATCH(ROW()-14,Query_Source_View!$Z:$Z,0)),"")</f>
        <v/>
      </c>
      <c r="N370" s="2" t="str">
        <f aca="false">IFERROR(INDEX(Query_Source_View!$W:$W,MATCH(ROW()-14,Query_Source_View!$Z:$Z,0)),"")</f>
        <v/>
      </c>
      <c r="O370" s="2" t="str">
        <f aca="false">IFERROR(INDEX(Query_Source_View!$X:$X,MATCH(ROW()-14,Query_Source_View!$Z:$Z,0)),"")</f>
        <v/>
      </c>
    </row>
    <row r="371" customFormat="false" ht="15" hidden="false" customHeight="false" outlineLevel="0" collapsed="false">
      <c r="A371" s="2" t="str">
        <f aca="false">IFERROR(INDEX(Query_Source_View!$A:$A,MATCH(ROW()-14,Query_Source_View!$Z:$Z,0)),"")</f>
        <v/>
      </c>
      <c r="B371" s="2" t="str">
        <f aca="false">IFERROR(INDEX(Query_Source_View!$D:$D,MATCH(ROW()-14,Query_Source_View!$Z:$Z,0)),"")</f>
        <v/>
      </c>
      <c r="C371" s="2" t="str">
        <f aca="false">IFERROR(INDEX(Query_Source_View!$F:$F,MATCH(ROW()-14,Query_Source_View!$Z:$Z,0)),"")</f>
        <v/>
      </c>
      <c r="D371" s="2" t="str">
        <f aca="false">IFERROR(INDEX(Query_Source_View!$H:$H,MATCH(ROW()-14,Query_Source_View!$Z:$Z,0)),"")</f>
        <v/>
      </c>
      <c r="E371" s="2" t="str">
        <f aca="false">IFERROR(INDEX(Query_Source_View!$J:$J,MATCH(ROW()-14,Query_Source_View!$Z:$Z,0)),"")</f>
        <v/>
      </c>
      <c r="F371" s="2" t="str">
        <f aca="false">IFERROR(INDEX(Query_Source_View!$L:$L,MATCH(ROW()-14,Query_Source_View!$Z:$Z,0)),"")</f>
        <v/>
      </c>
      <c r="G371" s="2" t="str">
        <f aca="false">IFERROR(INDEX(Query_Source_View!$N:$N,MATCH(ROW()-14,Query_Source_View!$Z:$Z,0)),"")</f>
        <v/>
      </c>
      <c r="H371" s="2" t="str">
        <f aca="false">IFERROR(INDEX(Query_Source_View!$P:$P,MATCH(ROW()-14,Query_Source_View!$Z:$Z,0)),"")</f>
        <v/>
      </c>
      <c r="I371" s="2" t="str">
        <f aca="false">IFERROR(INDEX(Query_Source_View!$Q:$Q,MATCH(ROW()-14,Query_Source_View!$Z:$Z,0)),"")</f>
        <v/>
      </c>
      <c r="J371" s="2" t="str">
        <f aca="false">IFERROR(INDEX(Query_Source_View!$R:$R,MATCH(ROW()-14,Query_Source_View!$Z:$Z,0)),"")</f>
        <v/>
      </c>
      <c r="K371" s="2" t="str">
        <f aca="false">IFERROR(INDEX(Query_Source_View!$T:$T,MATCH(ROW()-14,Query_Source_View!$Z:$Z,0)),"")</f>
        <v/>
      </c>
      <c r="L371" s="2" t="str">
        <f aca="false">IFERROR(INDEX(Query_Source_View!$U:$U,MATCH(ROW()-14,Query_Source_View!$Z:$Z,0)),"")</f>
        <v/>
      </c>
      <c r="M371" s="2" t="str">
        <f aca="false">IFERROR(INDEX(Query_Source_View!$V:$V,MATCH(ROW()-14,Query_Source_View!$Z:$Z,0)),"")</f>
        <v/>
      </c>
      <c r="N371" s="2" t="str">
        <f aca="false">IFERROR(INDEX(Query_Source_View!$W:$W,MATCH(ROW()-14,Query_Source_View!$Z:$Z,0)),"")</f>
        <v/>
      </c>
      <c r="O371" s="2" t="str">
        <f aca="false">IFERROR(INDEX(Query_Source_View!$X:$X,MATCH(ROW()-14,Query_Source_View!$Z:$Z,0)),"")</f>
        <v/>
      </c>
    </row>
    <row r="372" customFormat="false" ht="15" hidden="false" customHeight="false" outlineLevel="0" collapsed="false">
      <c r="A372" s="2" t="str">
        <f aca="false">IFERROR(INDEX(Query_Source_View!$A:$A,MATCH(ROW()-14,Query_Source_View!$Z:$Z,0)),"")</f>
        <v/>
      </c>
      <c r="B372" s="2" t="str">
        <f aca="false">IFERROR(INDEX(Query_Source_View!$D:$D,MATCH(ROW()-14,Query_Source_View!$Z:$Z,0)),"")</f>
        <v/>
      </c>
      <c r="C372" s="2" t="str">
        <f aca="false">IFERROR(INDEX(Query_Source_View!$F:$F,MATCH(ROW()-14,Query_Source_View!$Z:$Z,0)),"")</f>
        <v/>
      </c>
      <c r="D372" s="2" t="str">
        <f aca="false">IFERROR(INDEX(Query_Source_View!$H:$H,MATCH(ROW()-14,Query_Source_View!$Z:$Z,0)),"")</f>
        <v/>
      </c>
      <c r="E372" s="2" t="str">
        <f aca="false">IFERROR(INDEX(Query_Source_View!$J:$J,MATCH(ROW()-14,Query_Source_View!$Z:$Z,0)),"")</f>
        <v/>
      </c>
      <c r="F372" s="2" t="str">
        <f aca="false">IFERROR(INDEX(Query_Source_View!$L:$L,MATCH(ROW()-14,Query_Source_View!$Z:$Z,0)),"")</f>
        <v/>
      </c>
      <c r="G372" s="2" t="str">
        <f aca="false">IFERROR(INDEX(Query_Source_View!$N:$N,MATCH(ROW()-14,Query_Source_View!$Z:$Z,0)),"")</f>
        <v/>
      </c>
      <c r="H372" s="2" t="str">
        <f aca="false">IFERROR(INDEX(Query_Source_View!$P:$P,MATCH(ROW()-14,Query_Source_View!$Z:$Z,0)),"")</f>
        <v/>
      </c>
      <c r="I372" s="2" t="str">
        <f aca="false">IFERROR(INDEX(Query_Source_View!$Q:$Q,MATCH(ROW()-14,Query_Source_View!$Z:$Z,0)),"")</f>
        <v/>
      </c>
      <c r="J372" s="2" t="str">
        <f aca="false">IFERROR(INDEX(Query_Source_View!$R:$R,MATCH(ROW()-14,Query_Source_View!$Z:$Z,0)),"")</f>
        <v/>
      </c>
      <c r="K372" s="2" t="str">
        <f aca="false">IFERROR(INDEX(Query_Source_View!$T:$T,MATCH(ROW()-14,Query_Source_View!$Z:$Z,0)),"")</f>
        <v/>
      </c>
      <c r="L372" s="2" t="str">
        <f aca="false">IFERROR(INDEX(Query_Source_View!$U:$U,MATCH(ROW()-14,Query_Source_View!$Z:$Z,0)),"")</f>
        <v/>
      </c>
      <c r="M372" s="2" t="str">
        <f aca="false">IFERROR(INDEX(Query_Source_View!$V:$V,MATCH(ROW()-14,Query_Source_View!$Z:$Z,0)),"")</f>
        <v/>
      </c>
      <c r="N372" s="2" t="str">
        <f aca="false">IFERROR(INDEX(Query_Source_View!$W:$W,MATCH(ROW()-14,Query_Source_View!$Z:$Z,0)),"")</f>
        <v/>
      </c>
      <c r="O372" s="2" t="str">
        <f aca="false">IFERROR(INDEX(Query_Source_View!$X:$X,MATCH(ROW()-14,Query_Source_View!$Z:$Z,0)),"")</f>
        <v/>
      </c>
    </row>
    <row r="373" customFormat="false" ht="15" hidden="false" customHeight="false" outlineLevel="0" collapsed="false">
      <c r="A373" s="2" t="str">
        <f aca="false">IFERROR(INDEX(Query_Source_View!$A:$A,MATCH(ROW()-14,Query_Source_View!$Z:$Z,0)),"")</f>
        <v/>
      </c>
      <c r="B373" s="2" t="str">
        <f aca="false">IFERROR(INDEX(Query_Source_View!$D:$D,MATCH(ROW()-14,Query_Source_View!$Z:$Z,0)),"")</f>
        <v/>
      </c>
      <c r="C373" s="2" t="str">
        <f aca="false">IFERROR(INDEX(Query_Source_View!$F:$F,MATCH(ROW()-14,Query_Source_View!$Z:$Z,0)),"")</f>
        <v/>
      </c>
      <c r="D373" s="2" t="str">
        <f aca="false">IFERROR(INDEX(Query_Source_View!$H:$H,MATCH(ROW()-14,Query_Source_View!$Z:$Z,0)),"")</f>
        <v/>
      </c>
      <c r="E373" s="2" t="str">
        <f aca="false">IFERROR(INDEX(Query_Source_View!$J:$J,MATCH(ROW()-14,Query_Source_View!$Z:$Z,0)),"")</f>
        <v/>
      </c>
      <c r="F373" s="2" t="str">
        <f aca="false">IFERROR(INDEX(Query_Source_View!$L:$L,MATCH(ROW()-14,Query_Source_View!$Z:$Z,0)),"")</f>
        <v/>
      </c>
      <c r="G373" s="2" t="str">
        <f aca="false">IFERROR(INDEX(Query_Source_View!$N:$N,MATCH(ROW()-14,Query_Source_View!$Z:$Z,0)),"")</f>
        <v/>
      </c>
      <c r="H373" s="2" t="str">
        <f aca="false">IFERROR(INDEX(Query_Source_View!$P:$P,MATCH(ROW()-14,Query_Source_View!$Z:$Z,0)),"")</f>
        <v/>
      </c>
      <c r="I373" s="2" t="str">
        <f aca="false">IFERROR(INDEX(Query_Source_View!$Q:$Q,MATCH(ROW()-14,Query_Source_View!$Z:$Z,0)),"")</f>
        <v/>
      </c>
      <c r="J373" s="2" t="str">
        <f aca="false">IFERROR(INDEX(Query_Source_View!$R:$R,MATCH(ROW()-14,Query_Source_View!$Z:$Z,0)),"")</f>
        <v/>
      </c>
      <c r="K373" s="2" t="str">
        <f aca="false">IFERROR(INDEX(Query_Source_View!$T:$T,MATCH(ROW()-14,Query_Source_View!$Z:$Z,0)),"")</f>
        <v/>
      </c>
      <c r="L373" s="2" t="str">
        <f aca="false">IFERROR(INDEX(Query_Source_View!$U:$U,MATCH(ROW()-14,Query_Source_View!$Z:$Z,0)),"")</f>
        <v/>
      </c>
      <c r="M373" s="2" t="str">
        <f aca="false">IFERROR(INDEX(Query_Source_View!$V:$V,MATCH(ROW()-14,Query_Source_View!$Z:$Z,0)),"")</f>
        <v/>
      </c>
      <c r="N373" s="2" t="str">
        <f aca="false">IFERROR(INDEX(Query_Source_View!$W:$W,MATCH(ROW()-14,Query_Source_View!$Z:$Z,0)),"")</f>
        <v/>
      </c>
      <c r="O373" s="2" t="str">
        <f aca="false">IFERROR(INDEX(Query_Source_View!$X:$X,MATCH(ROW()-14,Query_Source_View!$Z:$Z,0)),"")</f>
        <v/>
      </c>
    </row>
    <row r="374" customFormat="false" ht="15" hidden="false" customHeight="false" outlineLevel="0" collapsed="false">
      <c r="A374" s="2" t="str">
        <f aca="false">IFERROR(INDEX(Query_Source_View!$A:$A,MATCH(ROW()-14,Query_Source_View!$Z:$Z,0)),"")</f>
        <v/>
      </c>
      <c r="B374" s="2" t="str">
        <f aca="false">IFERROR(INDEX(Query_Source_View!$D:$D,MATCH(ROW()-14,Query_Source_View!$Z:$Z,0)),"")</f>
        <v/>
      </c>
      <c r="C374" s="2" t="str">
        <f aca="false">IFERROR(INDEX(Query_Source_View!$F:$F,MATCH(ROW()-14,Query_Source_View!$Z:$Z,0)),"")</f>
        <v/>
      </c>
      <c r="D374" s="2" t="str">
        <f aca="false">IFERROR(INDEX(Query_Source_View!$H:$H,MATCH(ROW()-14,Query_Source_View!$Z:$Z,0)),"")</f>
        <v/>
      </c>
      <c r="E374" s="2" t="str">
        <f aca="false">IFERROR(INDEX(Query_Source_View!$J:$J,MATCH(ROW()-14,Query_Source_View!$Z:$Z,0)),"")</f>
        <v/>
      </c>
      <c r="F374" s="2" t="str">
        <f aca="false">IFERROR(INDEX(Query_Source_View!$L:$L,MATCH(ROW()-14,Query_Source_View!$Z:$Z,0)),"")</f>
        <v/>
      </c>
      <c r="G374" s="2" t="str">
        <f aca="false">IFERROR(INDEX(Query_Source_View!$N:$N,MATCH(ROW()-14,Query_Source_View!$Z:$Z,0)),"")</f>
        <v/>
      </c>
      <c r="H374" s="2" t="str">
        <f aca="false">IFERROR(INDEX(Query_Source_View!$P:$P,MATCH(ROW()-14,Query_Source_View!$Z:$Z,0)),"")</f>
        <v/>
      </c>
      <c r="I374" s="2" t="str">
        <f aca="false">IFERROR(INDEX(Query_Source_View!$Q:$Q,MATCH(ROW()-14,Query_Source_View!$Z:$Z,0)),"")</f>
        <v/>
      </c>
      <c r="J374" s="2" t="str">
        <f aca="false">IFERROR(INDEX(Query_Source_View!$R:$R,MATCH(ROW()-14,Query_Source_View!$Z:$Z,0)),"")</f>
        <v/>
      </c>
      <c r="K374" s="2" t="str">
        <f aca="false">IFERROR(INDEX(Query_Source_View!$T:$T,MATCH(ROW()-14,Query_Source_View!$Z:$Z,0)),"")</f>
        <v/>
      </c>
      <c r="L374" s="2" t="str">
        <f aca="false">IFERROR(INDEX(Query_Source_View!$U:$U,MATCH(ROW()-14,Query_Source_View!$Z:$Z,0)),"")</f>
        <v/>
      </c>
      <c r="M374" s="2" t="str">
        <f aca="false">IFERROR(INDEX(Query_Source_View!$V:$V,MATCH(ROW()-14,Query_Source_View!$Z:$Z,0)),"")</f>
        <v/>
      </c>
      <c r="N374" s="2" t="str">
        <f aca="false">IFERROR(INDEX(Query_Source_View!$W:$W,MATCH(ROW()-14,Query_Source_View!$Z:$Z,0)),"")</f>
        <v/>
      </c>
      <c r="O374" s="2" t="str">
        <f aca="false">IFERROR(INDEX(Query_Source_View!$X:$X,MATCH(ROW()-14,Query_Source_View!$Z:$Z,0)),"")</f>
        <v/>
      </c>
    </row>
    <row r="375" customFormat="false" ht="15" hidden="false" customHeight="false" outlineLevel="0" collapsed="false">
      <c r="A375" s="2" t="str">
        <f aca="false">IFERROR(INDEX(Query_Source_View!$A:$A,MATCH(ROW()-14,Query_Source_View!$Z:$Z,0)),"")</f>
        <v/>
      </c>
      <c r="B375" s="2" t="str">
        <f aca="false">IFERROR(INDEX(Query_Source_View!$D:$D,MATCH(ROW()-14,Query_Source_View!$Z:$Z,0)),"")</f>
        <v/>
      </c>
      <c r="C375" s="2" t="str">
        <f aca="false">IFERROR(INDEX(Query_Source_View!$F:$F,MATCH(ROW()-14,Query_Source_View!$Z:$Z,0)),"")</f>
        <v/>
      </c>
      <c r="D375" s="2" t="str">
        <f aca="false">IFERROR(INDEX(Query_Source_View!$H:$H,MATCH(ROW()-14,Query_Source_View!$Z:$Z,0)),"")</f>
        <v/>
      </c>
      <c r="E375" s="2" t="str">
        <f aca="false">IFERROR(INDEX(Query_Source_View!$J:$J,MATCH(ROW()-14,Query_Source_View!$Z:$Z,0)),"")</f>
        <v/>
      </c>
      <c r="F375" s="2" t="str">
        <f aca="false">IFERROR(INDEX(Query_Source_View!$L:$L,MATCH(ROW()-14,Query_Source_View!$Z:$Z,0)),"")</f>
        <v/>
      </c>
      <c r="G375" s="2" t="str">
        <f aca="false">IFERROR(INDEX(Query_Source_View!$N:$N,MATCH(ROW()-14,Query_Source_View!$Z:$Z,0)),"")</f>
        <v/>
      </c>
      <c r="H375" s="2" t="str">
        <f aca="false">IFERROR(INDEX(Query_Source_View!$P:$P,MATCH(ROW()-14,Query_Source_View!$Z:$Z,0)),"")</f>
        <v/>
      </c>
      <c r="I375" s="2" t="str">
        <f aca="false">IFERROR(INDEX(Query_Source_View!$Q:$Q,MATCH(ROW()-14,Query_Source_View!$Z:$Z,0)),"")</f>
        <v/>
      </c>
      <c r="J375" s="2" t="str">
        <f aca="false">IFERROR(INDEX(Query_Source_View!$R:$R,MATCH(ROW()-14,Query_Source_View!$Z:$Z,0)),"")</f>
        <v/>
      </c>
      <c r="K375" s="2" t="str">
        <f aca="false">IFERROR(INDEX(Query_Source_View!$T:$T,MATCH(ROW()-14,Query_Source_View!$Z:$Z,0)),"")</f>
        <v/>
      </c>
      <c r="L375" s="2" t="str">
        <f aca="false">IFERROR(INDEX(Query_Source_View!$U:$U,MATCH(ROW()-14,Query_Source_View!$Z:$Z,0)),"")</f>
        <v/>
      </c>
      <c r="M375" s="2" t="str">
        <f aca="false">IFERROR(INDEX(Query_Source_View!$V:$V,MATCH(ROW()-14,Query_Source_View!$Z:$Z,0)),"")</f>
        <v/>
      </c>
      <c r="N375" s="2" t="str">
        <f aca="false">IFERROR(INDEX(Query_Source_View!$W:$W,MATCH(ROW()-14,Query_Source_View!$Z:$Z,0)),"")</f>
        <v/>
      </c>
      <c r="O375" s="2" t="str">
        <f aca="false">IFERROR(INDEX(Query_Source_View!$X:$X,MATCH(ROW()-14,Query_Source_View!$Z:$Z,0)),"")</f>
        <v/>
      </c>
    </row>
    <row r="376" customFormat="false" ht="15" hidden="false" customHeight="false" outlineLevel="0" collapsed="false">
      <c r="A376" s="2" t="str">
        <f aca="false">IFERROR(INDEX(Query_Source_View!$A:$A,MATCH(ROW()-14,Query_Source_View!$Z:$Z,0)),"")</f>
        <v/>
      </c>
      <c r="B376" s="2" t="str">
        <f aca="false">IFERROR(INDEX(Query_Source_View!$D:$D,MATCH(ROW()-14,Query_Source_View!$Z:$Z,0)),"")</f>
        <v/>
      </c>
      <c r="C376" s="2" t="str">
        <f aca="false">IFERROR(INDEX(Query_Source_View!$F:$F,MATCH(ROW()-14,Query_Source_View!$Z:$Z,0)),"")</f>
        <v/>
      </c>
      <c r="D376" s="2" t="str">
        <f aca="false">IFERROR(INDEX(Query_Source_View!$H:$H,MATCH(ROW()-14,Query_Source_View!$Z:$Z,0)),"")</f>
        <v/>
      </c>
      <c r="E376" s="2" t="str">
        <f aca="false">IFERROR(INDEX(Query_Source_View!$J:$J,MATCH(ROW()-14,Query_Source_View!$Z:$Z,0)),"")</f>
        <v/>
      </c>
      <c r="F376" s="2" t="str">
        <f aca="false">IFERROR(INDEX(Query_Source_View!$L:$L,MATCH(ROW()-14,Query_Source_View!$Z:$Z,0)),"")</f>
        <v/>
      </c>
      <c r="G376" s="2" t="str">
        <f aca="false">IFERROR(INDEX(Query_Source_View!$N:$N,MATCH(ROW()-14,Query_Source_View!$Z:$Z,0)),"")</f>
        <v/>
      </c>
      <c r="H376" s="2" t="str">
        <f aca="false">IFERROR(INDEX(Query_Source_View!$P:$P,MATCH(ROW()-14,Query_Source_View!$Z:$Z,0)),"")</f>
        <v/>
      </c>
      <c r="I376" s="2" t="str">
        <f aca="false">IFERROR(INDEX(Query_Source_View!$Q:$Q,MATCH(ROW()-14,Query_Source_View!$Z:$Z,0)),"")</f>
        <v/>
      </c>
      <c r="J376" s="2" t="str">
        <f aca="false">IFERROR(INDEX(Query_Source_View!$R:$R,MATCH(ROW()-14,Query_Source_View!$Z:$Z,0)),"")</f>
        <v/>
      </c>
      <c r="K376" s="2" t="str">
        <f aca="false">IFERROR(INDEX(Query_Source_View!$T:$T,MATCH(ROW()-14,Query_Source_View!$Z:$Z,0)),"")</f>
        <v/>
      </c>
      <c r="L376" s="2" t="str">
        <f aca="false">IFERROR(INDEX(Query_Source_View!$U:$U,MATCH(ROW()-14,Query_Source_View!$Z:$Z,0)),"")</f>
        <v/>
      </c>
      <c r="M376" s="2" t="str">
        <f aca="false">IFERROR(INDEX(Query_Source_View!$V:$V,MATCH(ROW()-14,Query_Source_View!$Z:$Z,0)),"")</f>
        <v/>
      </c>
      <c r="N376" s="2" t="str">
        <f aca="false">IFERROR(INDEX(Query_Source_View!$W:$W,MATCH(ROW()-14,Query_Source_View!$Z:$Z,0)),"")</f>
        <v/>
      </c>
      <c r="O376" s="2" t="str">
        <f aca="false">IFERROR(INDEX(Query_Source_View!$X:$X,MATCH(ROW()-14,Query_Source_View!$Z:$Z,0)),"")</f>
        <v/>
      </c>
    </row>
    <row r="377" customFormat="false" ht="15" hidden="false" customHeight="false" outlineLevel="0" collapsed="false">
      <c r="A377" s="2" t="str">
        <f aca="false">IFERROR(INDEX(Query_Source_View!$A:$A,MATCH(ROW()-14,Query_Source_View!$Z:$Z,0)),"")</f>
        <v/>
      </c>
      <c r="B377" s="2" t="str">
        <f aca="false">IFERROR(INDEX(Query_Source_View!$D:$D,MATCH(ROW()-14,Query_Source_View!$Z:$Z,0)),"")</f>
        <v/>
      </c>
      <c r="C377" s="2" t="str">
        <f aca="false">IFERROR(INDEX(Query_Source_View!$F:$F,MATCH(ROW()-14,Query_Source_View!$Z:$Z,0)),"")</f>
        <v/>
      </c>
      <c r="D377" s="2" t="str">
        <f aca="false">IFERROR(INDEX(Query_Source_View!$H:$H,MATCH(ROW()-14,Query_Source_View!$Z:$Z,0)),"")</f>
        <v/>
      </c>
      <c r="E377" s="2" t="str">
        <f aca="false">IFERROR(INDEX(Query_Source_View!$J:$J,MATCH(ROW()-14,Query_Source_View!$Z:$Z,0)),"")</f>
        <v/>
      </c>
      <c r="F377" s="2" t="str">
        <f aca="false">IFERROR(INDEX(Query_Source_View!$L:$L,MATCH(ROW()-14,Query_Source_View!$Z:$Z,0)),"")</f>
        <v/>
      </c>
      <c r="G377" s="2" t="str">
        <f aca="false">IFERROR(INDEX(Query_Source_View!$N:$N,MATCH(ROW()-14,Query_Source_View!$Z:$Z,0)),"")</f>
        <v/>
      </c>
      <c r="H377" s="2" t="str">
        <f aca="false">IFERROR(INDEX(Query_Source_View!$P:$P,MATCH(ROW()-14,Query_Source_View!$Z:$Z,0)),"")</f>
        <v/>
      </c>
      <c r="I377" s="2" t="str">
        <f aca="false">IFERROR(INDEX(Query_Source_View!$Q:$Q,MATCH(ROW()-14,Query_Source_View!$Z:$Z,0)),"")</f>
        <v/>
      </c>
      <c r="J377" s="2" t="str">
        <f aca="false">IFERROR(INDEX(Query_Source_View!$R:$R,MATCH(ROW()-14,Query_Source_View!$Z:$Z,0)),"")</f>
        <v/>
      </c>
      <c r="K377" s="2" t="str">
        <f aca="false">IFERROR(INDEX(Query_Source_View!$T:$T,MATCH(ROW()-14,Query_Source_View!$Z:$Z,0)),"")</f>
        <v/>
      </c>
      <c r="L377" s="2" t="str">
        <f aca="false">IFERROR(INDEX(Query_Source_View!$U:$U,MATCH(ROW()-14,Query_Source_View!$Z:$Z,0)),"")</f>
        <v/>
      </c>
      <c r="M377" s="2" t="str">
        <f aca="false">IFERROR(INDEX(Query_Source_View!$V:$V,MATCH(ROW()-14,Query_Source_View!$Z:$Z,0)),"")</f>
        <v/>
      </c>
      <c r="N377" s="2" t="str">
        <f aca="false">IFERROR(INDEX(Query_Source_View!$W:$W,MATCH(ROW()-14,Query_Source_View!$Z:$Z,0)),"")</f>
        <v/>
      </c>
      <c r="O377" s="2" t="str">
        <f aca="false">IFERROR(INDEX(Query_Source_View!$X:$X,MATCH(ROW()-14,Query_Source_View!$Z:$Z,0)),"")</f>
        <v/>
      </c>
    </row>
    <row r="378" customFormat="false" ht="15" hidden="false" customHeight="false" outlineLevel="0" collapsed="false">
      <c r="A378" s="2" t="str">
        <f aca="false">IFERROR(INDEX(Query_Source_View!$A:$A,MATCH(ROW()-14,Query_Source_View!$Z:$Z,0)),"")</f>
        <v/>
      </c>
      <c r="B378" s="2" t="str">
        <f aca="false">IFERROR(INDEX(Query_Source_View!$D:$D,MATCH(ROW()-14,Query_Source_View!$Z:$Z,0)),"")</f>
        <v/>
      </c>
      <c r="C378" s="2" t="str">
        <f aca="false">IFERROR(INDEX(Query_Source_View!$F:$F,MATCH(ROW()-14,Query_Source_View!$Z:$Z,0)),"")</f>
        <v/>
      </c>
      <c r="D378" s="2" t="str">
        <f aca="false">IFERROR(INDEX(Query_Source_View!$H:$H,MATCH(ROW()-14,Query_Source_View!$Z:$Z,0)),"")</f>
        <v/>
      </c>
      <c r="E378" s="2" t="str">
        <f aca="false">IFERROR(INDEX(Query_Source_View!$J:$J,MATCH(ROW()-14,Query_Source_View!$Z:$Z,0)),"")</f>
        <v/>
      </c>
      <c r="F378" s="2" t="str">
        <f aca="false">IFERROR(INDEX(Query_Source_View!$L:$L,MATCH(ROW()-14,Query_Source_View!$Z:$Z,0)),"")</f>
        <v/>
      </c>
      <c r="G378" s="2" t="str">
        <f aca="false">IFERROR(INDEX(Query_Source_View!$N:$N,MATCH(ROW()-14,Query_Source_View!$Z:$Z,0)),"")</f>
        <v/>
      </c>
      <c r="H378" s="2" t="str">
        <f aca="false">IFERROR(INDEX(Query_Source_View!$P:$P,MATCH(ROW()-14,Query_Source_View!$Z:$Z,0)),"")</f>
        <v/>
      </c>
      <c r="I378" s="2" t="str">
        <f aca="false">IFERROR(INDEX(Query_Source_View!$Q:$Q,MATCH(ROW()-14,Query_Source_View!$Z:$Z,0)),"")</f>
        <v/>
      </c>
      <c r="J378" s="2" t="str">
        <f aca="false">IFERROR(INDEX(Query_Source_View!$R:$R,MATCH(ROW()-14,Query_Source_View!$Z:$Z,0)),"")</f>
        <v/>
      </c>
      <c r="K378" s="2" t="str">
        <f aca="false">IFERROR(INDEX(Query_Source_View!$T:$T,MATCH(ROW()-14,Query_Source_View!$Z:$Z,0)),"")</f>
        <v/>
      </c>
      <c r="L378" s="2" t="str">
        <f aca="false">IFERROR(INDEX(Query_Source_View!$U:$U,MATCH(ROW()-14,Query_Source_View!$Z:$Z,0)),"")</f>
        <v/>
      </c>
      <c r="M378" s="2" t="str">
        <f aca="false">IFERROR(INDEX(Query_Source_View!$V:$V,MATCH(ROW()-14,Query_Source_View!$Z:$Z,0)),"")</f>
        <v/>
      </c>
      <c r="N378" s="2" t="str">
        <f aca="false">IFERROR(INDEX(Query_Source_View!$W:$W,MATCH(ROW()-14,Query_Source_View!$Z:$Z,0)),"")</f>
        <v/>
      </c>
      <c r="O378" s="2" t="str">
        <f aca="false">IFERROR(INDEX(Query_Source_View!$X:$X,MATCH(ROW()-14,Query_Source_View!$Z:$Z,0)),"")</f>
        <v/>
      </c>
    </row>
    <row r="379" customFormat="false" ht="15" hidden="false" customHeight="false" outlineLevel="0" collapsed="false">
      <c r="A379" s="2" t="str">
        <f aca="false">IFERROR(INDEX(Query_Source_View!$A:$A,MATCH(ROW()-14,Query_Source_View!$Z:$Z,0)),"")</f>
        <v/>
      </c>
      <c r="B379" s="2" t="str">
        <f aca="false">IFERROR(INDEX(Query_Source_View!$D:$D,MATCH(ROW()-14,Query_Source_View!$Z:$Z,0)),"")</f>
        <v/>
      </c>
      <c r="C379" s="2" t="str">
        <f aca="false">IFERROR(INDEX(Query_Source_View!$F:$F,MATCH(ROW()-14,Query_Source_View!$Z:$Z,0)),"")</f>
        <v/>
      </c>
      <c r="D379" s="2" t="str">
        <f aca="false">IFERROR(INDEX(Query_Source_View!$H:$H,MATCH(ROW()-14,Query_Source_View!$Z:$Z,0)),"")</f>
        <v/>
      </c>
      <c r="E379" s="2" t="str">
        <f aca="false">IFERROR(INDEX(Query_Source_View!$J:$J,MATCH(ROW()-14,Query_Source_View!$Z:$Z,0)),"")</f>
        <v/>
      </c>
      <c r="F379" s="2" t="str">
        <f aca="false">IFERROR(INDEX(Query_Source_View!$L:$L,MATCH(ROW()-14,Query_Source_View!$Z:$Z,0)),"")</f>
        <v/>
      </c>
      <c r="G379" s="2" t="str">
        <f aca="false">IFERROR(INDEX(Query_Source_View!$N:$N,MATCH(ROW()-14,Query_Source_View!$Z:$Z,0)),"")</f>
        <v/>
      </c>
      <c r="H379" s="2" t="str">
        <f aca="false">IFERROR(INDEX(Query_Source_View!$P:$P,MATCH(ROW()-14,Query_Source_View!$Z:$Z,0)),"")</f>
        <v/>
      </c>
      <c r="I379" s="2" t="str">
        <f aca="false">IFERROR(INDEX(Query_Source_View!$Q:$Q,MATCH(ROW()-14,Query_Source_View!$Z:$Z,0)),"")</f>
        <v/>
      </c>
      <c r="J379" s="2" t="str">
        <f aca="false">IFERROR(INDEX(Query_Source_View!$R:$R,MATCH(ROW()-14,Query_Source_View!$Z:$Z,0)),"")</f>
        <v/>
      </c>
      <c r="K379" s="2" t="str">
        <f aca="false">IFERROR(INDEX(Query_Source_View!$T:$T,MATCH(ROW()-14,Query_Source_View!$Z:$Z,0)),"")</f>
        <v/>
      </c>
      <c r="L379" s="2" t="str">
        <f aca="false">IFERROR(INDEX(Query_Source_View!$U:$U,MATCH(ROW()-14,Query_Source_View!$Z:$Z,0)),"")</f>
        <v/>
      </c>
      <c r="M379" s="2" t="str">
        <f aca="false">IFERROR(INDEX(Query_Source_View!$V:$V,MATCH(ROW()-14,Query_Source_View!$Z:$Z,0)),"")</f>
        <v/>
      </c>
      <c r="N379" s="2" t="str">
        <f aca="false">IFERROR(INDEX(Query_Source_View!$W:$W,MATCH(ROW()-14,Query_Source_View!$Z:$Z,0)),"")</f>
        <v/>
      </c>
      <c r="O379" s="2" t="str">
        <f aca="false">IFERROR(INDEX(Query_Source_View!$X:$X,MATCH(ROW()-14,Query_Source_View!$Z:$Z,0)),"")</f>
        <v/>
      </c>
    </row>
    <row r="380" customFormat="false" ht="15" hidden="false" customHeight="false" outlineLevel="0" collapsed="false">
      <c r="A380" s="2" t="str">
        <f aca="false">IFERROR(INDEX(Query_Source_View!$A:$A,MATCH(ROW()-14,Query_Source_View!$Z:$Z,0)),"")</f>
        <v/>
      </c>
      <c r="B380" s="2" t="str">
        <f aca="false">IFERROR(INDEX(Query_Source_View!$D:$D,MATCH(ROW()-14,Query_Source_View!$Z:$Z,0)),"")</f>
        <v/>
      </c>
      <c r="C380" s="2" t="str">
        <f aca="false">IFERROR(INDEX(Query_Source_View!$F:$F,MATCH(ROW()-14,Query_Source_View!$Z:$Z,0)),"")</f>
        <v/>
      </c>
      <c r="D380" s="2" t="str">
        <f aca="false">IFERROR(INDEX(Query_Source_View!$H:$H,MATCH(ROW()-14,Query_Source_View!$Z:$Z,0)),"")</f>
        <v/>
      </c>
      <c r="E380" s="2" t="str">
        <f aca="false">IFERROR(INDEX(Query_Source_View!$J:$J,MATCH(ROW()-14,Query_Source_View!$Z:$Z,0)),"")</f>
        <v/>
      </c>
      <c r="F380" s="2" t="str">
        <f aca="false">IFERROR(INDEX(Query_Source_View!$L:$L,MATCH(ROW()-14,Query_Source_View!$Z:$Z,0)),"")</f>
        <v/>
      </c>
      <c r="G380" s="2" t="str">
        <f aca="false">IFERROR(INDEX(Query_Source_View!$N:$N,MATCH(ROW()-14,Query_Source_View!$Z:$Z,0)),"")</f>
        <v/>
      </c>
      <c r="H380" s="2" t="str">
        <f aca="false">IFERROR(INDEX(Query_Source_View!$P:$P,MATCH(ROW()-14,Query_Source_View!$Z:$Z,0)),"")</f>
        <v/>
      </c>
      <c r="I380" s="2" t="str">
        <f aca="false">IFERROR(INDEX(Query_Source_View!$Q:$Q,MATCH(ROW()-14,Query_Source_View!$Z:$Z,0)),"")</f>
        <v/>
      </c>
      <c r="J380" s="2" t="str">
        <f aca="false">IFERROR(INDEX(Query_Source_View!$R:$R,MATCH(ROW()-14,Query_Source_View!$Z:$Z,0)),"")</f>
        <v/>
      </c>
      <c r="K380" s="2" t="str">
        <f aca="false">IFERROR(INDEX(Query_Source_View!$T:$T,MATCH(ROW()-14,Query_Source_View!$Z:$Z,0)),"")</f>
        <v/>
      </c>
      <c r="L380" s="2" t="str">
        <f aca="false">IFERROR(INDEX(Query_Source_View!$U:$U,MATCH(ROW()-14,Query_Source_View!$Z:$Z,0)),"")</f>
        <v/>
      </c>
      <c r="M380" s="2" t="str">
        <f aca="false">IFERROR(INDEX(Query_Source_View!$V:$V,MATCH(ROW()-14,Query_Source_View!$Z:$Z,0)),"")</f>
        <v/>
      </c>
      <c r="N380" s="2" t="str">
        <f aca="false">IFERROR(INDEX(Query_Source_View!$W:$W,MATCH(ROW()-14,Query_Source_View!$Z:$Z,0)),"")</f>
        <v/>
      </c>
      <c r="O380" s="2" t="str">
        <f aca="false">IFERROR(INDEX(Query_Source_View!$X:$X,MATCH(ROW()-14,Query_Source_View!$Z:$Z,0)),"")</f>
        <v/>
      </c>
    </row>
    <row r="381" customFormat="false" ht="15" hidden="false" customHeight="false" outlineLevel="0" collapsed="false">
      <c r="A381" s="2" t="str">
        <f aca="false">IFERROR(INDEX(Query_Source_View!$A:$A,MATCH(ROW()-14,Query_Source_View!$Z:$Z,0)),"")</f>
        <v/>
      </c>
      <c r="B381" s="2" t="str">
        <f aca="false">IFERROR(INDEX(Query_Source_View!$D:$D,MATCH(ROW()-14,Query_Source_View!$Z:$Z,0)),"")</f>
        <v/>
      </c>
      <c r="C381" s="2" t="str">
        <f aca="false">IFERROR(INDEX(Query_Source_View!$F:$F,MATCH(ROW()-14,Query_Source_View!$Z:$Z,0)),"")</f>
        <v/>
      </c>
      <c r="D381" s="2" t="str">
        <f aca="false">IFERROR(INDEX(Query_Source_View!$H:$H,MATCH(ROW()-14,Query_Source_View!$Z:$Z,0)),"")</f>
        <v/>
      </c>
      <c r="E381" s="2" t="str">
        <f aca="false">IFERROR(INDEX(Query_Source_View!$J:$J,MATCH(ROW()-14,Query_Source_View!$Z:$Z,0)),"")</f>
        <v/>
      </c>
      <c r="F381" s="2" t="str">
        <f aca="false">IFERROR(INDEX(Query_Source_View!$L:$L,MATCH(ROW()-14,Query_Source_View!$Z:$Z,0)),"")</f>
        <v/>
      </c>
      <c r="G381" s="2" t="str">
        <f aca="false">IFERROR(INDEX(Query_Source_View!$N:$N,MATCH(ROW()-14,Query_Source_View!$Z:$Z,0)),"")</f>
        <v/>
      </c>
      <c r="H381" s="2" t="str">
        <f aca="false">IFERROR(INDEX(Query_Source_View!$P:$P,MATCH(ROW()-14,Query_Source_View!$Z:$Z,0)),"")</f>
        <v/>
      </c>
      <c r="I381" s="2" t="str">
        <f aca="false">IFERROR(INDEX(Query_Source_View!$Q:$Q,MATCH(ROW()-14,Query_Source_View!$Z:$Z,0)),"")</f>
        <v/>
      </c>
      <c r="J381" s="2" t="str">
        <f aca="false">IFERROR(INDEX(Query_Source_View!$R:$R,MATCH(ROW()-14,Query_Source_View!$Z:$Z,0)),"")</f>
        <v/>
      </c>
      <c r="K381" s="2" t="str">
        <f aca="false">IFERROR(INDEX(Query_Source_View!$T:$T,MATCH(ROW()-14,Query_Source_View!$Z:$Z,0)),"")</f>
        <v/>
      </c>
      <c r="L381" s="2" t="str">
        <f aca="false">IFERROR(INDEX(Query_Source_View!$U:$U,MATCH(ROW()-14,Query_Source_View!$Z:$Z,0)),"")</f>
        <v/>
      </c>
      <c r="M381" s="2" t="str">
        <f aca="false">IFERROR(INDEX(Query_Source_View!$V:$V,MATCH(ROW()-14,Query_Source_View!$Z:$Z,0)),"")</f>
        <v/>
      </c>
      <c r="N381" s="2" t="str">
        <f aca="false">IFERROR(INDEX(Query_Source_View!$W:$W,MATCH(ROW()-14,Query_Source_View!$Z:$Z,0)),"")</f>
        <v/>
      </c>
      <c r="O381" s="2" t="str">
        <f aca="false">IFERROR(INDEX(Query_Source_View!$X:$X,MATCH(ROW()-14,Query_Source_View!$Z:$Z,0)),"")</f>
        <v/>
      </c>
    </row>
    <row r="382" customFormat="false" ht="15" hidden="false" customHeight="false" outlineLevel="0" collapsed="false">
      <c r="A382" s="2" t="str">
        <f aca="false">IFERROR(INDEX(Query_Source_View!$A:$A,MATCH(ROW()-14,Query_Source_View!$Z:$Z,0)),"")</f>
        <v/>
      </c>
      <c r="B382" s="2" t="str">
        <f aca="false">IFERROR(INDEX(Query_Source_View!$D:$D,MATCH(ROW()-14,Query_Source_View!$Z:$Z,0)),"")</f>
        <v/>
      </c>
      <c r="C382" s="2" t="str">
        <f aca="false">IFERROR(INDEX(Query_Source_View!$F:$F,MATCH(ROW()-14,Query_Source_View!$Z:$Z,0)),"")</f>
        <v/>
      </c>
      <c r="D382" s="2" t="str">
        <f aca="false">IFERROR(INDEX(Query_Source_View!$H:$H,MATCH(ROW()-14,Query_Source_View!$Z:$Z,0)),"")</f>
        <v/>
      </c>
      <c r="E382" s="2" t="str">
        <f aca="false">IFERROR(INDEX(Query_Source_View!$J:$J,MATCH(ROW()-14,Query_Source_View!$Z:$Z,0)),"")</f>
        <v/>
      </c>
      <c r="F382" s="2" t="str">
        <f aca="false">IFERROR(INDEX(Query_Source_View!$L:$L,MATCH(ROW()-14,Query_Source_View!$Z:$Z,0)),"")</f>
        <v/>
      </c>
      <c r="G382" s="2" t="str">
        <f aca="false">IFERROR(INDEX(Query_Source_View!$N:$N,MATCH(ROW()-14,Query_Source_View!$Z:$Z,0)),"")</f>
        <v/>
      </c>
      <c r="H382" s="2" t="str">
        <f aca="false">IFERROR(INDEX(Query_Source_View!$P:$P,MATCH(ROW()-14,Query_Source_View!$Z:$Z,0)),"")</f>
        <v/>
      </c>
      <c r="I382" s="2" t="str">
        <f aca="false">IFERROR(INDEX(Query_Source_View!$Q:$Q,MATCH(ROW()-14,Query_Source_View!$Z:$Z,0)),"")</f>
        <v/>
      </c>
      <c r="J382" s="2" t="str">
        <f aca="false">IFERROR(INDEX(Query_Source_View!$R:$R,MATCH(ROW()-14,Query_Source_View!$Z:$Z,0)),"")</f>
        <v/>
      </c>
      <c r="K382" s="2" t="str">
        <f aca="false">IFERROR(INDEX(Query_Source_View!$T:$T,MATCH(ROW()-14,Query_Source_View!$Z:$Z,0)),"")</f>
        <v/>
      </c>
      <c r="L382" s="2" t="str">
        <f aca="false">IFERROR(INDEX(Query_Source_View!$U:$U,MATCH(ROW()-14,Query_Source_View!$Z:$Z,0)),"")</f>
        <v/>
      </c>
      <c r="M382" s="2" t="str">
        <f aca="false">IFERROR(INDEX(Query_Source_View!$V:$V,MATCH(ROW()-14,Query_Source_View!$Z:$Z,0)),"")</f>
        <v/>
      </c>
      <c r="N382" s="2" t="str">
        <f aca="false">IFERROR(INDEX(Query_Source_View!$W:$W,MATCH(ROW()-14,Query_Source_View!$Z:$Z,0)),"")</f>
        <v/>
      </c>
      <c r="O382" s="2" t="str">
        <f aca="false">IFERROR(INDEX(Query_Source_View!$X:$X,MATCH(ROW()-14,Query_Source_View!$Z:$Z,0)),"")</f>
        <v/>
      </c>
    </row>
    <row r="383" customFormat="false" ht="15" hidden="false" customHeight="false" outlineLevel="0" collapsed="false">
      <c r="A383" s="2" t="str">
        <f aca="false">IFERROR(INDEX(Query_Source_View!$A:$A,MATCH(ROW()-14,Query_Source_View!$Z:$Z,0)),"")</f>
        <v/>
      </c>
      <c r="B383" s="2" t="str">
        <f aca="false">IFERROR(INDEX(Query_Source_View!$D:$D,MATCH(ROW()-14,Query_Source_View!$Z:$Z,0)),"")</f>
        <v/>
      </c>
      <c r="C383" s="2" t="str">
        <f aca="false">IFERROR(INDEX(Query_Source_View!$F:$F,MATCH(ROW()-14,Query_Source_View!$Z:$Z,0)),"")</f>
        <v/>
      </c>
      <c r="D383" s="2" t="str">
        <f aca="false">IFERROR(INDEX(Query_Source_View!$H:$H,MATCH(ROW()-14,Query_Source_View!$Z:$Z,0)),"")</f>
        <v/>
      </c>
      <c r="E383" s="2" t="str">
        <f aca="false">IFERROR(INDEX(Query_Source_View!$J:$J,MATCH(ROW()-14,Query_Source_View!$Z:$Z,0)),"")</f>
        <v/>
      </c>
      <c r="F383" s="2" t="str">
        <f aca="false">IFERROR(INDEX(Query_Source_View!$L:$L,MATCH(ROW()-14,Query_Source_View!$Z:$Z,0)),"")</f>
        <v/>
      </c>
      <c r="G383" s="2" t="str">
        <f aca="false">IFERROR(INDEX(Query_Source_View!$N:$N,MATCH(ROW()-14,Query_Source_View!$Z:$Z,0)),"")</f>
        <v/>
      </c>
      <c r="H383" s="2" t="str">
        <f aca="false">IFERROR(INDEX(Query_Source_View!$P:$P,MATCH(ROW()-14,Query_Source_View!$Z:$Z,0)),"")</f>
        <v/>
      </c>
      <c r="I383" s="2" t="str">
        <f aca="false">IFERROR(INDEX(Query_Source_View!$Q:$Q,MATCH(ROW()-14,Query_Source_View!$Z:$Z,0)),"")</f>
        <v/>
      </c>
      <c r="J383" s="2" t="str">
        <f aca="false">IFERROR(INDEX(Query_Source_View!$R:$R,MATCH(ROW()-14,Query_Source_View!$Z:$Z,0)),"")</f>
        <v/>
      </c>
      <c r="K383" s="2" t="str">
        <f aca="false">IFERROR(INDEX(Query_Source_View!$T:$T,MATCH(ROW()-14,Query_Source_View!$Z:$Z,0)),"")</f>
        <v/>
      </c>
      <c r="L383" s="2" t="str">
        <f aca="false">IFERROR(INDEX(Query_Source_View!$U:$U,MATCH(ROW()-14,Query_Source_View!$Z:$Z,0)),"")</f>
        <v/>
      </c>
      <c r="M383" s="2" t="str">
        <f aca="false">IFERROR(INDEX(Query_Source_View!$V:$V,MATCH(ROW()-14,Query_Source_View!$Z:$Z,0)),"")</f>
        <v/>
      </c>
      <c r="N383" s="2" t="str">
        <f aca="false">IFERROR(INDEX(Query_Source_View!$W:$W,MATCH(ROW()-14,Query_Source_View!$Z:$Z,0)),"")</f>
        <v/>
      </c>
      <c r="O383" s="2" t="str">
        <f aca="false">IFERROR(INDEX(Query_Source_View!$X:$X,MATCH(ROW()-14,Query_Source_View!$Z:$Z,0)),"")</f>
        <v/>
      </c>
    </row>
    <row r="384" customFormat="false" ht="15" hidden="false" customHeight="false" outlineLevel="0" collapsed="false">
      <c r="A384" s="2" t="str">
        <f aca="false">IFERROR(INDEX(Query_Source_View!$A:$A,MATCH(ROW()-14,Query_Source_View!$Z:$Z,0)),"")</f>
        <v/>
      </c>
      <c r="B384" s="2" t="str">
        <f aca="false">IFERROR(INDEX(Query_Source_View!$D:$D,MATCH(ROW()-14,Query_Source_View!$Z:$Z,0)),"")</f>
        <v/>
      </c>
      <c r="C384" s="2" t="str">
        <f aca="false">IFERROR(INDEX(Query_Source_View!$F:$F,MATCH(ROW()-14,Query_Source_View!$Z:$Z,0)),"")</f>
        <v/>
      </c>
      <c r="D384" s="2" t="str">
        <f aca="false">IFERROR(INDEX(Query_Source_View!$H:$H,MATCH(ROW()-14,Query_Source_View!$Z:$Z,0)),"")</f>
        <v/>
      </c>
      <c r="E384" s="2" t="str">
        <f aca="false">IFERROR(INDEX(Query_Source_View!$J:$J,MATCH(ROW()-14,Query_Source_View!$Z:$Z,0)),"")</f>
        <v/>
      </c>
      <c r="F384" s="2" t="str">
        <f aca="false">IFERROR(INDEX(Query_Source_View!$L:$L,MATCH(ROW()-14,Query_Source_View!$Z:$Z,0)),"")</f>
        <v/>
      </c>
      <c r="G384" s="2" t="str">
        <f aca="false">IFERROR(INDEX(Query_Source_View!$N:$N,MATCH(ROW()-14,Query_Source_View!$Z:$Z,0)),"")</f>
        <v/>
      </c>
      <c r="H384" s="2" t="str">
        <f aca="false">IFERROR(INDEX(Query_Source_View!$P:$P,MATCH(ROW()-14,Query_Source_View!$Z:$Z,0)),"")</f>
        <v/>
      </c>
      <c r="I384" s="2" t="str">
        <f aca="false">IFERROR(INDEX(Query_Source_View!$Q:$Q,MATCH(ROW()-14,Query_Source_View!$Z:$Z,0)),"")</f>
        <v/>
      </c>
      <c r="J384" s="2" t="str">
        <f aca="false">IFERROR(INDEX(Query_Source_View!$R:$R,MATCH(ROW()-14,Query_Source_View!$Z:$Z,0)),"")</f>
        <v/>
      </c>
      <c r="K384" s="2" t="str">
        <f aca="false">IFERROR(INDEX(Query_Source_View!$T:$T,MATCH(ROW()-14,Query_Source_View!$Z:$Z,0)),"")</f>
        <v/>
      </c>
      <c r="L384" s="2" t="str">
        <f aca="false">IFERROR(INDEX(Query_Source_View!$U:$U,MATCH(ROW()-14,Query_Source_View!$Z:$Z,0)),"")</f>
        <v/>
      </c>
      <c r="M384" s="2" t="str">
        <f aca="false">IFERROR(INDEX(Query_Source_View!$V:$V,MATCH(ROW()-14,Query_Source_View!$Z:$Z,0)),"")</f>
        <v/>
      </c>
      <c r="N384" s="2" t="str">
        <f aca="false">IFERROR(INDEX(Query_Source_View!$W:$W,MATCH(ROW()-14,Query_Source_View!$Z:$Z,0)),"")</f>
        <v/>
      </c>
      <c r="O384" s="2" t="str">
        <f aca="false">IFERROR(INDEX(Query_Source_View!$X:$X,MATCH(ROW()-14,Query_Source_View!$Z:$Z,0)),"")</f>
        <v/>
      </c>
    </row>
    <row r="385" customFormat="false" ht="15" hidden="false" customHeight="false" outlineLevel="0" collapsed="false">
      <c r="A385" s="2" t="str">
        <f aca="false">IFERROR(INDEX(Query_Source_View!$A:$A,MATCH(ROW()-14,Query_Source_View!$Z:$Z,0)),"")</f>
        <v/>
      </c>
      <c r="B385" s="2" t="str">
        <f aca="false">IFERROR(INDEX(Query_Source_View!$D:$D,MATCH(ROW()-14,Query_Source_View!$Z:$Z,0)),"")</f>
        <v/>
      </c>
      <c r="C385" s="2" t="str">
        <f aca="false">IFERROR(INDEX(Query_Source_View!$F:$F,MATCH(ROW()-14,Query_Source_View!$Z:$Z,0)),"")</f>
        <v/>
      </c>
      <c r="D385" s="2" t="str">
        <f aca="false">IFERROR(INDEX(Query_Source_View!$H:$H,MATCH(ROW()-14,Query_Source_View!$Z:$Z,0)),"")</f>
        <v/>
      </c>
      <c r="E385" s="2" t="str">
        <f aca="false">IFERROR(INDEX(Query_Source_View!$J:$J,MATCH(ROW()-14,Query_Source_View!$Z:$Z,0)),"")</f>
        <v/>
      </c>
      <c r="F385" s="2" t="str">
        <f aca="false">IFERROR(INDEX(Query_Source_View!$L:$L,MATCH(ROW()-14,Query_Source_View!$Z:$Z,0)),"")</f>
        <v/>
      </c>
      <c r="G385" s="2" t="str">
        <f aca="false">IFERROR(INDEX(Query_Source_View!$N:$N,MATCH(ROW()-14,Query_Source_View!$Z:$Z,0)),"")</f>
        <v/>
      </c>
      <c r="H385" s="2" t="str">
        <f aca="false">IFERROR(INDEX(Query_Source_View!$P:$P,MATCH(ROW()-14,Query_Source_View!$Z:$Z,0)),"")</f>
        <v/>
      </c>
      <c r="I385" s="2" t="str">
        <f aca="false">IFERROR(INDEX(Query_Source_View!$Q:$Q,MATCH(ROW()-14,Query_Source_View!$Z:$Z,0)),"")</f>
        <v/>
      </c>
      <c r="J385" s="2" t="str">
        <f aca="false">IFERROR(INDEX(Query_Source_View!$R:$R,MATCH(ROW()-14,Query_Source_View!$Z:$Z,0)),"")</f>
        <v/>
      </c>
      <c r="K385" s="2" t="str">
        <f aca="false">IFERROR(INDEX(Query_Source_View!$T:$T,MATCH(ROW()-14,Query_Source_View!$Z:$Z,0)),"")</f>
        <v/>
      </c>
      <c r="L385" s="2" t="str">
        <f aca="false">IFERROR(INDEX(Query_Source_View!$U:$U,MATCH(ROW()-14,Query_Source_View!$Z:$Z,0)),"")</f>
        <v/>
      </c>
      <c r="M385" s="2" t="str">
        <f aca="false">IFERROR(INDEX(Query_Source_View!$V:$V,MATCH(ROW()-14,Query_Source_View!$Z:$Z,0)),"")</f>
        <v/>
      </c>
      <c r="N385" s="2" t="str">
        <f aca="false">IFERROR(INDEX(Query_Source_View!$W:$W,MATCH(ROW()-14,Query_Source_View!$Z:$Z,0)),"")</f>
        <v/>
      </c>
      <c r="O385" s="2" t="str">
        <f aca="false">IFERROR(INDEX(Query_Source_View!$X:$X,MATCH(ROW()-14,Query_Source_View!$Z:$Z,0)),"")</f>
        <v/>
      </c>
    </row>
    <row r="386" customFormat="false" ht="15" hidden="false" customHeight="false" outlineLevel="0" collapsed="false">
      <c r="A386" s="2" t="str">
        <f aca="false">IFERROR(INDEX(Query_Source_View!$A:$A,MATCH(ROW()-14,Query_Source_View!$Z:$Z,0)),"")</f>
        <v/>
      </c>
      <c r="B386" s="2" t="str">
        <f aca="false">IFERROR(INDEX(Query_Source_View!$D:$D,MATCH(ROW()-14,Query_Source_View!$Z:$Z,0)),"")</f>
        <v/>
      </c>
      <c r="C386" s="2" t="str">
        <f aca="false">IFERROR(INDEX(Query_Source_View!$F:$F,MATCH(ROW()-14,Query_Source_View!$Z:$Z,0)),"")</f>
        <v/>
      </c>
      <c r="D386" s="2" t="str">
        <f aca="false">IFERROR(INDEX(Query_Source_View!$H:$H,MATCH(ROW()-14,Query_Source_View!$Z:$Z,0)),"")</f>
        <v/>
      </c>
      <c r="E386" s="2" t="str">
        <f aca="false">IFERROR(INDEX(Query_Source_View!$J:$J,MATCH(ROW()-14,Query_Source_View!$Z:$Z,0)),"")</f>
        <v/>
      </c>
      <c r="F386" s="2" t="str">
        <f aca="false">IFERROR(INDEX(Query_Source_View!$L:$L,MATCH(ROW()-14,Query_Source_View!$Z:$Z,0)),"")</f>
        <v/>
      </c>
      <c r="G386" s="2" t="str">
        <f aca="false">IFERROR(INDEX(Query_Source_View!$N:$N,MATCH(ROW()-14,Query_Source_View!$Z:$Z,0)),"")</f>
        <v/>
      </c>
      <c r="H386" s="2" t="str">
        <f aca="false">IFERROR(INDEX(Query_Source_View!$P:$P,MATCH(ROW()-14,Query_Source_View!$Z:$Z,0)),"")</f>
        <v/>
      </c>
      <c r="I386" s="2" t="str">
        <f aca="false">IFERROR(INDEX(Query_Source_View!$Q:$Q,MATCH(ROW()-14,Query_Source_View!$Z:$Z,0)),"")</f>
        <v/>
      </c>
      <c r="J386" s="2" t="str">
        <f aca="false">IFERROR(INDEX(Query_Source_View!$R:$R,MATCH(ROW()-14,Query_Source_View!$Z:$Z,0)),"")</f>
        <v/>
      </c>
      <c r="K386" s="2" t="str">
        <f aca="false">IFERROR(INDEX(Query_Source_View!$T:$T,MATCH(ROW()-14,Query_Source_View!$Z:$Z,0)),"")</f>
        <v/>
      </c>
      <c r="L386" s="2" t="str">
        <f aca="false">IFERROR(INDEX(Query_Source_View!$U:$U,MATCH(ROW()-14,Query_Source_View!$Z:$Z,0)),"")</f>
        <v/>
      </c>
      <c r="M386" s="2" t="str">
        <f aca="false">IFERROR(INDEX(Query_Source_View!$V:$V,MATCH(ROW()-14,Query_Source_View!$Z:$Z,0)),"")</f>
        <v/>
      </c>
      <c r="N386" s="2" t="str">
        <f aca="false">IFERROR(INDEX(Query_Source_View!$W:$W,MATCH(ROW()-14,Query_Source_View!$Z:$Z,0)),"")</f>
        <v/>
      </c>
      <c r="O386" s="2" t="str">
        <f aca="false">IFERROR(INDEX(Query_Source_View!$X:$X,MATCH(ROW()-14,Query_Source_View!$Z:$Z,0)),"")</f>
        <v/>
      </c>
    </row>
    <row r="387" customFormat="false" ht="15" hidden="false" customHeight="false" outlineLevel="0" collapsed="false">
      <c r="A387" s="2" t="str">
        <f aca="false">IFERROR(INDEX(Query_Source_View!$A:$A,MATCH(ROW()-14,Query_Source_View!$Z:$Z,0)),"")</f>
        <v/>
      </c>
      <c r="B387" s="2" t="str">
        <f aca="false">IFERROR(INDEX(Query_Source_View!$D:$D,MATCH(ROW()-14,Query_Source_View!$Z:$Z,0)),"")</f>
        <v/>
      </c>
      <c r="C387" s="2" t="str">
        <f aca="false">IFERROR(INDEX(Query_Source_View!$F:$F,MATCH(ROW()-14,Query_Source_View!$Z:$Z,0)),"")</f>
        <v/>
      </c>
      <c r="D387" s="2" t="str">
        <f aca="false">IFERROR(INDEX(Query_Source_View!$H:$H,MATCH(ROW()-14,Query_Source_View!$Z:$Z,0)),"")</f>
        <v/>
      </c>
      <c r="E387" s="2" t="str">
        <f aca="false">IFERROR(INDEX(Query_Source_View!$J:$J,MATCH(ROW()-14,Query_Source_View!$Z:$Z,0)),"")</f>
        <v/>
      </c>
      <c r="F387" s="2" t="str">
        <f aca="false">IFERROR(INDEX(Query_Source_View!$L:$L,MATCH(ROW()-14,Query_Source_View!$Z:$Z,0)),"")</f>
        <v/>
      </c>
      <c r="G387" s="2" t="str">
        <f aca="false">IFERROR(INDEX(Query_Source_View!$N:$N,MATCH(ROW()-14,Query_Source_View!$Z:$Z,0)),"")</f>
        <v/>
      </c>
      <c r="H387" s="2" t="str">
        <f aca="false">IFERROR(INDEX(Query_Source_View!$P:$P,MATCH(ROW()-14,Query_Source_View!$Z:$Z,0)),"")</f>
        <v/>
      </c>
      <c r="I387" s="2" t="str">
        <f aca="false">IFERROR(INDEX(Query_Source_View!$Q:$Q,MATCH(ROW()-14,Query_Source_View!$Z:$Z,0)),"")</f>
        <v/>
      </c>
      <c r="J387" s="2" t="str">
        <f aca="false">IFERROR(INDEX(Query_Source_View!$R:$R,MATCH(ROW()-14,Query_Source_View!$Z:$Z,0)),"")</f>
        <v/>
      </c>
      <c r="K387" s="2" t="str">
        <f aca="false">IFERROR(INDEX(Query_Source_View!$T:$T,MATCH(ROW()-14,Query_Source_View!$Z:$Z,0)),"")</f>
        <v/>
      </c>
      <c r="L387" s="2" t="str">
        <f aca="false">IFERROR(INDEX(Query_Source_View!$U:$U,MATCH(ROW()-14,Query_Source_View!$Z:$Z,0)),"")</f>
        <v/>
      </c>
      <c r="M387" s="2" t="str">
        <f aca="false">IFERROR(INDEX(Query_Source_View!$V:$V,MATCH(ROW()-14,Query_Source_View!$Z:$Z,0)),"")</f>
        <v/>
      </c>
      <c r="N387" s="2" t="str">
        <f aca="false">IFERROR(INDEX(Query_Source_View!$W:$W,MATCH(ROW()-14,Query_Source_View!$Z:$Z,0)),"")</f>
        <v/>
      </c>
      <c r="O387" s="2" t="str">
        <f aca="false">IFERROR(INDEX(Query_Source_View!$X:$X,MATCH(ROW()-14,Query_Source_View!$Z:$Z,0)),"")</f>
        <v/>
      </c>
    </row>
    <row r="388" customFormat="false" ht="15" hidden="false" customHeight="false" outlineLevel="0" collapsed="false">
      <c r="A388" s="2" t="str">
        <f aca="false">IFERROR(INDEX(Query_Source_View!$A:$A,MATCH(ROW()-14,Query_Source_View!$Z:$Z,0)),"")</f>
        <v/>
      </c>
      <c r="B388" s="2" t="str">
        <f aca="false">IFERROR(INDEX(Query_Source_View!$D:$D,MATCH(ROW()-14,Query_Source_View!$Z:$Z,0)),"")</f>
        <v/>
      </c>
      <c r="C388" s="2" t="str">
        <f aca="false">IFERROR(INDEX(Query_Source_View!$F:$F,MATCH(ROW()-14,Query_Source_View!$Z:$Z,0)),"")</f>
        <v/>
      </c>
      <c r="D388" s="2" t="str">
        <f aca="false">IFERROR(INDEX(Query_Source_View!$H:$H,MATCH(ROW()-14,Query_Source_View!$Z:$Z,0)),"")</f>
        <v/>
      </c>
      <c r="E388" s="2" t="str">
        <f aca="false">IFERROR(INDEX(Query_Source_View!$J:$J,MATCH(ROW()-14,Query_Source_View!$Z:$Z,0)),"")</f>
        <v/>
      </c>
      <c r="F388" s="2" t="str">
        <f aca="false">IFERROR(INDEX(Query_Source_View!$L:$L,MATCH(ROW()-14,Query_Source_View!$Z:$Z,0)),"")</f>
        <v/>
      </c>
      <c r="G388" s="2" t="str">
        <f aca="false">IFERROR(INDEX(Query_Source_View!$N:$N,MATCH(ROW()-14,Query_Source_View!$Z:$Z,0)),"")</f>
        <v/>
      </c>
      <c r="H388" s="2" t="str">
        <f aca="false">IFERROR(INDEX(Query_Source_View!$P:$P,MATCH(ROW()-14,Query_Source_View!$Z:$Z,0)),"")</f>
        <v/>
      </c>
      <c r="I388" s="2" t="str">
        <f aca="false">IFERROR(INDEX(Query_Source_View!$Q:$Q,MATCH(ROW()-14,Query_Source_View!$Z:$Z,0)),"")</f>
        <v/>
      </c>
      <c r="J388" s="2" t="str">
        <f aca="false">IFERROR(INDEX(Query_Source_View!$R:$R,MATCH(ROW()-14,Query_Source_View!$Z:$Z,0)),"")</f>
        <v/>
      </c>
      <c r="K388" s="2" t="str">
        <f aca="false">IFERROR(INDEX(Query_Source_View!$T:$T,MATCH(ROW()-14,Query_Source_View!$Z:$Z,0)),"")</f>
        <v/>
      </c>
      <c r="L388" s="2" t="str">
        <f aca="false">IFERROR(INDEX(Query_Source_View!$U:$U,MATCH(ROW()-14,Query_Source_View!$Z:$Z,0)),"")</f>
        <v/>
      </c>
      <c r="M388" s="2" t="str">
        <f aca="false">IFERROR(INDEX(Query_Source_View!$V:$V,MATCH(ROW()-14,Query_Source_View!$Z:$Z,0)),"")</f>
        <v/>
      </c>
      <c r="N388" s="2" t="str">
        <f aca="false">IFERROR(INDEX(Query_Source_View!$W:$W,MATCH(ROW()-14,Query_Source_View!$Z:$Z,0)),"")</f>
        <v/>
      </c>
      <c r="O388" s="2" t="str">
        <f aca="false">IFERROR(INDEX(Query_Source_View!$X:$X,MATCH(ROW()-14,Query_Source_View!$Z:$Z,0)),"")</f>
        <v/>
      </c>
    </row>
    <row r="389" customFormat="false" ht="15" hidden="false" customHeight="false" outlineLevel="0" collapsed="false">
      <c r="A389" s="2" t="str">
        <f aca="false">IFERROR(INDEX(Query_Source_View!$A:$A,MATCH(ROW()-14,Query_Source_View!$Z:$Z,0)),"")</f>
        <v/>
      </c>
      <c r="B389" s="2" t="str">
        <f aca="false">IFERROR(INDEX(Query_Source_View!$D:$D,MATCH(ROW()-14,Query_Source_View!$Z:$Z,0)),"")</f>
        <v/>
      </c>
      <c r="C389" s="2" t="str">
        <f aca="false">IFERROR(INDEX(Query_Source_View!$F:$F,MATCH(ROW()-14,Query_Source_View!$Z:$Z,0)),"")</f>
        <v/>
      </c>
      <c r="D389" s="2" t="str">
        <f aca="false">IFERROR(INDEX(Query_Source_View!$H:$H,MATCH(ROW()-14,Query_Source_View!$Z:$Z,0)),"")</f>
        <v/>
      </c>
      <c r="E389" s="2" t="str">
        <f aca="false">IFERROR(INDEX(Query_Source_View!$J:$J,MATCH(ROW()-14,Query_Source_View!$Z:$Z,0)),"")</f>
        <v/>
      </c>
      <c r="F389" s="2" t="str">
        <f aca="false">IFERROR(INDEX(Query_Source_View!$L:$L,MATCH(ROW()-14,Query_Source_View!$Z:$Z,0)),"")</f>
        <v/>
      </c>
      <c r="G389" s="2" t="str">
        <f aca="false">IFERROR(INDEX(Query_Source_View!$N:$N,MATCH(ROW()-14,Query_Source_View!$Z:$Z,0)),"")</f>
        <v/>
      </c>
      <c r="H389" s="2" t="str">
        <f aca="false">IFERROR(INDEX(Query_Source_View!$P:$P,MATCH(ROW()-14,Query_Source_View!$Z:$Z,0)),"")</f>
        <v/>
      </c>
      <c r="I389" s="2" t="str">
        <f aca="false">IFERROR(INDEX(Query_Source_View!$Q:$Q,MATCH(ROW()-14,Query_Source_View!$Z:$Z,0)),"")</f>
        <v/>
      </c>
      <c r="J389" s="2" t="str">
        <f aca="false">IFERROR(INDEX(Query_Source_View!$R:$R,MATCH(ROW()-14,Query_Source_View!$Z:$Z,0)),"")</f>
        <v/>
      </c>
      <c r="K389" s="2" t="str">
        <f aca="false">IFERROR(INDEX(Query_Source_View!$T:$T,MATCH(ROW()-14,Query_Source_View!$Z:$Z,0)),"")</f>
        <v/>
      </c>
      <c r="L389" s="2" t="str">
        <f aca="false">IFERROR(INDEX(Query_Source_View!$U:$U,MATCH(ROW()-14,Query_Source_View!$Z:$Z,0)),"")</f>
        <v/>
      </c>
      <c r="M389" s="2" t="str">
        <f aca="false">IFERROR(INDEX(Query_Source_View!$V:$V,MATCH(ROW()-14,Query_Source_View!$Z:$Z,0)),"")</f>
        <v/>
      </c>
      <c r="N389" s="2" t="str">
        <f aca="false">IFERROR(INDEX(Query_Source_View!$W:$W,MATCH(ROW()-14,Query_Source_View!$Z:$Z,0)),"")</f>
        <v/>
      </c>
      <c r="O389" s="2" t="str">
        <f aca="false">IFERROR(INDEX(Query_Source_View!$X:$X,MATCH(ROW()-14,Query_Source_View!$Z:$Z,0)),"")</f>
        <v/>
      </c>
    </row>
    <row r="390" customFormat="false" ht="15" hidden="false" customHeight="false" outlineLevel="0" collapsed="false">
      <c r="A390" s="2" t="str">
        <f aca="false">IFERROR(INDEX(Query_Source_View!$A:$A,MATCH(ROW()-14,Query_Source_View!$Z:$Z,0)),"")</f>
        <v/>
      </c>
      <c r="B390" s="2" t="str">
        <f aca="false">IFERROR(INDEX(Query_Source_View!$D:$D,MATCH(ROW()-14,Query_Source_View!$Z:$Z,0)),"")</f>
        <v/>
      </c>
      <c r="C390" s="2" t="str">
        <f aca="false">IFERROR(INDEX(Query_Source_View!$F:$F,MATCH(ROW()-14,Query_Source_View!$Z:$Z,0)),"")</f>
        <v/>
      </c>
      <c r="D390" s="2" t="str">
        <f aca="false">IFERROR(INDEX(Query_Source_View!$H:$H,MATCH(ROW()-14,Query_Source_View!$Z:$Z,0)),"")</f>
        <v/>
      </c>
      <c r="E390" s="2" t="str">
        <f aca="false">IFERROR(INDEX(Query_Source_View!$J:$J,MATCH(ROW()-14,Query_Source_View!$Z:$Z,0)),"")</f>
        <v/>
      </c>
      <c r="F390" s="2" t="str">
        <f aca="false">IFERROR(INDEX(Query_Source_View!$L:$L,MATCH(ROW()-14,Query_Source_View!$Z:$Z,0)),"")</f>
        <v/>
      </c>
      <c r="G390" s="2" t="str">
        <f aca="false">IFERROR(INDEX(Query_Source_View!$N:$N,MATCH(ROW()-14,Query_Source_View!$Z:$Z,0)),"")</f>
        <v/>
      </c>
      <c r="H390" s="2" t="str">
        <f aca="false">IFERROR(INDEX(Query_Source_View!$P:$P,MATCH(ROW()-14,Query_Source_View!$Z:$Z,0)),"")</f>
        <v/>
      </c>
      <c r="I390" s="2" t="str">
        <f aca="false">IFERROR(INDEX(Query_Source_View!$Q:$Q,MATCH(ROW()-14,Query_Source_View!$Z:$Z,0)),"")</f>
        <v/>
      </c>
      <c r="J390" s="2" t="str">
        <f aca="false">IFERROR(INDEX(Query_Source_View!$R:$R,MATCH(ROW()-14,Query_Source_View!$Z:$Z,0)),"")</f>
        <v/>
      </c>
      <c r="K390" s="2" t="str">
        <f aca="false">IFERROR(INDEX(Query_Source_View!$T:$T,MATCH(ROW()-14,Query_Source_View!$Z:$Z,0)),"")</f>
        <v/>
      </c>
      <c r="L390" s="2" t="str">
        <f aca="false">IFERROR(INDEX(Query_Source_View!$U:$U,MATCH(ROW()-14,Query_Source_View!$Z:$Z,0)),"")</f>
        <v/>
      </c>
      <c r="M390" s="2" t="str">
        <f aca="false">IFERROR(INDEX(Query_Source_View!$V:$V,MATCH(ROW()-14,Query_Source_View!$Z:$Z,0)),"")</f>
        <v/>
      </c>
      <c r="N390" s="2" t="str">
        <f aca="false">IFERROR(INDEX(Query_Source_View!$W:$W,MATCH(ROW()-14,Query_Source_View!$Z:$Z,0)),"")</f>
        <v/>
      </c>
      <c r="O390" s="2" t="str">
        <f aca="false">IFERROR(INDEX(Query_Source_View!$X:$X,MATCH(ROW()-14,Query_Source_View!$Z:$Z,0)),"")</f>
        <v/>
      </c>
    </row>
    <row r="391" customFormat="false" ht="15" hidden="false" customHeight="false" outlineLevel="0" collapsed="false">
      <c r="A391" s="2" t="str">
        <f aca="false">IFERROR(INDEX(Query_Source_View!$A:$A,MATCH(ROW()-14,Query_Source_View!$Z:$Z,0)),"")</f>
        <v/>
      </c>
      <c r="B391" s="2" t="str">
        <f aca="false">IFERROR(INDEX(Query_Source_View!$D:$D,MATCH(ROW()-14,Query_Source_View!$Z:$Z,0)),"")</f>
        <v/>
      </c>
      <c r="C391" s="2" t="str">
        <f aca="false">IFERROR(INDEX(Query_Source_View!$F:$F,MATCH(ROW()-14,Query_Source_View!$Z:$Z,0)),"")</f>
        <v/>
      </c>
      <c r="D391" s="2" t="str">
        <f aca="false">IFERROR(INDEX(Query_Source_View!$H:$H,MATCH(ROW()-14,Query_Source_View!$Z:$Z,0)),"")</f>
        <v/>
      </c>
      <c r="E391" s="2" t="str">
        <f aca="false">IFERROR(INDEX(Query_Source_View!$J:$J,MATCH(ROW()-14,Query_Source_View!$Z:$Z,0)),"")</f>
        <v/>
      </c>
      <c r="F391" s="2" t="str">
        <f aca="false">IFERROR(INDEX(Query_Source_View!$L:$L,MATCH(ROW()-14,Query_Source_View!$Z:$Z,0)),"")</f>
        <v/>
      </c>
      <c r="G391" s="2" t="str">
        <f aca="false">IFERROR(INDEX(Query_Source_View!$N:$N,MATCH(ROW()-14,Query_Source_View!$Z:$Z,0)),"")</f>
        <v/>
      </c>
      <c r="H391" s="2" t="str">
        <f aca="false">IFERROR(INDEX(Query_Source_View!$P:$P,MATCH(ROW()-14,Query_Source_View!$Z:$Z,0)),"")</f>
        <v/>
      </c>
      <c r="I391" s="2" t="str">
        <f aca="false">IFERROR(INDEX(Query_Source_View!$Q:$Q,MATCH(ROW()-14,Query_Source_View!$Z:$Z,0)),"")</f>
        <v/>
      </c>
      <c r="J391" s="2" t="str">
        <f aca="false">IFERROR(INDEX(Query_Source_View!$R:$R,MATCH(ROW()-14,Query_Source_View!$Z:$Z,0)),"")</f>
        <v/>
      </c>
      <c r="K391" s="2" t="str">
        <f aca="false">IFERROR(INDEX(Query_Source_View!$T:$T,MATCH(ROW()-14,Query_Source_View!$Z:$Z,0)),"")</f>
        <v/>
      </c>
      <c r="L391" s="2" t="str">
        <f aca="false">IFERROR(INDEX(Query_Source_View!$U:$U,MATCH(ROW()-14,Query_Source_View!$Z:$Z,0)),"")</f>
        <v/>
      </c>
      <c r="M391" s="2" t="str">
        <f aca="false">IFERROR(INDEX(Query_Source_View!$V:$V,MATCH(ROW()-14,Query_Source_View!$Z:$Z,0)),"")</f>
        <v/>
      </c>
      <c r="N391" s="2" t="str">
        <f aca="false">IFERROR(INDEX(Query_Source_View!$W:$W,MATCH(ROW()-14,Query_Source_View!$Z:$Z,0)),"")</f>
        <v/>
      </c>
      <c r="O391" s="2" t="str">
        <f aca="false">IFERROR(INDEX(Query_Source_View!$X:$X,MATCH(ROW()-14,Query_Source_View!$Z:$Z,0)),"")</f>
        <v/>
      </c>
    </row>
    <row r="392" customFormat="false" ht="15" hidden="false" customHeight="false" outlineLevel="0" collapsed="false">
      <c r="A392" s="2" t="str">
        <f aca="false">IFERROR(INDEX(Query_Source_View!$A:$A,MATCH(ROW()-14,Query_Source_View!$Z:$Z,0)),"")</f>
        <v/>
      </c>
      <c r="B392" s="2" t="str">
        <f aca="false">IFERROR(INDEX(Query_Source_View!$D:$D,MATCH(ROW()-14,Query_Source_View!$Z:$Z,0)),"")</f>
        <v/>
      </c>
      <c r="C392" s="2" t="str">
        <f aca="false">IFERROR(INDEX(Query_Source_View!$F:$F,MATCH(ROW()-14,Query_Source_View!$Z:$Z,0)),"")</f>
        <v/>
      </c>
      <c r="D392" s="2" t="str">
        <f aca="false">IFERROR(INDEX(Query_Source_View!$H:$H,MATCH(ROW()-14,Query_Source_View!$Z:$Z,0)),"")</f>
        <v/>
      </c>
      <c r="E392" s="2" t="str">
        <f aca="false">IFERROR(INDEX(Query_Source_View!$J:$J,MATCH(ROW()-14,Query_Source_View!$Z:$Z,0)),"")</f>
        <v/>
      </c>
      <c r="F392" s="2" t="str">
        <f aca="false">IFERROR(INDEX(Query_Source_View!$L:$L,MATCH(ROW()-14,Query_Source_View!$Z:$Z,0)),"")</f>
        <v/>
      </c>
      <c r="G392" s="2" t="str">
        <f aca="false">IFERROR(INDEX(Query_Source_View!$N:$N,MATCH(ROW()-14,Query_Source_View!$Z:$Z,0)),"")</f>
        <v/>
      </c>
      <c r="H392" s="2" t="str">
        <f aca="false">IFERROR(INDEX(Query_Source_View!$P:$P,MATCH(ROW()-14,Query_Source_View!$Z:$Z,0)),"")</f>
        <v/>
      </c>
      <c r="I392" s="2" t="str">
        <f aca="false">IFERROR(INDEX(Query_Source_View!$Q:$Q,MATCH(ROW()-14,Query_Source_View!$Z:$Z,0)),"")</f>
        <v/>
      </c>
      <c r="J392" s="2" t="str">
        <f aca="false">IFERROR(INDEX(Query_Source_View!$R:$R,MATCH(ROW()-14,Query_Source_View!$Z:$Z,0)),"")</f>
        <v/>
      </c>
      <c r="K392" s="2" t="str">
        <f aca="false">IFERROR(INDEX(Query_Source_View!$T:$T,MATCH(ROW()-14,Query_Source_View!$Z:$Z,0)),"")</f>
        <v/>
      </c>
      <c r="L392" s="2" t="str">
        <f aca="false">IFERROR(INDEX(Query_Source_View!$U:$U,MATCH(ROW()-14,Query_Source_View!$Z:$Z,0)),"")</f>
        <v/>
      </c>
      <c r="M392" s="2" t="str">
        <f aca="false">IFERROR(INDEX(Query_Source_View!$V:$V,MATCH(ROW()-14,Query_Source_View!$Z:$Z,0)),"")</f>
        <v/>
      </c>
      <c r="N392" s="2" t="str">
        <f aca="false">IFERROR(INDEX(Query_Source_View!$W:$W,MATCH(ROW()-14,Query_Source_View!$Z:$Z,0)),"")</f>
        <v/>
      </c>
      <c r="O392" s="2" t="str">
        <f aca="false">IFERROR(INDEX(Query_Source_View!$X:$X,MATCH(ROW()-14,Query_Source_View!$Z:$Z,0)),"")</f>
        <v/>
      </c>
    </row>
    <row r="393" customFormat="false" ht="15" hidden="false" customHeight="false" outlineLevel="0" collapsed="false">
      <c r="A393" s="2" t="str">
        <f aca="false">IFERROR(INDEX(Query_Source_View!$A:$A,MATCH(ROW()-14,Query_Source_View!$Z:$Z,0)),"")</f>
        <v/>
      </c>
      <c r="B393" s="2" t="str">
        <f aca="false">IFERROR(INDEX(Query_Source_View!$D:$D,MATCH(ROW()-14,Query_Source_View!$Z:$Z,0)),"")</f>
        <v/>
      </c>
      <c r="C393" s="2" t="str">
        <f aca="false">IFERROR(INDEX(Query_Source_View!$F:$F,MATCH(ROW()-14,Query_Source_View!$Z:$Z,0)),"")</f>
        <v/>
      </c>
      <c r="D393" s="2" t="str">
        <f aca="false">IFERROR(INDEX(Query_Source_View!$H:$H,MATCH(ROW()-14,Query_Source_View!$Z:$Z,0)),"")</f>
        <v/>
      </c>
      <c r="E393" s="2" t="str">
        <f aca="false">IFERROR(INDEX(Query_Source_View!$J:$J,MATCH(ROW()-14,Query_Source_View!$Z:$Z,0)),"")</f>
        <v/>
      </c>
      <c r="F393" s="2" t="str">
        <f aca="false">IFERROR(INDEX(Query_Source_View!$L:$L,MATCH(ROW()-14,Query_Source_View!$Z:$Z,0)),"")</f>
        <v/>
      </c>
      <c r="G393" s="2" t="str">
        <f aca="false">IFERROR(INDEX(Query_Source_View!$N:$N,MATCH(ROW()-14,Query_Source_View!$Z:$Z,0)),"")</f>
        <v/>
      </c>
      <c r="H393" s="2" t="str">
        <f aca="false">IFERROR(INDEX(Query_Source_View!$P:$P,MATCH(ROW()-14,Query_Source_View!$Z:$Z,0)),"")</f>
        <v/>
      </c>
      <c r="I393" s="2" t="str">
        <f aca="false">IFERROR(INDEX(Query_Source_View!$Q:$Q,MATCH(ROW()-14,Query_Source_View!$Z:$Z,0)),"")</f>
        <v/>
      </c>
      <c r="J393" s="2" t="str">
        <f aca="false">IFERROR(INDEX(Query_Source_View!$R:$R,MATCH(ROW()-14,Query_Source_View!$Z:$Z,0)),"")</f>
        <v/>
      </c>
      <c r="K393" s="2" t="str">
        <f aca="false">IFERROR(INDEX(Query_Source_View!$T:$T,MATCH(ROW()-14,Query_Source_View!$Z:$Z,0)),"")</f>
        <v/>
      </c>
      <c r="L393" s="2" t="str">
        <f aca="false">IFERROR(INDEX(Query_Source_View!$U:$U,MATCH(ROW()-14,Query_Source_View!$Z:$Z,0)),"")</f>
        <v/>
      </c>
      <c r="M393" s="2" t="str">
        <f aca="false">IFERROR(INDEX(Query_Source_View!$V:$V,MATCH(ROW()-14,Query_Source_View!$Z:$Z,0)),"")</f>
        <v/>
      </c>
      <c r="N393" s="2" t="str">
        <f aca="false">IFERROR(INDEX(Query_Source_View!$W:$W,MATCH(ROW()-14,Query_Source_View!$Z:$Z,0)),"")</f>
        <v/>
      </c>
      <c r="O393" s="2" t="str">
        <f aca="false">IFERROR(INDEX(Query_Source_View!$X:$X,MATCH(ROW()-14,Query_Source_View!$Z:$Z,0)),"")</f>
        <v/>
      </c>
    </row>
    <row r="394" customFormat="false" ht="15" hidden="false" customHeight="false" outlineLevel="0" collapsed="false">
      <c r="A394" s="2" t="str">
        <f aca="false">IFERROR(INDEX(Query_Source_View!$A:$A,MATCH(ROW()-14,Query_Source_View!$Z:$Z,0)),"")</f>
        <v/>
      </c>
      <c r="B394" s="2" t="str">
        <f aca="false">IFERROR(INDEX(Query_Source_View!$D:$D,MATCH(ROW()-14,Query_Source_View!$Z:$Z,0)),"")</f>
        <v/>
      </c>
      <c r="C394" s="2" t="str">
        <f aca="false">IFERROR(INDEX(Query_Source_View!$F:$F,MATCH(ROW()-14,Query_Source_View!$Z:$Z,0)),"")</f>
        <v/>
      </c>
      <c r="D394" s="2" t="str">
        <f aca="false">IFERROR(INDEX(Query_Source_View!$H:$H,MATCH(ROW()-14,Query_Source_View!$Z:$Z,0)),"")</f>
        <v/>
      </c>
      <c r="E394" s="2" t="str">
        <f aca="false">IFERROR(INDEX(Query_Source_View!$J:$J,MATCH(ROW()-14,Query_Source_View!$Z:$Z,0)),"")</f>
        <v/>
      </c>
      <c r="F394" s="2" t="str">
        <f aca="false">IFERROR(INDEX(Query_Source_View!$L:$L,MATCH(ROW()-14,Query_Source_View!$Z:$Z,0)),"")</f>
        <v/>
      </c>
      <c r="G394" s="2" t="str">
        <f aca="false">IFERROR(INDEX(Query_Source_View!$N:$N,MATCH(ROW()-14,Query_Source_View!$Z:$Z,0)),"")</f>
        <v/>
      </c>
      <c r="H394" s="2" t="str">
        <f aca="false">IFERROR(INDEX(Query_Source_View!$P:$P,MATCH(ROW()-14,Query_Source_View!$Z:$Z,0)),"")</f>
        <v/>
      </c>
      <c r="I394" s="2" t="str">
        <f aca="false">IFERROR(INDEX(Query_Source_View!$Q:$Q,MATCH(ROW()-14,Query_Source_View!$Z:$Z,0)),"")</f>
        <v/>
      </c>
      <c r="J394" s="2" t="str">
        <f aca="false">IFERROR(INDEX(Query_Source_View!$R:$R,MATCH(ROW()-14,Query_Source_View!$Z:$Z,0)),"")</f>
        <v/>
      </c>
      <c r="K394" s="2" t="str">
        <f aca="false">IFERROR(INDEX(Query_Source_View!$T:$T,MATCH(ROW()-14,Query_Source_View!$Z:$Z,0)),"")</f>
        <v/>
      </c>
      <c r="L394" s="2" t="str">
        <f aca="false">IFERROR(INDEX(Query_Source_View!$U:$U,MATCH(ROW()-14,Query_Source_View!$Z:$Z,0)),"")</f>
        <v/>
      </c>
      <c r="M394" s="2" t="str">
        <f aca="false">IFERROR(INDEX(Query_Source_View!$V:$V,MATCH(ROW()-14,Query_Source_View!$Z:$Z,0)),"")</f>
        <v/>
      </c>
      <c r="N394" s="2" t="str">
        <f aca="false">IFERROR(INDEX(Query_Source_View!$W:$W,MATCH(ROW()-14,Query_Source_View!$Z:$Z,0)),"")</f>
        <v/>
      </c>
      <c r="O394" s="2" t="str">
        <f aca="false">IFERROR(INDEX(Query_Source_View!$X:$X,MATCH(ROW()-14,Query_Source_View!$Z:$Z,0)),"")</f>
        <v/>
      </c>
    </row>
    <row r="395" customFormat="false" ht="15" hidden="false" customHeight="false" outlineLevel="0" collapsed="false">
      <c r="A395" s="2" t="str">
        <f aca="false">IFERROR(INDEX(Query_Source_View!$A:$A,MATCH(ROW()-14,Query_Source_View!$Z:$Z,0)),"")</f>
        <v/>
      </c>
      <c r="B395" s="2" t="str">
        <f aca="false">IFERROR(INDEX(Query_Source_View!$D:$D,MATCH(ROW()-14,Query_Source_View!$Z:$Z,0)),"")</f>
        <v/>
      </c>
      <c r="C395" s="2" t="str">
        <f aca="false">IFERROR(INDEX(Query_Source_View!$F:$F,MATCH(ROW()-14,Query_Source_View!$Z:$Z,0)),"")</f>
        <v/>
      </c>
      <c r="D395" s="2" t="str">
        <f aca="false">IFERROR(INDEX(Query_Source_View!$H:$H,MATCH(ROW()-14,Query_Source_View!$Z:$Z,0)),"")</f>
        <v/>
      </c>
      <c r="E395" s="2" t="str">
        <f aca="false">IFERROR(INDEX(Query_Source_View!$J:$J,MATCH(ROW()-14,Query_Source_View!$Z:$Z,0)),"")</f>
        <v/>
      </c>
      <c r="F395" s="2" t="str">
        <f aca="false">IFERROR(INDEX(Query_Source_View!$L:$L,MATCH(ROW()-14,Query_Source_View!$Z:$Z,0)),"")</f>
        <v/>
      </c>
      <c r="G395" s="2" t="str">
        <f aca="false">IFERROR(INDEX(Query_Source_View!$N:$N,MATCH(ROW()-14,Query_Source_View!$Z:$Z,0)),"")</f>
        <v/>
      </c>
      <c r="H395" s="2" t="str">
        <f aca="false">IFERROR(INDEX(Query_Source_View!$P:$P,MATCH(ROW()-14,Query_Source_View!$Z:$Z,0)),"")</f>
        <v/>
      </c>
      <c r="I395" s="2" t="str">
        <f aca="false">IFERROR(INDEX(Query_Source_View!$Q:$Q,MATCH(ROW()-14,Query_Source_View!$Z:$Z,0)),"")</f>
        <v/>
      </c>
      <c r="J395" s="2" t="str">
        <f aca="false">IFERROR(INDEX(Query_Source_View!$R:$R,MATCH(ROW()-14,Query_Source_View!$Z:$Z,0)),"")</f>
        <v/>
      </c>
      <c r="K395" s="2" t="str">
        <f aca="false">IFERROR(INDEX(Query_Source_View!$T:$T,MATCH(ROW()-14,Query_Source_View!$Z:$Z,0)),"")</f>
        <v/>
      </c>
      <c r="L395" s="2" t="str">
        <f aca="false">IFERROR(INDEX(Query_Source_View!$U:$U,MATCH(ROW()-14,Query_Source_View!$Z:$Z,0)),"")</f>
        <v/>
      </c>
      <c r="M395" s="2" t="str">
        <f aca="false">IFERROR(INDEX(Query_Source_View!$V:$V,MATCH(ROW()-14,Query_Source_View!$Z:$Z,0)),"")</f>
        <v/>
      </c>
      <c r="N395" s="2" t="str">
        <f aca="false">IFERROR(INDEX(Query_Source_View!$W:$W,MATCH(ROW()-14,Query_Source_View!$Z:$Z,0)),"")</f>
        <v/>
      </c>
      <c r="O395" s="2" t="str">
        <f aca="false">IFERROR(INDEX(Query_Source_View!$X:$X,MATCH(ROW()-14,Query_Source_View!$Z:$Z,0)),"")</f>
        <v/>
      </c>
    </row>
    <row r="396" customFormat="false" ht="15" hidden="false" customHeight="false" outlineLevel="0" collapsed="false">
      <c r="A396" s="2" t="str">
        <f aca="false">IFERROR(INDEX(Query_Source_View!$A:$A,MATCH(ROW()-14,Query_Source_View!$Z:$Z,0)),"")</f>
        <v/>
      </c>
      <c r="B396" s="2" t="str">
        <f aca="false">IFERROR(INDEX(Query_Source_View!$D:$D,MATCH(ROW()-14,Query_Source_View!$Z:$Z,0)),"")</f>
        <v/>
      </c>
      <c r="C396" s="2" t="str">
        <f aca="false">IFERROR(INDEX(Query_Source_View!$F:$F,MATCH(ROW()-14,Query_Source_View!$Z:$Z,0)),"")</f>
        <v/>
      </c>
      <c r="D396" s="2" t="str">
        <f aca="false">IFERROR(INDEX(Query_Source_View!$H:$H,MATCH(ROW()-14,Query_Source_View!$Z:$Z,0)),"")</f>
        <v/>
      </c>
      <c r="E396" s="2" t="str">
        <f aca="false">IFERROR(INDEX(Query_Source_View!$J:$J,MATCH(ROW()-14,Query_Source_View!$Z:$Z,0)),"")</f>
        <v/>
      </c>
      <c r="F396" s="2" t="str">
        <f aca="false">IFERROR(INDEX(Query_Source_View!$L:$L,MATCH(ROW()-14,Query_Source_View!$Z:$Z,0)),"")</f>
        <v/>
      </c>
      <c r="G396" s="2" t="str">
        <f aca="false">IFERROR(INDEX(Query_Source_View!$N:$N,MATCH(ROW()-14,Query_Source_View!$Z:$Z,0)),"")</f>
        <v/>
      </c>
      <c r="H396" s="2" t="str">
        <f aca="false">IFERROR(INDEX(Query_Source_View!$P:$P,MATCH(ROW()-14,Query_Source_View!$Z:$Z,0)),"")</f>
        <v/>
      </c>
      <c r="I396" s="2" t="str">
        <f aca="false">IFERROR(INDEX(Query_Source_View!$Q:$Q,MATCH(ROW()-14,Query_Source_View!$Z:$Z,0)),"")</f>
        <v/>
      </c>
      <c r="J396" s="2" t="str">
        <f aca="false">IFERROR(INDEX(Query_Source_View!$R:$R,MATCH(ROW()-14,Query_Source_View!$Z:$Z,0)),"")</f>
        <v/>
      </c>
      <c r="K396" s="2" t="str">
        <f aca="false">IFERROR(INDEX(Query_Source_View!$T:$T,MATCH(ROW()-14,Query_Source_View!$Z:$Z,0)),"")</f>
        <v/>
      </c>
      <c r="L396" s="2" t="str">
        <f aca="false">IFERROR(INDEX(Query_Source_View!$U:$U,MATCH(ROW()-14,Query_Source_View!$Z:$Z,0)),"")</f>
        <v/>
      </c>
      <c r="M396" s="2" t="str">
        <f aca="false">IFERROR(INDEX(Query_Source_View!$V:$V,MATCH(ROW()-14,Query_Source_View!$Z:$Z,0)),"")</f>
        <v/>
      </c>
      <c r="N396" s="2" t="str">
        <f aca="false">IFERROR(INDEX(Query_Source_View!$W:$W,MATCH(ROW()-14,Query_Source_View!$Z:$Z,0)),"")</f>
        <v/>
      </c>
      <c r="O396" s="2" t="str">
        <f aca="false">IFERROR(INDEX(Query_Source_View!$X:$X,MATCH(ROW()-14,Query_Source_View!$Z:$Z,0)),"")</f>
        <v/>
      </c>
    </row>
    <row r="397" customFormat="false" ht="15" hidden="false" customHeight="false" outlineLevel="0" collapsed="false">
      <c r="A397" s="2" t="str">
        <f aca="false">IFERROR(INDEX(Query_Source_View!$A:$A,MATCH(ROW()-14,Query_Source_View!$Z:$Z,0)),"")</f>
        <v/>
      </c>
      <c r="B397" s="2" t="str">
        <f aca="false">IFERROR(INDEX(Query_Source_View!$D:$D,MATCH(ROW()-14,Query_Source_View!$Z:$Z,0)),"")</f>
        <v/>
      </c>
      <c r="C397" s="2" t="str">
        <f aca="false">IFERROR(INDEX(Query_Source_View!$F:$F,MATCH(ROW()-14,Query_Source_View!$Z:$Z,0)),"")</f>
        <v/>
      </c>
      <c r="D397" s="2" t="str">
        <f aca="false">IFERROR(INDEX(Query_Source_View!$H:$H,MATCH(ROW()-14,Query_Source_View!$Z:$Z,0)),"")</f>
        <v/>
      </c>
      <c r="E397" s="2" t="str">
        <f aca="false">IFERROR(INDEX(Query_Source_View!$J:$J,MATCH(ROW()-14,Query_Source_View!$Z:$Z,0)),"")</f>
        <v/>
      </c>
      <c r="F397" s="2" t="str">
        <f aca="false">IFERROR(INDEX(Query_Source_View!$L:$L,MATCH(ROW()-14,Query_Source_View!$Z:$Z,0)),"")</f>
        <v/>
      </c>
      <c r="G397" s="2" t="str">
        <f aca="false">IFERROR(INDEX(Query_Source_View!$N:$N,MATCH(ROW()-14,Query_Source_View!$Z:$Z,0)),"")</f>
        <v/>
      </c>
      <c r="H397" s="2" t="str">
        <f aca="false">IFERROR(INDEX(Query_Source_View!$P:$P,MATCH(ROW()-14,Query_Source_View!$Z:$Z,0)),"")</f>
        <v/>
      </c>
      <c r="I397" s="2" t="str">
        <f aca="false">IFERROR(INDEX(Query_Source_View!$Q:$Q,MATCH(ROW()-14,Query_Source_View!$Z:$Z,0)),"")</f>
        <v/>
      </c>
      <c r="J397" s="2" t="str">
        <f aca="false">IFERROR(INDEX(Query_Source_View!$R:$R,MATCH(ROW()-14,Query_Source_View!$Z:$Z,0)),"")</f>
        <v/>
      </c>
      <c r="K397" s="2" t="str">
        <f aca="false">IFERROR(INDEX(Query_Source_View!$T:$T,MATCH(ROW()-14,Query_Source_View!$Z:$Z,0)),"")</f>
        <v/>
      </c>
      <c r="L397" s="2" t="str">
        <f aca="false">IFERROR(INDEX(Query_Source_View!$U:$U,MATCH(ROW()-14,Query_Source_View!$Z:$Z,0)),"")</f>
        <v/>
      </c>
      <c r="M397" s="2" t="str">
        <f aca="false">IFERROR(INDEX(Query_Source_View!$V:$V,MATCH(ROW()-14,Query_Source_View!$Z:$Z,0)),"")</f>
        <v/>
      </c>
      <c r="N397" s="2" t="str">
        <f aca="false">IFERROR(INDEX(Query_Source_View!$W:$W,MATCH(ROW()-14,Query_Source_View!$Z:$Z,0)),"")</f>
        <v/>
      </c>
      <c r="O397" s="2" t="str">
        <f aca="false">IFERROR(INDEX(Query_Source_View!$X:$X,MATCH(ROW()-14,Query_Source_View!$Z:$Z,0)),"")</f>
        <v/>
      </c>
    </row>
    <row r="398" customFormat="false" ht="15" hidden="false" customHeight="false" outlineLevel="0" collapsed="false">
      <c r="A398" s="2" t="str">
        <f aca="false">IFERROR(INDEX(Query_Source_View!$A:$A,MATCH(ROW()-14,Query_Source_View!$Z:$Z,0)),"")</f>
        <v/>
      </c>
      <c r="B398" s="2" t="str">
        <f aca="false">IFERROR(INDEX(Query_Source_View!$D:$D,MATCH(ROW()-14,Query_Source_View!$Z:$Z,0)),"")</f>
        <v/>
      </c>
      <c r="C398" s="2" t="str">
        <f aca="false">IFERROR(INDEX(Query_Source_View!$F:$F,MATCH(ROW()-14,Query_Source_View!$Z:$Z,0)),"")</f>
        <v/>
      </c>
      <c r="D398" s="2" t="str">
        <f aca="false">IFERROR(INDEX(Query_Source_View!$H:$H,MATCH(ROW()-14,Query_Source_View!$Z:$Z,0)),"")</f>
        <v/>
      </c>
      <c r="E398" s="2" t="str">
        <f aca="false">IFERROR(INDEX(Query_Source_View!$J:$J,MATCH(ROW()-14,Query_Source_View!$Z:$Z,0)),"")</f>
        <v/>
      </c>
      <c r="F398" s="2" t="str">
        <f aca="false">IFERROR(INDEX(Query_Source_View!$L:$L,MATCH(ROW()-14,Query_Source_View!$Z:$Z,0)),"")</f>
        <v/>
      </c>
      <c r="G398" s="2" t="str">
        <f aca="false">IFERROR(INDEX(Query_Source_View!$N:$N,MATCH(ROW()-14,Query_Source_View!$Z:$Z,0)),"")</f>
        <v/>
      </c>
      <c r="H398" s="2" t="str">
        <f aca="false">IFERROR(INDEX(Query_Source_View!$P:$P,MATCH(ROW()-14,Query_Source_View!$Z:$Z,0)),"")</f>
        <v/>
      </c>
      <c r="I398" s="2" t="str">
        <f aca="false">IFERROR(INDEX(Query_Source_View!$Q:$Q,MATCH(ROW()-14,Query_Source_View!$Z:$Z,0)),"")</f>
        <v/>
      </c>
      <c r="J398" s="2" t="str">
        <f aca="false">IFERROR(INDEX(Query_Source_View!$R:$R,MATCH(ROW()-14,Query_Source_View!$Z:$Z,0)),"")</f>
        <v/>
      </c>
      <c r="K398" s="2" t="str">
        <f aca="false">IFERROR(INDEX(Query_Source_View!$T:$T,MATCH(ROW()-14,Query_Source_View!$Z:$Z,0)),"")</f>
        <v/>
      </c>
      <c r="L398" s="2" t="str">
        <f aca="false">IFERROR(INDEX(Query_Source_View!$U:$U,MATCH(ROW()-14,Query_Source_View!$Z:$Z,0)),"")</f>
        <v/>
      </c>
      <c r="M398" s="2" t="str">
        <f aca="false">IFERROR(INDEX(Query_Source_View!$V:$V,MATCH(ROW()-14,Query_Source_View!$Z:$Z,0)),"")</f>
        <v/>
      </c>
      <c r="N398" s="2" t="str">
        <f aca="false">IFERROR(INDEX(Query_Source_View!$W:$W,MATCH(ROW()-14,Query_Source_View!$Z:$Z,0)),"")</f>
        <v/>
      </c>
      <c r="O398" s="2" t="str">
        <f aca="false">IFERROR(INDEX(Query_Source_View!$X:$X,MATCH(ROW()-14,Query_Source_View!$Z:$Z,0)),"")</f>
        <v/>
      </c>
    </row>
    <row r="399" customFormat="false" ht="15" hidden="false" customHeight="false" outlineLevel="0" collapsed="false">
      <c r="A399" s="2" t="str">
        <f aca="false">IFERROR(INDEX(Query_Source_View!$A:$A,MATCH(ROW()-14,Query_Source_View!$Z:$Z,0)),"")</f>
        <v/>
      </c>
      <c r="B399" s="2" t="str">
        <f aca="false">IFERROR(INDEX(Query_Source_View!$D:$D,MATCH(ROW()-14,Query_Source_View!$Z:$Z,0)),"")</f>
        <v/>
      </c>
      <c r="C399" s="2" t="str">
        <f aca="false">IFERROR(INDEX(Query_Source_View!$F:$F,MATCH(ROW()-14,Query_Source_View!$Z:$Z,0)),"")</f>
        <v/>
      </c>
      <c r="D399" s="2" t="str">
        <f aca="false">IFERROR(INDEX(Query_Source_View!$H:$H,MATCH(ROW()-14,Query_Source_View!$Z:$Z,0)),"")</f>
        <v/>
      </c>
      <c r="E399" s="2" t="str">
        <f aca="false">IFERROR(INDEX(Query_Source_View!$J:$J,MATCH(ROW()-14,Query_Source_View!$Z:$Z,0)),"")</f>
        <v/>
      </c>
      <c r="F399" s="2" t="str">
        <f aca="false">IFERROR(INDEX(Query_Source_View!$L:$L,MATCH(ROW()-14,Query_Source_View!$Z:$Z,0)),"")</f>
        <v/>
      </c>
      <c r="G399" s="2" t="str">
        <f aca="false">IFERROR(INDEX(Query_Source_View!$N:$N,MATCH(ROW()-14,Query_Source_View!$Z:$Z,0)),"")</f>
        <v/>
      </c>
      <c r="H399" s="2" t="str">
        <f aca="false">IFERROR(INDEX(Query_Source_View!$P:$P,MATCH(ROW()-14,Query_Source_View!$Z:$Z,0)),"")</f>
        <v/>
      </c>
      <c r="I399" s="2" t="str">
        <f aca="false">IFERROR(INDEX(Query_Source_View!$Q:$Q,MATCH(ROW()-14,Query_Source_View!$Z:$Z,0)),"")</f>
        <v/>
      </c>
      <c r="J399" s="2" t="str">
        <f aca="false">IFERROR(INDEX(Query_Source_View!$R:$R,MATCH(ROW()-14,Query_Source_View!$Z:$Z,0)),"")</f>
        <v/>
      </c>
      <c r="K399" s="2" t="str">
        <f aca="false">IFERROR(INDEX(Query_Source_View!$T:$T,MATCH(ROW()-14,Query_Source_View!$Z:$Z,0)),"")</f>
        <v/>
      </c>
      <c r="L399" s="2" t="str">
        <f aca="false">IFERROR(INDEX(Query_Source_View!$U:$U,MATCH(ROW()-14,Query_Source_View!$Z:$Z,0)),"")</f>
        <v/>
      </c>
      <c r="M399" s="2" t="str">
        <f aca="false">IFERROR(INDEX(Query_Source_View!$V:$V,MATCH(ROW()-14,Query_Source_View!$Z:$Z,0)),"")</f>
        <v/>
      </c>
      <c r="N399" s="2" t="str">
        <f aca="false">IFERROR(INDEX(Query_Source_View!$W:$W,MATCH(ROW()-14,Query_Source_View!$Z:$Z,0)),"")</f>
        <v/>
      </c>
      <c r="O399" s="2" t="str">
        <f aca="false">IFERROR(INDEX(Query_Source_View!$X:$X,MATCH(ROW()-14,Query_Source_View!$Z:$Z,0)),"")</f>
        <v/>
      </c>
    </row>
    <row r="400" customFormat="false" ht="15" hidden="false" customHeight="false" outlineLevel="0" collapsed="false">
      <c r="A400" s="2" t="str">
        <f aca="false">IFERROR(INDEX(Query_Source_View!$A:$A,MATCH(ROW()-14,Query_Source_View!$Z:$Z,0)),"")</f>
        <v/>
      </c>
      <c r="B400" s="2" t="str">
        <f aca="false">IFERROR(INDEX(Query_Source_View!$D:$D,MATCH(ROW()-14,Query_Source_View!$Z:$Z,0)),"")</f>
        <v/>
      </c>
      <c r="C400" s="2" t="str">
        <f aca="false">IFERROR(INDEX(Query_Source_View!$F:$F,MATCH(ROW()-14,Query_Source_View!$Z:$Z,0)),"")</f>
        <v/>
      </c>
      <c r="D400" s="2" t="str">
        <f aca="false">IFERROR(INDEX(Query_Source_View!$H:$H,MATCH(ROW()-14,Query_Source_View!$Z:$Z,0)),"")</f>
        <v/>
      </c>
      <c r="E400" s="2" t="str">
        <f aca="false">IFERROR(INDEX(Query_Source_View!$J:$J,MATCH(ROW()-14,Query_Source_View!$Z:$Z,0)),"")</f>
        <v/>
      </c>
      <c r="F400" s="2" t="str">
        <f aca="false">IFERROR(INDEX(Query_Source_View!$L:$L,MATCH(ROW()-14,Query_Source_View!$Z:$Z,0)),"")</f>
        <v/>
      </c>
      <c r="G400" s="2" t="str">
        <f aca="false">IFERROR(INDEX(Query_Source_View!$N:$N,MATCH(ROW()-14,Query_Source_View!$Z:$Z,0)),"")</f>
        <v/>
      </c>
      <c r="H400" s="2" t="str">
        <f aca="false">IFERROR(INDEX(Query_Source_View!$P:$P,MATCH(ROW()-14,Query_Source_View!$Z:$Z,0)),"")</f>
        <v/>
      </c>
      <c r="I400" s="2" t="str">
        <f aca="false">IFERROR(INDEX(Query_Source_View!$Q:$Q,MATCH(ROW()-14,Query_Source_View!$Z:$Z,0)),"")</f>
        <v/>
      </c>
      <c r="J400" s="2" t="str">
        <f aca="false">IFERROR(INDEX(Query_Source_View!$R:$R,MATCH(ROW()-14,Query_Source_View!$Z:$Z,0)),"")</f>
        <v/>
      </c>
      <c r="K400" s="2" t="str">
        <f aca="false">IFERROR(INDEX(Query_Source_View!$T:$T,MATCH(ROW()-14,Query_Source_View!$Z:$Z,0)),"")</f>
        <v/>
      </c>
      <c r="L400" s="2" t="str">
        <f aca="false">IFERROR(INDEX(Query_Source_View!$U:$U,MATCH(ROW()-14,Query_Source_View!$Z:$Z,0)),"")</f>
        <v/>
      </c>
      <c r="M400" s="2" t="str">
        <f aca="false">IFERROR(INDEX(Query_Source_View!$V:$V,MATCH(ROW()-14,Query_Source_View!$Z:$Z,0)),"")</f>
        <v/>
      </c>
      <c r="N400" s="2" t="str">
        <f aca="false">IFERROR(INDEX(Query_Source_View!$W:$W,MATCH(ROW()-14,Query_Source_View!$Z:$Z,0)),"")</f>
        <v/>
      </c>
      <c r="O400" s="2" t="str">
        <f aca="false">IFERROR(INDEX(Query_Source_View!$X:$X,MATCH(ROW()-14,Query_Source_View!$Z:$Z,0)),"")</f>
        <v/>
      </c>
    </row>
    <row r="401" customFormat="false" ht="15" hidden="false" customHeight="false" outlineLevel="0" collapsed="false">
      <c r="A401" s="2" t="str">
        <f aca="false">IFERROR(INDEX(Query_Source_View!$A:$A,MATCH(ROW()-14,Query_Source_View!$Z:$Z,0)),"")</f>
        <v/>
      </c>
      <c r="B401" s="2" t="str">
        <f aca="false">IFERROR(INDEX(Query_Source_View!$D:$D,MATCH(ROW()-14,Query_Source_View!$Z:$Z,0)),"")</f>
        <v/>
      </c>
      <c r="C401" s="2" t="str">
        <f aca="false">IFERROR(INDEX(Query_Source_View!$F:$F,MATCH(ROW()-14,Query_Source_View!$Z:$Z,0)),"")</f>
        <v/>
      </c>
      <c r="D401" s="2" t="str">
        <f aca="false">IFERROR(INDEX(Query_Source_View!$H:$H,MATCH(ROW()-14,Query_Source_View!$Z:$Z,0)),"")</f>
        <v/>
      </c>
      <c r="E401" s="2" t="str">
        <f aca="false">IFERROR(INDEX(Query_Source_View!$J:$J,MATCH(ROW()-14,Query_Source_View!$Z:$Z,0)),"")</f>
        <v/>
      </c>
      <c r="F401" s="2" t="str">
        <f aca="false">IFERROR(INDEX(Query_Source_View!$L:$L,MATCH(ROW()-14,Query_Source_View!$Z:$Z,0)),"")</f>
        <v/>
      </c>
      <c r="G401" s="2" t="str">
        <f aca="false">IFERROR(INDEX(Query_Source_View!$N:$N,MATCH(ROW()-14,Query_Source_View!$Z:$Z,0)),"")</f>
        <v/>
      </c>
      <c r="H401" s="2" t="str">
        <f aca="false">IFERROR(INDEX(Query_Source_View!$P:$P,MATCH(ROW()-14,Query_Source_View!$Z:$Z,0)),"")</f>
        <v/>
      </c>
      <c r="I401" s="2" t="str">
        <f aca="false">IFERROR(INDEX(Query_Source_View!$Q:$Q,MATCH(ROW()-14,Query_Source_View!$Z:$Z,0)),"")</f>
        <v/>
      </c>
      <c r="J401" s="2" t="str">
        <f aca="false">IFERROR(INDEX(Query_Source_View!$R:$R,MATCH(ROW()-14,Query_Source_View!$Z:$Z,0)),"")</f>
        <v/>
      </c>
      <c r="K401" s="2" t="str">
        <f aca="false">IFERROR(INDEX(Query_Source_View!$T:$T,MATCH(ROW()-14,Query_Source_View!$Z:$Z,0)),"")</f>
        <v/>
      </c>
      <c r="L401" s="2" t="str">
        <f aca="false">IFERROR(INDEX(Query_Source_View!$U:$U,MATCH(ROW()-14,Query_Source_View!$Z:$Z,0)),"")</f>
        <v/>
      </c>
      <c r="M401" s="2" t="str">
        <f aca="false">IFERROR(INDEX(Query_Source_View!$V:$V,MATCH(ROW()-14,Query_Source_View!$Z:$Z,0)),"")</f>
        <v/>
      </c>
      <c r="N401" s="2" t="str">
        <f aca="false">IFERROR(INDEX(Query_Source_View!$W:$W,MATCH(ROW()-14,Query_Source_View!$Z:$Z,0)),"")</f>
        <v/>
      </c>
      <c r="O401" s="2" t="str">
        <f aca="false">IFERROR(INDEX(Query_Source_View!$X:$X,MATCH(ROW()-14,Query_Source_View!$Z:$Z,0)),"")</f>
        <v/>
      </c>
    </row>
    <row r="402" customFormat="false" ht="15" hidden="false" customHeight="false" outlineLevel="0" collapsed="false">
      <c r="A402" s="2" t="str">
        <f aca="false">IFERROR(INDEX(Query_Source_View!$A:$A,MATCH(ROW()-14,Query_Source_View!$Z:$Z,0)),"")</f>
        <v/>
      </c>
      <c r="B402" s="2" t="str">
        <f aca="false">IFERROR(INDEX(Query_Source_View!$D:$D,MATCH(ROW()-14,Query_Source_View!$Z:$Z,0)),"")</f>
        <v/>
      </c>
      <c r="C402" s="2" t="str">
        <f aca="false">IFERROR(INDEX(Query_Source_View!$F:$F,MATCH(ROW()-14,Query_Source_View!$Z:$Z,0)),"")</f>
        <v/>
      </c>
      <c r="D402" s="2" t="str">
        <f aca="false">IFERROR(INDEX(Query_Source_View!$H:$H,MATCH(ROW()-14,Query_Source_View!$Z:$Z,0)),"")</f>
        <v/>
      </c>
      <c r="E402" s="2" t="str">
        <f aca="false">IFERROR(INDEX(Query_Source_View!$J:$J,MATCH(ROW()-14,Query_Source_View!$Z:$Z,0)),"")</f>
        <v/>
      </c>
      <c r="F402" s="2" t="str">
        <f aca="false">IFERROR(INDEX(Query_Source_View!$L:$L,MATCH(ROW()-14,Query_Source_View!$Z:$Z,0)),"")</f>
        <v/>
      </c>
      <c r="G402" s="2" t="str">
        <f aca="false">IFERROR(INDEX(Query_Source_View!$N:$N,MATCH(ROW()-14,Query_Source_View!$Z:$Z,0)),"")</f>
        <v/>
      </c>
      <c r="H402" s="2" t="str">
        <f aca="false">IFERROR(INDEX(Query_Source_View!$P:$P,MATCH(ROW()-14,Query_Source_View!$Z:$Z,0)),"")</f>
        <v/>
      </c>
      <c r="I402" s="2" t="str">
        <f aca="false">IFERROR(INDEX(Query_Source_View!$Q:$Q,MATCH(ROW()-14,Query_Source_View!$Z:$Z,0)),"")</f>
        <v/>
      </c>
      <c r="J402" s="2" t="str">
        <f aca="false">IFERROR(INDEX(Query_Source_View!$R:$R,MATCH(ROW()-14,Query_Source_View!$Z:$Z,0)),"")</f>
        <v/>
      </c>
      <c r="K402" s="2" t="str">
        <f aca="false">IFERROR(INDEX(Query_Source_View!$T:$T,MATCH(ROW()-14,Query_Source_View!$Z:$Z,0)),"")</f>
        <v/>
      </c>
      <c r="L402" s="2" t="str">
        <f aca="false">IFERROR(INDEX(Query_Source_View!$U:$U,MATCH(ROW()-14,Query_Source_View!$Z:$Z,0)),"")</f>
        <v/>
      </c>
      <c r="M402" s="2" t="str">
        <f aca="false">IFERROR(INDEX(Query_Source_View!$V:$V,MATCH(ROW()-14,Query_Source_View!$Z:$Z,0)),"")</f>
        <v/>
      </c>
      <c r="N402" s="2" t="str">
        <f aca="false">IFERROR(INDEX(Query_Source_View!$W:$W,MATCH(ROW()-14,Query_Source_View!$Z:$Z,0)),"")</f>
        <v/>
      </c>
      <c r="O402" s="2" t="str">
        <f aca="false">IFERROR(INDEX(Query_Source_View!$X:$X,MATCH(ROW()-14,Query_Source_View!$Z:$Z,0)),"")</f>
        <v/>
      </c>
    </row>
    <row r="403" customFormat="false" ht="15" hidden="false" customHeight="false" outlineLevel="0" collapsed="false">
      <c r="A403" s="2" t="str">
        <f aca="false">IFERROR(INDEX(Query_Source_View!$A:$A,MATCH(ROW()-14,Query_Source_View!$Z:$Z,0)),"")</f>
        <v/>
      </c>
      <c r="B403" s="2" t="str">
        <f aca="false">IFERROR(INDEX(Query_Source_View!$D:$D,MATCH(ROW()-14,Query_Source_View!$Z:$Z,0)),"")</f>
        <v/>
      </c>
      <c r="C403" s="2" t="str">
        <f aca="false">IFERROR(INDEX(Query_Source_View!$F:$F,MATCH(ROW()-14,Query_Source_View!$Z:$Z,0)),"")</f>
        <v/>
      </c>
      <c r="D403" s="2" t="str">
        <f aca="false">IFERROR(INDEX(Query_Source_View!$H:$H,MATCH(ROW()-14,Query_Source_View!$Z:$Z,0)),"")</f>
        <v/>
      </c>
      <c r="E403" s="2" t="str">
        <f aca="false">IFERROR(INDEX(Query_Source_View!$J:$J,MATCH(ROW()-14,Query_Source_View!$Z:$Z,0)),"")</f>
        <v/>
      </c>
      <c r="F403" s="2" t="str">
        <f aca="false">IFERROR(INDEX(Query_Source_View!$L:$L,MATCH(ROW()-14,Query_Source_View!$Z:$Z,0)),"")</f>
        <v/>
      </c>
      <c r="G403" s="2" t="str">
        <f aca="false">IFERROR(INDEX(Query_Source_View!$N:$N,MATCH(ROW()-14,Query_Source_View!$Z:$Z,0)),"")</f>
        <v/>
      </c>
      <c r="H403" s="2" t="str">
        <f aca="false">IFERROR(INDEX(Query_Source_View!$P:$P,MATCH(ROW()-14,Query_Source_View!$Z:$Z,0)),"")</f>
        <v/>
      </c>
      <c r="I403" s="2" t="str">
        <f aca="false">IFERROR(INDEX(Query_Source_View!$Q:$Q,MATCH(ROW()-14,Query_Source_View!$Z:$Z,0)),"")</f>
        <v/>
      </c>
      <c r="J403" s="2" t="str">
        <f aca="false">IFERROR(INDEX(Query_Source_View!$R:$R,MATCH(ROW()-14,Query_Source_View!$Z:$Z,0)),"")</f>
        <v/>
      </c>
      <c r="K403" s="2" t="str">
        <f aca="false">IFERROR(INDEX(Query_Source_View!$T:$T,MATCH(ROW()-14,Query_Source_View!$Z:$Z,0)),"")</f>
        <v/>
      </c>
      <c r="L403" s="2" t="str">
        <f aca="false">IFERROR(INDEX(Query_Source_View!$U:$U,MATCH(ROW()-14,Query_Source_View!$Z:$Z,0)),"")</f>
        <v/>
      </c>
      <c r="M403" s="2" t="str">
        <f aca="false">IFERROR(INDEX(Query_Source_View!$V:$V,MATCH(ROW()-14,Query_Source_View!$Z:$Z,0)),"")</f>
        <v/>
      </c>
      <c r="N403" s="2" t="str">
        <f aca="false">IFERROR(INDEX(Query_Source_View!$W:$W,MATCH(ROW()-14,Query_Source_View!$Z:$Z,0)),"")</f>
        <v/>
      </c>
      <c r="O403" s="2" t="str">
        <f aca="false">IFERROR(INDEX(Query_Source_View!$X:$X,MATCH(ROW()-14,Query_Source_View!$Z:$Z,0)),"")</f>
        <v/>
      </c>
    </row>
    <row r="404" customFormat="false" ht="15" hidden="false" customHeight="false" outlineLevel="0" collapsed="false">
      <c r="A404" s="2" t="str">
        <f aca="false">IFERROR(INDEX(Query_Source_View!$A:$A,MATCH(ROW()-14,Query_Source_View!$Z:$Z,0)),"")</f>
        <v/>
      </c>
      <c r="B404" s="2" t="str">
        <f aca="false">IFERROR(INDEX(Query_Source_View!$D:$D,MATCH(ROW()-14,Query_Source_View!$Z:$Z,0)),"")</f>
        <v/>
      </c>
      <c r="C404" s="2" t="str">
        <f aca="false">IFERROR(INDEX(Query_Source_View!$F:$F,MATCH(ROW()-14,Query_Source_View!$Z:$Z,0)),"")</f>
        <v/>
      </c>
      <c r="D404" s="2" t="str">
        <f aca="false">IFERROR(INDEX(Query_Source_View!$H:$H,MATCH(ROW()-14,Query_Source_View!$Z:$Z,0)),"")</f>
        <v/>
      </c>
      <c r="E404" s="2" t="str">
        <f aca="false">IFERROR(INDEX(Query_Source_View!$J:$J,MATCH(ROW()-14,Query_Source_View!$Z:$Z,0)),"")</f>
        <v/>
      </c>
      <c r="F404" s="2" t="str">
        <f aca="false">IFERROR(INDEX(Query_Source_View!$L:$L,MATCH(ROW()-14,Query_Source_View!$Z:$Z,0)),"")</f>
        <v/>
      </c>
      <c r="G404" s="2" t="str">
        <f aca="false">IFERROR(INDEX(Query_Source_View!$N:$N,MATCH(ROW()-14,Query_Source_View!$Z:$Z,0)),"")</f>
        <v/>
      </c>
      <c r="H404" s="2" t="str">
        <f aca="false">IFERROR(INDEX(Query_Source_View!$P:$P,MATCH(ROW()-14,Query_Source_View!$Z:$Z,0)),"")</f>
        <v/>
      </c>
      <c r="I404" s="2" t="str">
        <f aca="false">IFERROR(INDEX(Query_Source_View!$Q:$Q,MATCH(ROW()-14,Query_Source_View!$Z:$Z,0)),"")</f>
        <v/>
      </c>
      <c r="J404" s="2" t="str">
        <f aca="false">IFERROR(INDEX(Query_Source_View!$R:$R,MATCH(ROW()-14,Query_Source_View!$Z:$Z,0)),"")</f>
        <v/>
      </c>
      <c r="K404" s="2" t="str">
        <f aca="false">IFERROR(INDEX(Query_Source_View!$T:$T,MATCH(ROW()-14,Query_Source_View!$Z:$Z,0)),"")</f>
        <v/>
      </c>
      <c r="L404" s="2" t="str">
        <f aca="false">IFERROR(INDEX(Query_Source_View!$U:$U,MATCH(ROW()-14,Query_Source_View!$Z:$Z,0)),"")</f>
        <v/>
      </c>
      <c r="M404" s="2" t="str">
        <f aca="false">IFERROR(INDEX(Query_Source_View!$V:$V,MATCH(ROW()-14,Query_Source_View!$Z:$Z,0)),"")</f>
        <v/>
      </c>
      <c r="N404" s="2" t="str">
        <f aca="false">IFERROR(INDEX(Query_Source_View!$W:$W,MATCH(ROW()-14,Query_Source_View!$Z:$Z,0)),"")</f>
        <v/>
      </c>
      <c r="O404" s="2" t="str">
        <f aca="false">IFERROR(INDEX(Query_Source_View!$X:$X,MATCH(ROW()-14,Query_Source_View!$Z:$Z,0)),"")</f>
        <v/>
      </c>
    </row>
    <row r="405" customFormat="false" ht="15" hidden="false" customHeight="false" outlineLevel="0" collapsed="false">
      <c r="A405" s="2" t="str">
        <f aca="false">IFERROR(INDEX(Query_Source_View!$A:$A,MATCH(ROW()-14,Query_Source_View!$Z:$Z,0)),"")</f>
        <v/>
      </c>
      <c r="B405" s="2" t="str">
        <f aca="false">IFERROR(INDEX(Query_Source_View!$D:$D,MATCH(ROW()-14,Query_Source_View!$Z:$Z,0)),"")</f>
        <v/>
      </c>
      <c r="C405" s="2" t="str">
        <f aca="false">IFERROR(INDEX(Query_Source_View!$F:$F,MATCH(ROW()-14,Query_Source_View!$Z:$Z,0)),"")</f>
        <v/>
      </c>
      <c r="D405" s="2" t="str">
        <f aca="false">IFERROR(INDEX(Query_Source_View!$H:$H,MATCH(ROW()-14,Query_Source_View!$Z:$Z,0)),"")</f>
        <v/>
      </c>
      <c r="E405" s="2" t="str">
        <f aca="false">IFERROR(INDEX(Query_Source_View!$J:$J,MATCH(ROW()-14,Query_Source_View!$Z:$Z,0)),"")</f>
        <v/>
      </c>
      <c r="F405" s="2" t="str">
        <f aca="false">IFERROR(INDEX(Query_Source_View!$L:$L,MATCH(ROW()-14,Query_Source_View!$Z:$Z,0)),"")</f>
        <v/>
      </c>
      <c r="G405" s="2" t="str">
        <f aca="false">IFERROR(INDEX(Query_Source_View!$N:$N,MATCH(ROW()-14,Query_Source_View!$Z:$Z,0)),"")</f>
        <v/>
      </c>
      <c r="H405" s="2" t="str">
        <f aca="false">IFERROR(INDEX(Query_Source_View!$P:$P,MATCH(ROW()-14,Query_Source_View!$Z:$Z,0)),"")</f>
        <v/>
      </c>
      <c r="I405" s="2" t="str">
        <f aca="false">IFERROR(INDEX(Query_Source_View!$Q:$Q,MATCH(ROW()-14,Query_Source_View!$Z:$Z,0)),"")</f>
        <v/>
      </c>
      <c r="J405" s="2" t="str">
        <f aca="false">IFERROR(INDEX(Query_Source_View!$R:$R,MATCH(ROW()-14,Query_Source_View!$Z:$Z,0)),"")</f>
        <v/>
      </c>
      <c r="K405" s="2" t="str">
        <f aca="false">IFERROR(INDEX(Query_Source_View!$T:$T,MATCH(ROW()-14,Query_Source_View!$Z:$Z,0)),"")</f>
        <v/>
      </c>
      <c r="L405" s="2" t="str">
        <f aca="false">IFERROR(INDEX(Query_Source_View!$U:$U,MATCH(ROW()-14,Query_Source_View!$Z:$Z,0)),"")</f>
        <v/>
      </c>
      <c r="M405" s="2" t="str">
        <f aca="false">IFERROR(INDEX(Query_Source_View!$V:$V,MATCH(ROW()-14,Query_Source_View!$Z:$Z,0)),"")</f>
        <v/>
      </c>
      <c r="N405" s="2" t="str">
        <f aca="false">IFERROR(INDEX(Query_Source_View!$W:$W,MATCH(ROW()-14,Query_Source_View!$Z:$Z,0)),"")</f>
        <v/>
      </c>
      <c r="O405" s="2" t="str">
        <f aca="false">IFERROR(INDEX(Query_Source_View!$X:$X,MATCH(ROW()-14,Query_Source_View!$Z:$Z,0)),"")</f>
        <v/>
      </c>
    </row>
    <row r="406" customFormat="false" ht="15" hidden="false" customHeight="false" outlineLevel="0" collapsed="false">
      <c r="A406" s="2" t="str">
        <f aca="false">IFERROR(INDEX(Query_Source_View!$A:$A,MATCH(ROW()-14,Query_Source_View!$Z:$Z,0)),"")</f>
        <v/>
      </c>
      <c r="B406" s="2" t="str">
        <f aca="false">IFERROR(INDEX(Query_Source_View!$D:$D,MATCH(ROW()-14,Query_Source_View!$Z:$Z,0)),"")</f>
        <v/>
      </c>
      <c r="C406" s="2" t="str">
        <f aca="false">IFERROR(INDEX(Query_Source_View!$F:$F,MATCH(ROW()-14,Query_Source_View!$Z:$Z,0)),"")</f>
        <v/>
      </c>
      <c r="D406" s="2" t="str">
        <f aca="false">IFERROR(INDEX(Query_Source_View!$H:$H,MATCH(ROW()-14,Query_Source_View!$Z:$Z,0)),"")</f>
        <v/>
      </c>
      <c r="E406" s="2" t="str">
        <f aca="false">IFERROR(INDEX(Query_Source_View!$J:$J,MATCH(ROW()-14,Query_Source_View!$Z:$Z,0)),"")</f>
        <v/>
      </c>
      <c r="F406" s="2" t="str">
        <f aca="false">IFERROR(INDEX(Query_Source_View!$L:$L,MATCH(ROW()-14,Query_Source_View!$Z:$Z,0)),"")</f>
        <v/>
      </c>
      <c r="G406" s="2" t="str">
        <f aca="false">IFERROR(INDEX(Query_Source_View!$N:$N,MATCH(ROW()-14,Query_Source_View!$Z:$Z,0)),"")</f>
        <v/>
      </c>
      <c r="H406" s="2" t="str">
        <f aca="false">IFERROR(INDEX(Query_Source_View!$P:$P,MATCH(ROW()-14,Query_Source_View!$Z:$Z,0)),"")</f>
        <v/>
      </c>
      <c r="I406" s="2" t="str">
        <f aca="false">IFERROR(INDEX(Query_Source_View!$Q:$Q,MATCH(ROW()-14,Query_Source_View!$Z:$Z,0)),"")</f>
        <v/>
      </c>
      <c r="J406" s="2" t="str">
        <f aca="false">IFERROR(INDEX(Query_Source_View!$R:$R,MATCH(ROW()-14,Query_Source_View!$Z:$Z,0)),"")</f>
        <v/>
      </c>
      <c r="K406" s="2" t="str">
        <f aca="false">IFERROR(INDEX(Query_Source_View!$T:$T,MATCH(ROW()-14,Query_Source_View!$Z:$Z,0)),"")</f>
        <v/>
      </c>
      <c r="L406" s="2" t="str">
        <f aca="false">IFERROR(INDEX(Query_Source_View!$U:$U,MATCH(ROW()-14,Query_Source_View!$Z:$Z,0)),"")</f>
        <v/>
      </c>
      <c r="M406" s="2" t="str">
        <f aca="false">IFERROR(INDEX(Query_Source_View!$V:$V,MATCH(ROW()-14,Query_Source_View!$Z:$Z,0)),"")</f>
        <v/>
      </c>
      <c r="N406" s="2" t="str">
        <f aca="false">IFERROR(INDEX(Query_Source_View!$W:$W,MATCH(ROW()-14,Query_Source_View!$Z:$Z,0)),"")</f>
        <v/>
      </c>
      <c r="O406" s="2" t="str">
        <f aca="false">IFERROR(INDEX(Query_Source_View!$X:$X,MATCH(ROW()-14,Query_Source_View!$Z:$Z,0)),"")</f>
        <v/>
      </c>
    </row>
    <row r="407" customFormat="false" ht="15" hidden="false" customHeight="false" outlineLevel="0" collapsed="false">
      <c r="A407" s="2" t="str">
        <f aca="false">IFERROR(INDEX(Query_Source_View!$A:$A,MATCH(ROW()-14,Query_Source_View!$Z:$Z,0)),"")</f>
        <v/>
      </c>
      <c r="B407" s="2" t="str">
        <f aca="false">IFERROR(INDEX(Query_Source_View!$D:$D,MATCH(ROW()-14,Query_Source_View!$Z:$Z,0)),"")</f>
        <v/>
      </c>
      <c r="C407" s="2" t="str">
        <f aca="false">IFERROR(INDEX(Query_Source_View!$F:$F,MATCH(ROW()-14,Query_Source_View!$Z:$Z,0)),"")</f>
        <v/>
      </c>
      <c r="D407" s="2" t="str">
        <f aca="false">IFERROR(INDEX(Query_Source_View!$H:$H,MATCH(ROW()-14,Query_Source_View!$Z:$Z,0)),"")</f>
        <v/>
      </c>
      <c r="E407" s="2" t="str">
        <f aca="false">IFERROR(INDEX(Query_Source_View!$J:$J,MATCH(ROW()-14,Query_Source_View!$Z:$Z,0)),"")</f>
        <v/>
      </c>
      <c r="F407" s="2" t="str">
        <f aca="false">IFERROR(INDEX(Query_Source_View!$L:$L,MATCH(ROW()-14,Query_Source_View!$Z:$Z,0)),"")</f>
        <v/>
      </c>
      <c r="G407" s="2" t="str">
        <f aca="false">IFERROR(INDEX(Query_Source_View!$N:$N,MATCH(ROW()-14,Query_Source_View!$Z:$Z,0)),"")</f>
        <v/>
      </c>
      <c r="H407" s="2" t="str">
        <f aca="false">IFERROR(INDEX(Query_Source_View!$P:$P,MATCH(ROW()-14,Query_Source_View!$Z:$Z,0)),"")</f>
        <v/>
      </c>
      <c r="I407" s="2" t="str">
        <f aca="false">IFERROR(INDEX(Query_Source_View!$Q:$Q,MATCH(ROW()-14,Query_Source_View!$Z:$Z,0)),"")</f>
        <v/>
      </c>
      <c r="J407" s="2" t="str">
        <f aca="false">IFERROR(INDEX(Query_Source_View!$R:$R,MATCH(ROW()-14,Query_Source_View!$Z:$Z,0)),"")</f>
        <v/>
      </c>
      <c r="K407" s="2" t="str">
        <f aca="false">IFERROR(INDEX(Query_Source_View!$T:$T,MATCH(ROW()-14,Query_Source_View!$Z:$Z,0)),"")</f>
        <v/>
      </c>
      <c r="L407" s="2" t="str">
        <f aca="false">IFERROR(INDEX(Query_Source_View!$U:$U,MATCH(ROW()-14,Query_Source_View!$Z:$Z,0)),"")</f>
        <v/>
      </c>
      <c r="M407" s="2" t="str">
        <f aca="false">IFERROR(INDEX(Query_Source_View!$V:$V,MATCH(ROW()-14,Query_Source_View!$Z:$Z,0)),"")</f>
        <v/>
      </c>
      <c r="N407" s="2" t="str">
        <f aca="false">IFERROR(INDEX(Query_Source_View!$W:$W,MATCH(ROW()-14,Query_Source_View!$Z:$Z,0)),"")</f>
        <v/>
      </c>
      <c r="O407" s="2" t="str">
        <f aca="false">IFERROR(INDEX(Query_Source_View!$X:$X,MATCH(ROW()-14,Query_Source_View!$Z:$Z,0)),"")</f>
        <v/>
      </c>
    </row>
    <row r="408" customFormat="false" ht="15" hidden="false" customHeight="false" outlineLevel="0" collapsed="false">
      <c r="A408" s="2" t="str">
        <f aca="false">IFERROR(INDEX(Query_Source_View!$A:$A,MATCH(ROW()-14,Query_Source_View!$Z:$Z,0)),"")</f>
        <v/>
      </c>
      <c r="B408" s="2" t="str">
        <f aca="false">IFERROR(INDEX(Query_Source_View!$D:$D,MATCH(ROW()-14,Query_Source_View!$Z:$Z,0)),"")</f>
        <v/>
      </c>
      <c r="C408" s="2" t="str">
        <f aca="false">IFERROR(INDEX(Query_Source_View!$F:$F,MATCH(ROW()-14,Query_Source_View!$Z:$Z,0)),"")</f>
        <v/>
      </c>
      <c r="D408" s="2" t="str">
        <f aca="false">IFERROR(INDEX(Query_Source_View!$H:$H,MATCH(ROW()-14,Query_Source_View!$Z:$Z,0)),"")</f>
        <v/>
      </c>
      <c r="E408" s="2" t="str">
        <f aca="false">IFERROR(INDEX(Query_Source_View!$J:$J,MATCH(ROW()-14,Query_Source_View!$Z:$Z,0)),"")</f>
        <v/>
      </c>
      <c r="F408" s="2" t="str">
        <f aca="false">IFERROR(INDEX(Query_Source_View!$L:$L,MATCH(ROW()-14,Query_Source_View!$Z:$Z,0)),"")</f>
        <v/>
      </c>
      <c r="G408" s="2" t="str">
        <f aca="false">IFERROR(INDEX(Query_Source_View!$N:$N,MATCH(ROW()-14,Query_Source_View!$Z:$Z,0)),"")</f>
        <v/>
      </c>
      <c r="H408" s="2" t="str">
        <f aca="false">IFERROR(INDEX(Query_Source_View!$P:$P,MATCH(ROW()-14,Query_Source_View!$Z:$Z,0)),"")</f>
        <v/>
      </c>
      <c r="I408" s="2" t="str">
        <f aca="false">IFERROR(INDEX(Query_Source_View!$Q:$Q,MATCH(ROW()-14,Query_Source_View!$Z:$Z,0)),"")</f>
        <v/>
      </c>
      <c r="J408" s="2" t="str">
        <f aca="false">IFERROR(INDEX(Query_Source_View!$R:$R,MATCH(ROW()-14,Query_Source_View!$Z:$Z,0)),"")</f>
        <v/>
      </c>
      <c r="K408" s="2" t="str">
        <f aca="false">IFERROR(INDEX(Query_Source_View!$T:$T,MATCH(ROW()-14,Query_Source_View!$Z:$Z,0)),"")</f>
        <v/>
      </c>
      <c r="L408" s="2" t="str">
        <f aca="false">IFERROR(INDEX(Query_Source_View!$U:$U,MATCH(ROW()-14,Query_Source_View!$Z:$Z,0)),"")</f>
        <v/>
      </c>
      <c r="M408" s="2" t="str">
        <f aca="false">IFERROR(INDEX(Query_Source_View!$V:$V,MATCH(ROW()-14,Query_Source_View!$Z:$Z,0)),"")</f>
        <v/>
      </c>
      <c r="N408" s="2" t="str">
        <f aca="false">IFERROR(INDEX(Query_Source_View!$W:$W,MATCH(ROW()-14,Query_Source_View!$Z:$Z,0)),"")</f>
        <v/>
      </c>
      <c r="O408" s="2" t="str">
        <f aca="false">IFERROR(INDEX(Query_Source_View!$X:$X,MATCH(ROW()-14,Query_Source_View!$Z:$Z,0)),"")</f>
        <v/>
      </c>
    </row>
    <row r="409" customFormat="false" ht="15" hidden="false" customHeight="false" outlineLevel="0" collapsed="false">
      <c r="A409" s="2" t="str">
        <f aca="false">IFERROR(INDEX(Query_Source_View!$A:$A,MATCH(ROW()-14,Query_Source_View!$Z:$Z,0)),"")</f>
        <v/>
      </c>
      <c r="B409" s="2" t="str">
        <f aca="false">IFERROR(INDEX(Query_Source_View!$D:$D,MATCH(ROW()-14,Query_Source_View!$Z:$Z,0)),"")</f>
        <v/>
      </c>
      <c r="C409" s="2" t="str">
        <f aca="false">IFERROR(INDEX(Query_Source_View!$F:$F,MATCH(ROW()-14,Query_Source_View!$Z:$Z,0)),"")</f>
        <v/>
      </c>
      <c r="D409" s="2" t="str">
        <f aca="false">IFERROR(INDEX(Query_Source_View!$H:$H,MATCH(ROW()-14,Query_Source_View!$Z:$Z,0)),"")</f>
        <v/>
      </c>
      <c r="E409" s="2" t="str">
        <f aca="false">IFERROR(INDEX(Query_Source_View!$J:$J,MATCH(ROW()-14,Query_Source_View!$Z:$Z,0)),"")</f>
        <v/>
      </c>
      <c r="F409" s="2" t="str">
        <f aca="false">IFERROR(INDEX(Query_Source_View!$L:$L,MATCH(ROW()-14,Query_Source_View!$Z:$Z,0)),"")</f>
        <v/>
      </c>
      <c r="G409" s="2" t="str">
        <f aca="false">IFERROR(INDEX(Query_Source_View!$N:$N,MATCH(ROW()-14,Query_Source_View!$Z:$Z,0)),"")</f>
        <v/>
      </c>
      <c r="H409" s="2" t="str">
        <f aca="false">IFERROR(INDEX(Query_Source_View!$P:$P,MATCH(ROW()-14,Query_Source_View!$Z:$Z,0)),"")</f>
        <v/>
      </c>
      <c r="I409" s="2" t="str">
        <f aca="false">IFERROR(INDEX(Query_Source_View!$Q:$Q,MATCH(ROW()-14,Query_Source_View!$Z:$Z,0)),"")</f>
        <v/>
      </c>
      <c r="J409" s="2" t="str">
        <f aca="false">IFERROR(INDEX(Query_Source_View!$R:$R,MATCH(ROW()-14,Query_Source_View!$Z:$Z,0)),"")</f>
        <v/>
      </c>
      <c r="K409" s="2" t="str">
        <f aca="false">IFERROR(INDEX(Query_Source_View!$T:$T,MATCH(ROW()-14,Query_Source_View!$Z:$Z,0)),"")</f>
        <v/>
      </c>
      <c r="L409" s="2" t="str">
        <f aca="false">IFERROR(INDEX(Query_Source_View!$U:$U,MATCH(ROW()-14,Query_Source_View!$Z:$Z,0)),"")</f>
        <v/>
      </c>
      <c r="M409" s="2" t="str">
        <f aca="false">IFERROR(INDEX(Query_Source_View!$V:$V,MATCH(ROW()-14,Query_Source_View!$Z:$Z,0)),"")</f>
        <v/>
      </c>
      <c r="N409" s="2" t="str">
        <f aca="false">IFERROR(INDEX(Query_Source_View!$W:$W,MATCH(ROW()-14,Query_Source_View!$Z:$Z,0)),"")</f>
        <v/>
      </c>
      <c r="O409" s="2" t="str">
        <f aca="false">IFERROR(INDEX(Query_Source_View!$X:$X,MATCH(ROW()-14,Query_Source_View!$Z:$Z,0)),"")</f>
        <v/>
      </c>
    </row>
    <row r="410" customFormat="false" ht="15" hidden="false" customHeight="false" outlineLevel="0" collapsed="false">
      <c r="A410" s="2" t="str">
        <f aca="false">IFERROR(INDEX(Query_Source_View!$A:$A,MATCH(ROW()-14,Query_Source_View!$Z:$Z,0)),"")</f>
        <v/>
      </c>
      <c r="B410" s="2" t="str">
        <f aca="false">IFERROR(INDEX(Query_Source_View!$D:$D,MATCH(ROW()-14,Query_Source_View!$Z:$Z,0)),"")</f>
        <v/>
      </c>
      <c r="C410" s="2" t="str">
        <f aca="false">IFERROR(INDEX(Query_Source_View!$F:$F,MATCH(ROW()-14,Query_Source_View!$Z:$Z,0)),"")</f>
        <v/>
      </c>
      <c r="D410" s="2" t="str">
        <f aca="false">IFERROR(INDEX(Query_Source_View!$H:$H,MATCH(ROW()-14,Query_Source_View!$Z:$Z,0)),"")</f>
        <v/>
      </c>
      <c r="E410" s="2" t="str">
        <f aca="false">IFERROR(INDEX(Query_Source_View!$J:$J,MATCH(ROW()-14,Query_Source_View!$Z:$Z,0)),"")</f>
        <v/>
      </c>
      <c r="F410" s="2" t="str">
        <f aca="false">IFERROR(INDEX(Query_Source_View!$L:$L,MATCH(ROW()-14,Query_Source_View!$Z:$Z,0)),"")</f>
        <v/>
      </c>
      <c r="G410" s="2" t="str">
        <f aca="false">IFERROR(INDEX(Query_Source_View!$N:$N,MATCH(ROW()-14,Query_Source_View!$Z:$Z,0)),"")</f>
        <v/>
      </c>
      <c r="H410" s="2" t="str">
        <f aca="false">IFERROR(INDEX(Query_Source_View!$P:$P,MATCH(ROW()-14,Query_Source_View!$Z:$Z,0)),"")</f>
        <v/>
      </c>
      <c r="I410" s="2" t="str">
        <f aca="false">IFERROR(INDEX(Query_Source_View!$Q:$Q,MATCH(ROW()-14,Query_Source_View!$Z:$Z,0)),"")</f>
        <v/>
      </c>
      <c r="J410" s="2" t="str">
        <f aca="false">IFERROR(INDEX(Query_Source_View!$R:$R,MATCH(ROW()-14,Query_Source_View!$Z:$Z,0)),"")</f>
        <v/>
      </c>
      <c r="K410" s="2" t="str">
        <f aca="false">IFERROR(INDEX(Query_Source_View!$T:$T,MATCH(ROW()-14,Query_Source_View!$Z:$Z,0)),"")</f>
        <v/>
      </c>
      <c r="L410" s="2" t="str">
        <f aca="false">IFERROR(INDEX(Query_Source_View!$U:$U,MATCH(ROW()-14,Query_Source_View!$Z:$Z,0)),"")</f>
        <v/>
      </c>
      <c r="M410" s="2" t="str">
        <f aca="false">IFERROR(INDEX(Query_Source_View!$V:$V,MATCH(ROW()-14,Query_Source_View!$Z:$Z,0)),"")</f>
        <v/>
      </c>
      <c r="N410" s="2" t="str">
        <f aca="false">IFERROR(INDEX(Query_Source_View!$W:$W,MATCH(ROW()-14,Query_Source_View!$Z:$Z,0)),"")</f>
        <v/>
      </c>
      <c r="O410" s="2" t="str">
        <f aca="false">IFERROR(INDEX(Query_Source_View!$X:$X,MATCH(ROW()-14,Query_Source_View!$Z:$Z,0)),"")</f>
        <v/>
      </c>
    </row>
    <row r="411" customFormat="false" ht="15" hidden="false" customHeight="false" outlineLevel="0" collapsed="false">
      <c r="A411" s="2" t="str">
        <f aca="false">IFERROR(INDEX(Query_Source_View!$A:$A,MATCH(ROW()-14,Query_Source_View!$Z:$Z,0)),"")</f>
        <v/>
      </c>
      <c r="B411" s="2" t="str">
        <f aca="false">IFERROR(INDEX(Query_Source_View!$D:$D,MATCH(ROW()-14,Query_Source_View!$Z:$Z,0)),"")</f>
        <v/>
      </c>
      <c r="C411" s="2" t="str">
        <f aca="false">IFERROR(INDEX(Query_Source_View!$F:$F,MATCH(ROW()-14,Query_Source_View!$Z:$Z,0)),"")</f>
        <v/>
      </c>
      <c r="D411" s="2" t="str">
        <f aca="false">IFERROR(INDEX(Query_Source_View!$H:$H,MATCH(ROW()-14,Query_Source_View!$Z:$Z,0)),"")</f>
        <v/>
      </c>
      <c r="E411" s="2" t="str">
        <f aca="false">IFERROR(INDEX(Query_Source_View!$J:$J,MATCH(ROW()-14,Query_Source_View!$Z:$Z,0)),"")</f>
        <v/>
      </c>
      <c r="F411" s="2" t="str">
        <f aca="false">IFERROR(INDEX(Query_Source_View!$L:$L,MATCH(ROW()-14,Query_Source_View!$Z:$Z,0)),"")</f>
        <v/>
      </c>
      <c r="G411" s="2" t="str">
        <f aca="false">IFERROR(INDEX(Query_Source_View!$N:$N,MATCH(ROW()-14,Query_Source_View!$Z:$Z,0)),"")</f>
        <v/>
      </c>
      <c r="H411" s="2" t="str">
        <f aca="false">IFERROR(INDEX(Query_Source_View!$P:$P,MATCH(ROW()-14,Query_Source_View!$Z:$Z,0)),"")</f>
        <v/>
      </c>
      <c r="I411" s="2" t="str">
        <f aca="false">IFERROR(INDEX(Query_Source_View!$Q:$Q,MATCH(ROW()-14,Query_Source_View!$Z:$Z,0)),"")</f>
        <v/>
      </c>
      <c r="J411" s="2" t="str">
        <f aca="false">IFERROR(INDEX(Query_Source_View!$R:$R,MATCH(ROW()-14,Query_Source_View!$Z:$Z,0)),"")</f>
        <v/>
      </c>
      <c r="K411" s="2" t="str">
        <f aca="false">IFERROR(INDEX(Query_Source_View!$T:$T,MATCH(ROW()-14,Query_Source_View!$Z:$Z,0)),"")</f>
        <v/>
      </c>
      <c r="L411" s="2" t="str">
        <f aca="false">IFERROR(INDEX(Query_Source_View!$U:$U,MATCH(ROW()-14,Query_Source_View!$Z:$Z,0)),"")</f>
        <v/>
      </c>
      <c r="M411" s="2" t="str">
        <f aca="false">IFERROR(INDEX(Query_Source_View!$V:$V,MATCH(ROW()-14,Query_Source_View!$Z:$Z,0)),"")</f>
        <v/>
      </c>
      <c r="N411" s="2" t="str">
        <f aca="false">IFERROR(INDEX(Query_Source_View!$W:$W,MATCH(ROW()-14,Query_Source_View!$Z:$Z,0)),"")</f>
        <v/>
      </c>
      <c r="O411" s="2" t="str">
        <f aca="false">IFERROR(INDEX(Query_Source_View!$X:$X,MATCH(ROW()-14,Query_Source_View!$Z:$Z,0)),"")</f>
        <v/>
      </c>
    </row>
    <row r="412" customFormat="false" ht="15" hidden="false" customHeight="false" outlineLevel="0" collapsed="false">
      <c r="A412" s="2" t="str">
        <f aca="false">IFERROR(INDEX(Query_Source_View!$A:$A,MATCH(ROW()-14,Query_Source_View!$Z:$Z,0)),"")</f>
        <v/>
      </c>
      <c r="B412" s="2" t="str">
        <f aca="false">IFERROR(INDEX(Query_Source_View!$D:$D,MATCH(ROW()-14,Query_Source_View!$Z:$Z,0)),"")</f>
        <v/>
      </c>
      <c r="C412" s="2" t="str">
        <f aca="false">IFERROR(INDEX(Query_Source_View!$F:$F,MATCH(ROW()-14,Query_Source_View!$Z:$Z,0)),"")</f>
        <v/>
      </c>
      <c r="D412" s="2" t="str">
        <f aca="false">IFERROR(INDEX(Query_Source_View!$H:$H,MATCH(ROW()-14,Query_Source_View!$Z:$Z,0)),"")</f>
        <v/>
      </c>
      <c r="E412" s="2" t="str">
        <f aca="false">IFERROR(INDEX(Query_Source_View!$J:$J,MATCH(ROW()-14,Query_Source_View!$Z:$Z,0)),"")</f>
        <v/>
      </c>
      <c r="F412" s="2" t="str">
        <f aca="false">IFERROR(INDEX(Query_Source_View!$L:$L,MATCH(ROW()-14,Query_Source_View!$Z:$Z,0)),"")</f>
        <v/>
      </c>
      <c r="G412" s="2" t="str">
        <f aca="false">IFERROR(INDEX(Query_Source_View!$N:$N,MATCH(ROW()-14,Query_Source_View!$Z:$Z,0)),"")</f>
        <v/>
      </c>
      <c r="H412" s="2" t="str">
        <f aca="false">IFERROR(INDEX(Query_Source_View!$P:$P,MATCH(ROW()-14,Query_Source_View!$Z:$Z,0)),"")</f>
        <v/>
      </c>
      <c r="I412" s="2" t="str">
        <f aca="false">IFERROR(INDEX(Query_Source_View!$Q:$Q,MATCH(ROW()-14,Query_Source_View!$Z:$Z,0)),"")</f>
        <v/>
      </c>
      <c r="J412" s="2" t="str">
        <f aca="false">IFERROR(INDEX(Query_Source_View!$R:$R,MATCH(ROW()-14,Query_Source_View!$Z:$Z,0)),"")</f>
        <v/>
      </c>
      <c r="K412" s="2" t="str">
        <f aca="false">IFERROR(INDEX(Query_Source_View!$T:$T,MATCH(ROW()-14,Query_Source_View!$Z:$Z,0)),"")</f>
        <v/>
      </c>
      <c r="L412" s="2" t="str">
        <f aca="false">IFERROR(INDEX(Query_Source_View!$U:$U,MATCH(ROW()-14,Query_Source_View!$Z:$Z,0)),"")</f>
        <v/>
      </c>
      <c r="M412" s="2" t="str">
        <f aca="false">IFERROR(INDEX(Query_Source_View!$V:$V,MATCH(ROW()-14,Query_Source_View!$Z:$Z,0)),"")</f>
        <v/>
      </c>
      <c r="N412" s="2" t="str">
        <f aca="false">IFERROR(INDEX(Query_Source_View!$W:$W,MATCH(ROW()-14,Query_Source_View!$Z:$Z,0)),"")</f>
        <v/>
      </c>
      <c r="O412" s="2" t="str">
        <f aca="false">IFERROR(INDEX(Query_Source_View!$X:$X,MATCH(ROW()-14,Query_Source_View!$Z:$Z,0)),"")</f>
        <v/>
      </c>
    </row>
    <row r="413" customFormat="false" ht="15" hidden="false" customHeight="false" outlineLevel="0" collapsed="false">
      <c r="A413" s="2" t="str">
        <f aca="false">IFERROR(INDEX(Query_Source_View!$A:$A,MATCH(ROW()-14,Query_Source_View!$Z:$Z,0)),"")</f>
        <v/>
      </c>
      <c r="B413" s="2" t="str">
        <f aca="false">IFERROR(INDEX(Query_Source_View!$D:$D,MATCH(ROW()-14,Query_Source_View!$Z:$Z,0)),"")</f>
        <v/>
      </c>
      <c r="C413" s="2" t="str">
        <f aca="false">IFERROR(INDEX(Query_Source_View!$F:$F,MATCH(ROW()-14,Query_Source_View!$Z:$Z,0)),"")</f>
        <v/>
      </c>
      <c r="D413" s="2" t="str">
        <f aca="false">IFERROR(INDEX(Query_Source_View!$H:$H,MATCH(ROW()-14,Query_Source_View!$Z:$Z,0)),"")</f>
        <v/>
      </c>
      <c r="E413" s="2" t="str">
        <f aca="false">IFERROR(INDEX(Query_Source_View!$J:$J,MATCH(ROW()-14,Query_Source_View!$Z:$Z,0)),"")</f>
        <v/>
      </c>
      <c r="F413" s="2" t="str">
        <f aca="false">IFERROR(INDEX(Query_Source_View!$L:$L,MATCH(ROW()-14,Query_Source_View!$Z:$Z,0)),"")</f>
        <v/>
      </c>
      <c r="G413" s="2" t="str">
        <f aca="false">IFERROR(INDEX(Query_Source_View!$N:$N,MATCH(ROW()-14,Query_Source_View!$Z:$Z,0)),"")</f>
        <v/>
      </c>
      <c r="H413" s="2" t="str">
        <f aca="false">IFERROR(INDEX(Query_Source_View!$P:$P,MATCH(ROW()-14,Query_Source_View!$Z:$Z,0)),"")</f>
        <v/>
      </c>
      <c r="I413" s="2" t="str">
        <f aca="false">IFERROR(INDEX(Query_Source_View!$Q:$Q,MATCH(ROW()-14,Query_Source_View!$Z:$Z,0)),"")</f>
        <v/>
      </c>
      <c r="J413" s="2" t="str">
        <f aca="false">IFERROR(INDEX(Query_Source_View!$R:$R,MATCH(ROW()-14,Query_Source_View!$Z:$Z,0)),"")</f>
        <v/>
      </c>
      <c r="K413" s="2" t="str">
        <f aca="false">IFERROR(INDEX(Query_Source_View!$T:$T,MATCH(ROW()-14,Query_Source_View!$Z:$Z,0)),"")</f>
        <v/>
      </c>
      <c r="L413" s="2" t="str">
        <f aca="false">IFERROR(INDEX(Query_Source_View!$U:$U,MATCH(ROW()-14,Query_Source_View!$Z:$Z,0)),"")</f>
        <v/>
      </c>
      <c r="M413" s="2" t="str">
        <f aca="false">IFERROR(INDEX(Query_Source_View!$V:$V,MATCH(ROW()-14,Query_Source_View!$Z:$Z,0)),"")</f>
        <v/>
      </c>
      <c r="N413" s="2" t="str">
        <f aca="false">IFERROR(INDEX(Query_Source_View!$W:$W,MATCH(ROW()-14,Query_Source_View!$Z:$Z,0)),"")</f>
        <v/>
      </c>
      <c r="O413" s="2" t="str">
        <f aca="false">IFERROR(INDEX(Query_Source_View!$X:$X,MATCH(ROW()-14,Query_Source_View!$Z:$Z,0)),"")</f>
        <v/>
      </c>
    </row>
    <row r="414" customFormat="false" ht="15" hidden="false" customHeight="false" outlineLevel="0" collapsed="false">
      <c r="A414" s="2" t="str">
        <f aca="false">IFERROR(INDEX(Query_Source_View!$A:$A,MATCH(ROW()-14,Query_Source_View!$Z:$Z,0)),"")</f>
        <v/>
      </c>
      <c r="B414" s="2" t="str">
        <f aca="false">IFERROR(INDEX(Query_Source_View!$D:$D,MATCH(ROW()-14,Query_Source_View!$Z:$Z,0)),"")</f>
        <v/>
      </c>
      <c r="C414" s="2" t="str">
        <f aca="false">IFERROR(INDEX(Query_Source_View!$F:$F,MATCH(ROW()-14,Query_Source_View!$Z:$Z,0)),"")</f>
        <v/>
      </c>
      <c r="D414" s="2" t="str">
        <f aca="false">IFERROR(INDEX(Query_Source_View!$H:$H,MATCH(ROW()-14,Query_Source_View!$Z:$Z,0)),"")</f>
        <v/>
      </c>
      <c r="E414" s="2" t="str">
        <f aca="false">IFERROR(INDEX(Query_Source_View!$J:$J,MATCH(ROW()-14,Query_Source_View!$Z:$Z,0)),"")</f>
        <v/>
      </c>
      <c r="F414" s="2" t="str">
        <f aca="false">IFERROR(INDEX(Query_Source_View!$L:$L,MATCH(ROW()-14,Query_Source_View!$Z:$Z,0)),"")</f>
        <v/>
      </c>
      <c r="G414" s="2" t="str">
        <f aca="false">IFERROR(INDEX(Query_Source_View!$N:$N,MATCH(ROW()-14,Query_Source_View!$Z:$Z,0)),"")</f>
        <v/>
      </c>
      <c r="H414" s="2" t="str">
        <f aca="false">IFERROR(INDEX(Query_Source_View!$P:$P,MATCH(ROW()-14,Query_Source_View!$Z:$Z,0)),"")</f>
        <v/>
      </c>
      <c r="I414" s="2" t="str">
        <f aca="false">IFERROR(INDEX(Query_Source_View!$Q:$Q,MATCH(ROW()-14,Query_Source_View!$Z:$Z,0)),"")</f>
        <v/>
      </c>
      <c r="J414" s="2" t="str">
        <f aca="false">IFERROR(INDEX(Query_Source_View!$R:$R,MATCH(ROW()-14,Query_Source_View!$Z:$Z,0)),"")</f>
        <v/>
      </c>
      <c r="K414" s="2" t="str">
        <f aca="false">IFERROR(INDEX(Query_Source_View!$T:$T,MATCH(ROW()-14,Query_Source_View!$Z:$Z,0)),"")</f>
        <v/>
      </c>
      <c r="L414" s="2" t="str">
        <f aca="false">IFERROR(INDEX(Query_Source_View!$U:$U,MATCH(ROW()-14,Query_Source_View!$Z:$Z,0)),"")</f>
        <v/>
      </c>
      <c r="M414" s="2" t="str">
        <f aca="false">IFERROR(INDEX(Query_Source_View!$V:$V,MATCH(ROW()-14,Query_Source_View!$Z:$Z,0)),"")</f>
        <v/>
      </c>
      <c r="N414" s="2" t="str">
        <f aca="false">IFERROR(INDEX(Query_Source_View!$W:$W,MATCH(ROW()-14,Query_Source_View!$Z:$Z,0)),"")</f>
        <v/>
      </c>
      <c r="O414" s="2" t="str">
        <f aca="false">IFERROR(INDEX(Query_Source_View!$X:$X,MATCH(ROW()-14,Query_Source_View!$Z:$Z,0)),"")</f>
        <v/>
      </c>
    </row>
    <row r="415" customFormat="false" ht="15" hidden="false" customHeight="false" outlineLevel="0" collapsed="false">
      <c r="A415" s="2" t="str">
        <f aca="false">IFERROR(INDEX(Query_Source_View!$A:$A,MATCH(ROW()-14,Query_Source_View!$Z:$Z,0)),"")</f>
        <v/>
      </c>
      <c r="B415" s="2" t="str">
        <f aca="false">IFERROR(INDEX(Query_Source_View!$D:$D,MATCH(ROW()-14,Query_Source_View!$Z:$Z,0)),"")</f>
        <v/>
      </c>
      <c r="C415" s="2" t="str">
        <f aca="false">IFERROR(INDEX(Query_Source_View!$F:$F,MATCH(ROW()-14,Query_Source_View!$Z:$Z,0)),"")</f>
        <v/>
      </c>
      <c r="D415" s="2" t="str">
        <f aca="false">IFERROR(INDEX(Query_Source_View!$H:$H,MATCH(ROW()-14,Query_Source_View!$Z:$Z,0)),"")</f>
        <v/>
      </c>
      <c r="E415" s="2" t="str">
        <f aca="false">IFERROR(INDEX(Query_Source_View!$J:$J,MATCH(ROW()-14,Query_Source_View!$Z:$Z,0)),"")</f>
        <v/>
      </c>
      <c r="F415" s="2" t="str">
        <f aca="false">IFERROR(INDEX(Query_Source_View!$L:$L,MATCH(ROW()-14,Query_Source_View!$Z:$Z,0)),"")</f>
        <v/>
      </c>
      <c r="G415" s="2" t="str">
        <f aca="false">IFERROR(INDEX(Query_Source_View!$N:$N,MATCH(ROW()-14,Query_Source_View!$Z:$Z,0)),"")</f>
        <v/>
      </c>
      <c r="H415" s="2" t="str">
        <f aca="false">IFERROR(INDEX(Query_Source_View!$P:$P,MATCH(ROW()-14,Query_Source_View!$Z:$Z,0)),"")</f>
        <v/>
      </c>
      <c r="I415" s="2" t="str">
        <f aca="false">IFERROR(INDEX(Query_Source_View!$Q:$Q,MATCH(ROW()-14,Query_Source_View!$Z:$Z,0)),"")</f>
        <v/>
      </c>
      <c r="J415" s="2" t="str">
        <f aca="false">IFERROR(INDEX(Query_Source_View!$R:$R,MATCH(ROW()-14,Query_Source_View!$Z:$Z,0)),"")</f>
        <v/>
      </c>
      <c r="K415" s="2" t="str">
        <f aca="false">IFERROR(INDEX(Query_Source_View!$T:$T,MATCH(ROW()-14,Query_Source_View!$Z:$Z,0)),"")</f>
        <v/>
      </c>
      <c r="L415" s="2" t="str">
        <f aca="false">IFERROR(INDEX(Query_Source_View!$U:$U,MATCH(ROW()-14,Query_Source_View!$Z:$Z,0)),"")</f>
        <v/>
      </c>
      <c r="M415" s="2" t="str">
        <f aca="false">IFERROR(INDEX(Query_Source_View!$V:$V,MATCH(ROW()-14,Query_Source_View!$Z:$Z,0)),"")</f>
        <v/>
      </c>
      <c r="N415" s="2" t="str">
        <f aca="false">IFERROR(INDEX(Query_Source_View!$W:$W,MATCH(ROW()-14,Query_Source_View!$Z:$Z,0)),"")</f>
        <v/>
      </c>
      <c r="O415" s="2" t="str">
        <f aca="false">IFERROR(INDEX(Query_Source_View!$X:$X,MATCH(ROW()-14,Query_Source_View!$Z:$Z,0)),"")</f>
        <v/>
      </c>
    </row>
    <row r="416" customFormat="false" ht="15" hidden="false" customHeight="false" outlineLevel="0" collapsed="false">
      <c r="A416" s="2" t="str">
        <f aca="false">IFERROR(INDEX(Query_Source_View!$A:$A,MATCH(ROW()-14,Query_Source_View!$Z:$Z,0)),"")</f>
        <v/>
      </c>
      <c r="B416" s="2" t="str">
        <f aca="false">IFERROR(INDEX(Query_Source_View!$D:$D,MATCH(ROW()-14,Query_Source_View!$Z:$Z,0)),"")</f>
        <v/>
      </c>
      <c r="C416" s="2" t="str">
        <f aca="false">IFERROR(INDEX(Query_Source_View!$F:$F,MATCH(ROW()-14,Query_Source_View!$Z:$Z,0)),"")</f>
        <v/>
      </c>
      <c r="D416" s="2" t="str">
        <f aca="false">IFERROR(INDEX(Query_Source_View!$H:$H,MATCH(ROW()-14,Query_Source_View!$Z:$Z,0)),"")</f>
        <v/>
      </c>
      <c r="E416" s="2" t="str">
        <f aca="false">IFERROR(INDEX(Query_Source_View!$J:$J,MATCH(ROW()-14,Query_Source_View!$Z:$Z,0)),"")</f>
        <v/>
      </c>
      <c r="F416" s="2" t="str">
        <f aca="false">IFERROR(INDEX(Query_Source_View!$L:$L,MATCH(ROW()-14,Query_Source_View!$Z:$Z,0)),"")</f>
        <v/>
      </c>
      <c r="G416" s="2" t="str">
        <f aca="false">IFERROR(INDEX(Query_Source_View!$N:$N,MATCH(ROW()-14,Query_Source_View!$Z:$Z,0)),"")</f>
        <v/>
      </c>
      <c r="H416" s="2" t="str">
        <f aca="false">IFERROR(INDEX(Query_Source_View!$P:$P,MATCH(ROW()-14,Query_Source_View!$Z:$Z,0)),"")</f>
        <v/>
      </c>
      <c r="I416" s="2" t="str">
        <f aca="false">IFERROR(INDEX(Query_Source_View!$Q:$Q,MATCH(ROW()-14,Query_Source_View!$Z:$Z,0)),"")</f>
        <v/>
      </c>
      <c r="J416" s="2" t="str">
        <f aca="false">IFERROR(INDEX(Query_Source_View!$R:$R,MATCH(ROW()-14,Query_Source_View!$Z:$Z,0)),"")</f>
        <v/>
      </c>
      <c r="K416" s="2" t="str">
        <f aca="false">IFERROR(INDEX(Query_Source_View!$T:$T,MATCH(ROW()-14,Query_Source_View!$Z:$Z,0)),"")</f>
        <v/>
      </c>
      <c r="L416" s="2" t="str">
        <f aca="false">IFERROR(INDEX(Query_Source_View!$U:$U,MATCH(ROW()-14,Query_Source_View!$Z:$Z,0)),"")</f>
        <v/>
      </c>
      <c r="M416" s="2" t="str">
        <f aca="false">IFERROR(INDEX(Query_Source_View!$V:$V,MATCH(ROW()-14,Query_Source_View!$Z:$Z,0)),"")</f>
        <v/>
      </c>
      <c r="N416" s="2" t="str">
        <f aca="false">IFERROR(INDEX(Query_Source_View!$W:$W,MATCH(ROW()-14,Query_Source_View!$Z:$Z,0)),"")</f>
        <v/>
      </c>
      <c r="O416" s="2" t="str">
        <f aca="false">IFERROR(INDEX(Query_Source_View!$X:$X,MATCH(ROW()-14,Query_Source_View!$Z:$Z,0)),"")</f>
        <v/>
      </c>
    </row>
    <row r="417" customFormat="false" ht="15" hidden="false" customHeight="false" outlineLevel="0" collapsed="false">
      <c r="A417" s="2" t="str">
        <f aca="false">IFERROR(INDEX(Query_Source_View!$A:$A,MATCH(ROW()-14,Query_Source_View!$Z:$Z,0)),"")</f>
        <v/>
      </c>
      <c r="B417" s="2" t="str">
        <f aca="false">IFERROR(INDEX(Query_Source_View!$D:$D,MATCH(ROW()-14,Query_Source_View!$Z:$Z,0)),"")</f>
        <v/>
      </c>
      <c r="C417" s="2" t="str">
        <f aca="false">IFERROR(INDEX(Query_Source_View!$F:$F,MATCH(ROW()-14,Query_Source_View!$Z:$Z,0)),"")</f>
        <v/>
      </c>
      <c r="D417" s="2" t="str">
        <f aca="false">IFERROR(INDEX(Query_Source_View!$H:$H,MATCH(ROW()-14,Query_Source_View!$Z:$Z,0)),"")</f>
        <v/>
      </c>
      <c r="E417" s="2" t="str">
        <f aca="false">IFERROR(INDEX(Query_Source_View!$J:$J,MATCH(ROW()-14,Query_Source_View!$Z:$Z,0)),"")</f>
        <v/>
      </c>
      <c r="F417" s="2" t="str">
        <f aca="false">IFERROR(INDEX(Query_Source_View!$L:$L,MATCH(ROW()-14,Query_Source_View!$Z:$Z,0)),"")</f>
        <v/>
      </c>
      <c r="G417" s="2" t="str">
        <f aca="false">IFERROR(INDEX(Query_Source_View!$N:$N,MATCH(ROW()-14,Query_Source_View!$Z:$Z,0)),"")</f>
        <v/>
      </c>
      <c r="H417" s="2" t="str">
        <f aca="false">IFERROR(INDEX(Query_Source_View!$P:$P,MATCH(ROW()-14,Query_Source_View!$Z:$Z,0)),"")</f>
        <v/>
      </c>
      <c r="I417" s="2" t="str">
        <f aca="false">IFERROR(INDEX(Query_Source_View!$Q:$Q,MATCH(ROW()-14,Query_Source_View!$Z:$Z,0)),"")</f>
        <v/>
      </c>
      <c r="J417" s="2" t="str">
        <f aca="false">IFERROR(INDEX(Query_Source_View!$R:$R,MATCH(ROW()-14,Query_Source_View!$Z:$Z,0)),"")</f>
        <v/>
      </c>
      <c r="K417" s="2" t="str">
        <f aca="false">IFERROR(INDEX(Query_Source_View!$T:$T,MATCH(ROW()-14,Query_Source_View!$Z:$Z,0)),"")</f>
        <v/>
      </c>
      <c r="L417" s="2" t="str">
        <f aca="false">IFERROR(INDEX(Query_Source_View!$U:$U,MATCH(ROW()-14,Query_Source_View!$Z:$Z,0)),"")</f>
        <v/>
      </c>
      <c r="M417" s="2" t="str">
        <f aca="false">IFERROR(INDEX(Query_Source_View!$V:$V,MATCH(ROW()-14,Query_Source_View!$Z:$Z,0)),"")</f>
        <v/>
      </c>
      <c r="N417" s="2" t="str">
        <f aca="false">IFERROR(INDEX(Query_Source_View!$W:$W,MATCH(ROW()-14,Query_Source_View!$Z:$Z,0)),"")</f>
        <v/>
      </c>
      <c r="O417" s="2" t="str">
        <f aca="false">IFERROR(INDEX(Query_Source_View!$X:$X,MATCH(ROW()-14,Query_Source_View!$Z:$Z,0)),"")</f>
        <v/>
      </c>
    </row>
    <row r="418" customFormat="false" ht="15" hidden="false" customHeight="false" outlineLevel="0" collapsed="false">
      <c r="A418" s="2" t="str">
        <f aca="false">IFERROR(INDEX(Query_Source_View!$A:$A,MATCH(ROW()-14,Query_Source_View!$Z:$Z,0)),"")</f>
        <v/>
      </c>
      <c r="B418" s="2" t="str">
        <f aca="false">IFERROR(INDEX(Query_Source_View!$D:$D,MATCH(ROW()-14,Query_Source_View!$Z:$Z,0)),"")</f>
        <v/>
      </c>
      <c r="C418" s="2" t="str">
        <f aca="false">IFERROR(INDEX(Query_Source_View!$F:$F,MATCH(ROW()-14,Query_Source_View!$Z:$Z,0)),"")</f>
        <v/>
      </c>
      <c r="D418" s="2" t="str">
        <f aca="false">IFERROR(INDEX(Query_Source_View!$H:$H,MATCH(ROW()-14,Query_Source_View!$Z:$Z,0)),"")</f>
        <v/>
      </c>
      <c r="E418" s="2" t="str">
        <f aca="false">IFERROR(INDEX(Query_Source_View!$J:$J,MATCH(ROW()-14,Query_Source_View!$Z:$Z,0)),"")</f>
        <v/>
      </c>
      <c r="F418" s="2" t="str">
        <f aca="false">IFERROR(INDEX(Query_Source_View!$L:$L,MATCH(ROW()-14,Query_Source_View!$Z:$Z,0)),"")</f>
        <v/>
      </c>
      <c r="G418" s="2" t="str">
        <f aca="false">IFERROR(INDEX(Query_Source_View!$N:$N,MATCH(ROW()-14,Query_Source_View!$Z:$Z,0)),"")</f>
        <v/>
      </c>
      <c r="H418" s="2" t="str">
        <f aca="false">IFERROR(INDEX(Query_Source_View!$P:$P,MATCH(ROW()-14,Query_Source_View!$Z:$Z,0)),"")</f>
        <v/>
      </c>
      <c r="I418" s="2" t="str">
        <f aca="false">IFERROR(INDEX(Query_Source_View!$Q:$Q,MATCH(ROW()-14,Query_Source_View!$Z:$Z,0)),"")</f>
        <v/>
      </c>
      <c r="J418" s="2" t="str">
        <f aca="false">IFERROR(INDEX(Query_Source_View!$R:$R,MATCH(ROW()-14,Query_Source_View!$Z:$Z,0)),"")</f>
        <v/>
      </c>
      <c r="K418" s="2" t="str">
        <f aca="false">IFERROR(INDEX(Query_Source_View!$T:$T,MATCH(ROW()-14,Query_Source_View!$Z:$Z,0)),"")</f>
        <v/>
      </c>
      <c r="L418" s="2" t="str">
        <f aca="false">IFERROR(INDEX(Query_Source_View!$U:$U,MATCH(ROW()-14,Query_Source_View!$Z:$Z,0)),"")</f>
        <v/>
      </c>
      <c r="M418" s="2" t="str">
        <f aca="false">IFERROR(INDEX(Query_Source_View!$V:$V,MATCH(ROW()-14,Query_Source_View!$Z:$Z,0)),"")</f>
        <v/>
      </c>
      <c r="N418" s="2" t="str">
        <f aca="false">IFERROR(INDEX(Query_Source_View!$W:$W,MATCH(ROW()-14,Query_Source_View!$Z:$Z,0)),"")</f>
        <v/>
      </c>
      <c r="O418" s="2" t="str">
        <f aca="false">IFERROR(INDEX(Query_Source_View!$X:$X,MATCH(ROW()-14,Query_Source_View!$Z:$Z,0)),"")</f>
        <v/>
      </c>
    </row>
    <row r="419" customFormat="false" ht="15" hidden="false" customHeight="false" outlineLevel="0" collapsed="false">
      <c r="A419" s="2" t="str">
        <f aca="false">IFERROR(INDEX(Query_Source_View!$A:$A,MATCH(ROW()-14,Query_Source_View!$Z:$Z,0)),"")</f>
        <v/>
      </c>
      <c r="B419" s="2" t="str">
        <f aca="false">IFERROR(INDEX(Query_Source_View!$D:$D,MATCH(ROW()-14,Query_Source_View!$Z:$Z,0)),"")</f>
        <v/>
      </c>
      <c r="C419" s="2" t="str">
        <f aca="false">IFERROR(INDEX(Query_Source_View!$F:$F,MATCH(ROW()-14,Query_Source_View!$Z:$Z,0)),"")</f>
        <v/>
      </c>
      <c r="D419" s="2" t="str">
        <f aca="false">IFERROR(INDEX(Query_Source_View!$H:$H,MATCH(ROW()-14,Query_Source_View!$Z:$Z,0)),"")</f>
        <v/>
      </c>
      <c r="E419" s="2" t="str">
        <f aca="false">IFERROR(INDEX(Query_Source_View!$J:$J,MATCH(ROW()-14,Query_Source_View!$Z:$Z,0)),"")</f>
        <v/>
      </c>
      <c r="F419" s="2" t="str">
        <f aca="false">IFERROR(INDEX(Query_Source_View!$L:$L,MATCH(ROW()-14,Query_Source_View!$Z:$Z,0)),"")</f>
        <v/>
      </c>
      <c r="G419" s="2" t="str">
        <f aca="false">IFERROR(INDEX(Query_Source_View!$N:$N,MATCH(ROW()-14,Query_Source_View!$Z:$Z,0)),"")</f>
        <v/>
      </c>
      <c r="H419" s="2" t="str">
        <f aca="false">IFERROR(INDEX(Query_Source_View!$P:$P,MATCH(ROW()-14,Query_Source_View!$Z:$Z,0)),"")</f>
        <v/>
      </c>
      <c r="I419" s="2" t="str">
        <f aca="false">IFERROR(INDEX(Query_Source_View!$Q:$Q,MATCH(ROW()-14,Query_Source_View!$Z:$Z,0)),"")</f>
        <v/>
      </c>
      <c r="J419" s="2" t="str">
        <f aca="false">IFERROR(INDEX(Query_Source_View!$R:$R,MATCH(ROW()-14,Query_Source_View!$Z:$Z,0)),"")</f>
        <v/>
      </c>
      <c r="K419" s="2" t="str">
        <f aca="false">IFERROR(INDEX(Query_Source_View!$T:$T,MATCH(ROW()-14,Query_Source_View!$Z:$Z,0)),"")</f>
        <v/>
      </c>
      <c r="L419" s="2" t="str">
        <f aca="false">IFERROR(INDEX(Query_Source_View!$U:$U,MATCH(ROW()-14,Query_Source_View!$Z:$Z,0)),"")</f>
        <v/>
      </c>
      <c r="M419" s="2" t="str">
        <f aca="false">IFERROR(INDEX(Query_Source_View!$V:$V,MATCH(ROW()-14,Query_Source_View!$Z:$Z,0)),"")</f>
        <v/>
      </c>
      <c r="N419" s="2" t="str">
        <f aca="false">IFERROR(INDEX(Query_Source_View!$W:$W,MATCH(ROW()-14,Query_Source_View!$Z:$Z,0)),"")</f>
        <v/>
      </c>
      <c r="O419" s="2" t="str">
        <f aca="false">IFERROR(INDEX(Query_Source_View!$X:$X,MATCH(ROW()-14,Query_Source_View!$Z:$Z,0)),"")</f>
        <v/>
      </c>
    </row>
    <row r="420" customFormat="false" ht="15" hidden="false" customHeight="false" outlineLevel="0" collapsed="false">
      <c r="A420" s="2" t="str">
        <f aca="false">IFERROR(INDEX(Query_Source_View!$A:$A,MATCH(ROW()-14,Query_Source_View!$Z:$Z,0)),"")</f>
        <v/>
      </c>
      <c r="B420" s="2" t="str">
        <f aca="false">IFERROR(INDEX(Query_Source_View!$D:$D,MATCH(ROW()-14,Query_Source_View!$Z:$Z,0)),"")</f>
        <v/>
      </c>
      <c r="C420" s="2" t="str">
        <f aca="false">IFERROR(INDEX(Query_Source_View!$F:$F,MATCH(ROW()-14,Query_Source_View!$Z:$Z,0)),"")</f>
        <v/>
      </c>
      <c r="D420" s="2" t="str">
        <f aca="false">IFERROR(INDEX(Query_Source_View!$H:$H,MATCH(ROW()-14,Query_Source_View!$Z:$Z,0)),"")</f>
        <v/>
      </c>
      <c r="E420" s="2" t="str">
        <f aca="false">IFERROR(INDEX(Query_Source_View!$J:$J,MATCH(ROW()-14,Query_Source_View!$Z:$Z,0)),"")</f>
        <v/>
      </c>
      <c r="F420" s="2" t="str">
        <f aca="false">IFERROR(INDEX(Query_Source_View!$L:$L,MATCH(ROW()-14,Query_Source_View!$Z:$Z,0)),"")</f>
        <v/>
      </c>
      <c r="G420" s="2" t="str">
        <f aca="false">IFERROR(INDEX(Query_Source_View!$N:$N,MATCH(ROW()-14,Query_Source_View!$Z:$Z,0)),"")</f>
        <v/>
      </c>
      <c r="H420" s="2" t="str">
        <f aca="false">IFERROR(INDEX(Query_Source_View!$P:$P,MATCH(ROW()-14,Query_Source_View!$Z:$Z,0)),"")</f>
        <v/>
      </c>
      <c r="I420" s="2" t="str">
        <f aca="false">IFERROR(INDEX(Query_Source_View!$Q:$Q,MATCH(ROW()-14,Query_Source_View!$Z:$Z,0)),"")</f>
        <v/>
      </c>
      <c r="J420" s="2" t="str">
        <f aca="false">IFERROR(INDEX(Query_Source_View!$R:$R,MATCH(ROW()-14,Query_Source_View!$Z:$Z,0)),"")</f>
        <v/>
      </c>
      <c r="K420" s="2" t="str">
        <f aca="false">IFERROR(INDEX(Query_Source_View!$T:$T,MATCH(ROW()-14,Query_Source_View!$Z:$Z,0)),"")</f>
        <v/>
      </c>
      <c r="L420" s="2" t="str">
        <f aca="false">IFERROR(INDEX(Query_Source_View!$U:$U,MATCH(ROW()-14,Query_Source_View!$Z:$Z,0)),"")</f>
        <v/>
      </c>
      <c r="M420" s="2" t="str">
        <f aca="false">IFERROR(INDEX(Query_Source_View!$V:$V,MATCH(ROW()-14,Query_Source_View!$Z:$Z,0)),"")</f>
        <v/>
      </c>
      <c r="N420" s="2" t="str">
        <f aca="false">IFERROR(INDEX(Query_Source_View!$W:$W,MATCH(ROW()-14,Query_Source_View!$Z:$Z,0)),"")</f>
        <v/>
      </c>
      <c r="O420" s="2" t="str">
        <f aca="false">IFERROR(INDEX(Query_Source_View!$X:$X,MATCH(ROW()-14,Query_Source_View!$Z:$Z,0)),"")</f>
        <v/>
      </c>
    </row>
    <row r="421" customFormat="false" ht="15" hidden="false" customHeight="false" outlineLevel="0" collapsed="false">
      <c r="A421" s="2" t="str">
        <f aca="false">IFERROR(INDEX(Query_Source_View!$A:$A,MATCH(ROW()-14,Query_Source_View!$Z:$Z,0)),"")</f>
        <v/>
      </c>
      <c r="B421" s="2" t="str">
        <f aca="false">IFERROR(INDEX(Query_Source_View!$D:$D,MATCH(ROW()-14,Query_Source_View!$Z:$Z,0)),"")</f>
        <v/>
      </c>
      <c r="C421" s="2" t="str">
        <f aca="false">IFERROR(INDEX(Query_Source_View!$F:$F,MATCH(ROW()-14,Query_Source_View!$Z:$Z,0)),"")</f>
        <v/>
      </c>
      <c r="D421" s="2" t="str">
        <f aca="false">IFERROR(INDEX(Query_Source_View!$H:$H,MATCH(ROW()-14,Query_Source_View!$Z:$Z,0)),"")</f>
        <v/>
      </c>
      <c r="E421" s="2" t="str">
        <f aca="false">IFERROR(INDEX(Query_Source_View!$J:$J,MATCH(ROW()-14,Query_Source_View!$Z:$Z,0)),"")</f>
        <v/>
      </c>
      <c r="F421" s="2" t="str">
        <f aca="false">IFERROR(INDEX(Query_Source_View!$L:$L,MATCH(ROW()-14,Query_Source_View!$Z:$Z,0)),"")</f>
        <v/>
      </c>
      <c r="G421" s="2" t="str">
        <f aca="false">IFERROR(INDEX(Query_Source_View!$N:$N,MATCH(ROW()-14,Query_Source_View!$Z:$Z,0)),"")</f>
        <v/>
      </c>
      <c r="H421" s="2" t="str">
        <f aca="false">IFERROR(INDEX(Query_Source_View!$P:$P,MATCH(ROW()-14,Query_Source_View!$Z:$Z,0)),"")</f>
        <v/>
      </c>
      <c r="I421" s="2" t="str">
        <f aca="false">IFERROR(INDEX(Query_Source_View!$Q:$Q,MATCH(ROW()-14,Query_Source_View!$Z:$Z,0)),"")</f>
        <v/>
      </c>
      <c r="J421" s="2" t="str">
        <f aca="false">IFERROR(INDEX(Query_Source_View!$R:$R,MATCH(ROW()-14,Query_Source_View!$Z:$Z,0)),"")</f>
        <v/>
      </c>
      <c r="K421" s="2" t="str">
        <f aca="false">IFERROR(INDEX(Query_Source_View!$T:$T,MATCH(ROW()-14,Query_Source_View!$Z:$Z,0)),"")</f>
        <v/>
      </c>
      <c r="L421" s="2" t="str">
        <f aca="false">IFERROR(INDEX(Query_Source_View!$U:$U,MATCH(ROW()-14,Query_Source_View!$Z:$Z,0)),"")</f>
        <v/>
      </c>
      <c r="M421" s="2" t="str">
        <f aca="false">IFERROR(INDEX(Query_Source_View!$V:$V,MATCH(ROW()-14,Query_Source_View!$Z:$Z,0)),"")</f>
        <v/>
      </c>
      <c r="N421" s="2" t="str">
        <f aca="false">IFERROR(INDEX(Query_Source_View!$W:$W,MATCH(ROW()-14,Query_Source_View!$Z:$Z,0)),"")</f>
        <v/>
      </c>
      <c r="O421" s="2" t="str">
        <f aca="false">IFERROR(INDEX(Query_Source_View!$X:$X,MATCH(ROW()-14,Query_Source_View!$Z:$Z,0)),"")</f>
        <v/>
      </c>
    </row>
    <row r="422" customFormat="false" ht="15" hidden="false" customHeight="false" outlineLevel="0" collapsed="false">
      <c r="A422" s="2" t="str">
        <f aca="false">IFERROR(INDEX(Query_Source_View!$A:$A,MATCH(ROW()-14,Query_Source_View!$Z:$Z,0)),"")</f>
        <v/>
      </c>
      <c r="B422" s="2" t="str">
        <f aca="false">IFERROR(INDEX(Query_Source_View!$D:$D,MATCH(ROW()-14,Query_Source_View!$Z:$Z,0)),"")</f>
        <v/>
      </c>
      <c r="C422" s="2" t="str">
        <f aca="false">IFERROR(INDEX(Query_Source_View!$F:$F,MATCH(ROW()-14,Query_Source_View!$Z:$Z,0)),"")</f>
        <v/>
      </c>
      <c r="D422" s="2" t="str">
        <f aca="false">IFERROR(INDEX(Query_Source_View!$H:$H,MATCH(ROW()-14,Query_Source_View!$Z:$Z,0)),"")</f>
        <v/>
      </c>
      <c r="E422" s="2" t="str">
        <f aca="false">IFERROR(INDEX(Query_Source_View!$J:$J,MATCH(ROW()-14,Query_Source_View!$Z:$Z,0)),"")</f>
        <v/>
      </c>
      <c r="F422" s="2" t="str">
        <f aca="false">IFERROR(INDEX(Query_Source_View!$L:$L,MATCH(ROW()-14,Query_Source_View!$Z:$Z,0)),"")</f>
        <v/>
      </c>
      <c r="G422" s="2" t="str">
        <f aca="false">IFERROR(INDEX(Query_Source_View!$N:$N,MATCH(ROW()-14,Query_Source_View!$Z:$Z,0)),"")</f>
        <v/>
      </c>
      <c r="H422" s="2" t="str">
        <f aca="false">IFERROR(INDEX(Query_Source_View!$P:$P,MATCH(ROW()-14,Query_Source_View!$Z:$Z,0)),"")</f>
        <v/>
      </c>
      <c r="I422" s="2" t="str">
        <f aca="false">IFERROR(INDEX(Query_Source_View!$Q:$Q,MATCH(ROW()-14,Query_Source_View!$Z:$Z,0)),"")</f>
        <v/>
      </c>
      <c r="J422" s="2" t="str">
        <f aca="false">IFERROR(INDEX(Query_Source_View!$R:$R,MATCH(ROW()-14,Query_Source_View!$Z:$Z,0)),"")</f>
        <v/>
      </c>
      <c r="K422" s="2" t="str">
        <f aca="false">IFERROR(INDEX(Query_Source_View!$T:$T,MATCH(ROW()-14,Query_Source_View!$Z:$Z,0)),"")</f>
        <v/>
      </c>
      <c r="L422" s="2" t="str">
        <f aca="false">IFERROR(INDEX(Query_Source_View!$U:$U,MATCH(ROW()-14,Query_Source_View!$Z:$Z,0)),"")</f>
        <v/>
      </c>
      <c r="M422" s="2" t="str">
        <f aca="false">IFERROR(INDEX(Query_Source_View!$V:$V,MATCH(ROW()-14,Query_Source_View!$Z:$Z,0)),"")</f>
        <v/>
      </c>
      <c r="N422" s="2" t="str">
        <f aca="false">IFERROR(INDEX(Query_Source_View!$W:$W,MATCH(ROW()-14,Query_Source_View!$Z:$Z,0)),"")</f>
        <v/>
      </c>
      <c r="O422" s="2" t="str">
        <f aca="false">IFERROR(INDEX(Query_Source_View!$X:$X,MATCH(ROW()-14,Query_Source_View!$Z:$Z,0)),"")</f>
        <v/>
      </c>
    </row>
    <row r="423" customFormat="false" ht="15" hidden="false" customHeight="false" outlineLevel="0" collapsed="false">
      <c r="A423" s="2" t="str">
        <f aca="false">IFERROR(INDEX(Query_Source_View!$A:$A,MATCH(ROW()-14,Query_Source_View!$Z:$Z,0)),"")</f>
        <v/>
      </c>
      <c r="B423" s="2" t="str">
        <f aca="false">IFERROR(INDEX(Query_Source_View!$D:$D,MATCH(ROW()-14,Query_Source_View!$Z:$Z,0)),"")</f>
        <v/>
      </c>
      <c r="C423" s="2" t="str">
        <f aca="false">IFERROR(INDEX(Query_Source_View!$F:$F,MATCH(ROW()-14,Query_Source_View!$Z:$Z,0)),"")</f>
        <v/>
      </c>
      <c r="D423" s="2" t="str">
        <f aca="false">IFERROR(INDEX(Query_Source_View!$H:$H,MATCH(ROW()-14,Query_Source_View!$Z:$Z,0)),"")</f>
        <v/>
      </c>
      <c r="E423" s="2" t="str">
        <f aca="false">IFERROR(INDEX(Query_Source_View!$J:$J,MATCH(ROW()-14,Query_Source_View!$Z:$Z,0)),"")</f>
        <v/>
      </c>
      <c r="F423" s="2" t="str">
        <f aca="false">IFERROR(INDEX(Query_Source_View!$L:$L,MATCH(ROW()-14,Query_Source_View!$Z:$Z,0)),"")</f>
        <v/>
      </c>
      <c r="G423" s="2" t="str">
        <f aca="false">IFERROR(INDEX(Query_Source_View!$N:$N,MATCH(ROW()-14,Query_Source_View!$Z:$Z,0)),"")</f>
        <v/>
      </c>
      <c r="H423" s="2" t="str">
        <f aca="false">IFERROR(INDEX(Query_Source_View!$P:$P,MATCH(ROW()-14,Query_Source_View!$Z:$Z,0)),"")</f>
        <v/>
      </c>
      <c r="I423" s="2" t="str">
        <f aca="false">IFERROR(INDEX(Query_Source_View!$Q:$Q,MATCH(ROW()-14,Query_Source_View!$Z:$Z,0)),"")</f>
        <v/>
      </c>
      <c r="J423" s="2" t="str">
        <f aca="false">IFERROR(INDEX(Query_Source_View!$R:$R,MATCH(ROW()-14,Query_Source_View!$Z:$Z,0)),"")</f>
        <v/>
      </c>
      <c r="K423" s="2" t="str">
        <f aca="false">IFERROR(INDEX(Query_Source_View!$T:$T,MATCH(ROW()-14,Query_Source_View!$Z:$Z,0)),"")</f>
        <v/>
      </c>
      <c r="L423" s="2" t="str">
        <f aca="false">IFERROR(INDEX(Query_Source_View!$U:$U,MATCH(ROW()-14,Query_Source_View!$Z:$Z,0)),"")</f>
        <v/>
      </c>
      <c r="M423" s="2" t="str">
        <f aca="false">IFERROR(INDEX(Query_Source_View!$V:$V,MATCH(ROW()-14,Query_Source_View!$Z:$Z,0)),"")</f>
        <v/>
      </c>
      <c r="N423" s="2" t="str">
        <f aca="false">IFERROR(INDEX(Query_Source_View!$W:$W,MATCH(ROW()-14,Query_Source_View!$Z:$Z,0)),"")</f>
        <v/>
      </c>
      <c r="O423" s="2" t="str">
        <f aca="false">IFERROR(INDEX(Query_Source_View!$X:$X,MATCH(ROW()-14,Query_Source_View!$Z:$Z,0)),"")</f>
        <v/>
      </c>
    </row>
    <row r="424" customFormat="false" ht="15" hidden="false" customHeight="false" outlineLevel="0" collapsed="false">
      <c r="A424" s="2" t="str">
        <f aca="false">IFERROR(INDEX(Query_Source_View!$A:$A,MATCH(ROW()-14,Query_Source_View!$Z:$Z,0)),"")</f>
        <v/>
      </c>
      <c r="B424" s="2" t="str">
        <f aca="false">IFERROR(INDEX(Query_Source_View!$D:$D,MATCH(ROW()-14,Query_Source_View!$Z:$Z,0)),"")</f>
        <v/>
      </c>
      <c r="C424" s="2" t="str">
        <f aca="false">IFERROR(INDEX(Query_Source_View!$F:$F,MATCH(ROW()-14,Query_Source_View!$Z:$Z,0)),"")</f>
        <v/>
      </c>
      <c r="D424" s="2" t="str">
        <f aca="false">IFERROR(INDEX(Query_Source_View!$H:$H,MATCH(ROW()-14,Query_Source_View!$Z:$Z,0)),"")</f>
        <v/>
      </c>
      <c r="E424" s="2" t="str">
        <f aca="false">IFERROR(INDEX(Query_Source_View!$J:$J,MATCH(ROW()-14,Query_Source_View!$Z:$Z,0)),"")</f>
        <v/>
      </c>
      <c r="F424" s="2" t="str">
        <f aca="false">IFERROR(INDEX(Query_Source_View!$L:$L,MATCH(ROW()-14,Query_Source_View!$Z:$Z,0)),"")</f>
        <v/>
      </c>
      <c r="G424" s="2" t="str">
        <f aca="false">IFERROR(INDEX(Query_Source_View!$N:$N,MATCH(ROW()-14,Query_Source_View!$Z:$Z,0)),"")</f>
        <v/>
      </c>
      <c r="H424" s="2" t="str">
        <f aca="false">IFERROR(INDEX(Query_Source_View!$P:$P,MATCH(ROW()-14,Query_Source_View!$Z:$Z,0)),"")</f>
        <v/>
      </c>
      <c r="I424" s="2" t="str">
        <f aca="false">IFERROR(INDEX(Query_Source_View!$Q:$Q,MATCH(ROW()-14,Query_Source_View!$Z:$Z,0)),"")</f>
        <v/>
      </c>
      <c r="J424" s="2" t="str">
        <f aca="false">IFERROR(INDEX(Query_Source_View!$R:$R,MATCH(ROW()-14,Query_Source_View!$Z:$Z,0)),"")</f>
        <v/>
      </c>
      <c r="K424" s="2" t="str">
        <f aca="false">IFERROR(INDEX(Query_Source_View!$T:$T,MATCH(ROW()-14,Query_Source_View!$Z:$Z,0)),"")</f>
        <v/>
      </c>
      <c r="L424" s="2" t="str">
        <f aca="false">IFERROR(INDEX(Query_Source_View!$U:$U,MATCH(ROW()-14,Query_Source_View!$Z:$Z,0)),"")</f>
        <v/>
      </c>
      <c r="M424" s="2" t="str">
        <f aca="false">IFERROR(INDEX(Query_Source_View!$V:$V,MATCH(ROW()-14,Query_Source_View!$Z:$Z,0)),"")</f>
        <v/>
      </c>
      <c r="N424" s="2" t="str">
        <f aca="false">IFERROR(INDEX(Query_Source_View!$W:$W,MATCH(ROW()-14,Query_Source_View!$Z:$Z,0)),"")</f>
        <v/>
      </c>
      <c r="O424" s="2" t="str">
        <f aca="false">IFERROR(INDEX(Query_Source_View!$X:$X,MATCH(ROW()-14,Query_Source_View!$Z:$Z,0)),"")</f>
        <v/>
      </c>
    </row>
    <row r="425" customFormat="false" ht="15" hidden="false" customHeight="false" outlineLevel="0" collapsed="false">
      <c r="A425" s="2" t="str">
        <f aca="false">IFERROR(INDEX(Query_Source_View!$A:$A,MATCH(ROW()-14,Query_Source_View!$Z:$Z,0)),"")</f>
        <v/>
      </c>
      <c r="B425" s="2" t="str">
        <f aca="false">IFERROR(INDEX(Query_Source_View!$D:$D,MATCH(ROW()-14,Query_Source_View!$Z:$Z,0)),"")</f>
        <v/>
      </c>
      <c r="C425" s="2" t="str">
        <f aca="false">IFERROR(INDEX(Query_Source_View!$F:$F,MATCH(ROW()-14,Query_Source_View!$Z:$Z,0)),"")</f>
        <v/>
      </c>
      <c r="D425" s="2" t="str">
        <f aca="false">IFERROR(INDEX(Query_Source_View!$H:$H,MATCH(ROW()-14,Query_Source_View!$Z:$Z,0)),"")</f>
        <v/>
      </c>
      <c r="E425" s="2" t="str">
        <f aca="false">IFERROR(INDEX(Query_Source_View!$J:$J,MATCH(ROW()-14,Query_Source_View!$Z:$Z,0)),"")</f>
        <v/>
      </c>
      <c r="F425" s="2" t="str">
        <f aca="false">IFERROR(INDEX(Query_Source_View!$L:$L,MATCH(ROW()-14,Query_Source_View!$Z:$Z,0)),"")</f>
        <v/>
      </c>
      <c r="G425" s="2" t="str">
        <f aca="false">IFERROR(INDEX(Query_Source_View!$N:$N,MATCH(ROW()-14,Query_Source_View!$Z:$Z,0)),"")</f>
        <v/>
      </c>
      <c r="H425" s="2" t="str">
        <f aca="false">IFERROR(INDEX(Query_Source_View!$P:$P,MATCH(ROW()-14,Query_Source_View!$Z:$Z,0)),"")</f>
        <v/>
      </c>
      <c r="I425" s="2" t="str">
        <f aca="false">IFERROR(INDEX(Query_Source_View!$Q:$Q,MATCH(ROW()-14,Query_Source_View!$Z:$Z,0)),"")</f>
        <v/>
      </c>
      <c r="J425" s="2" t="str">
        <f aca="false">IFERROR(INDEX(Query_Source_View!$R:$R,MATCH(ROW()-14,Query_Source_View!$Z:$Z,0)),"")</f>
        <v/>
      </c>
      <c r="K425" s="2" t="str">
        <f aca="false">IFERROR(INDEX(Query_Source_View!$T:$T,MATCH(ROW()-14,Query_Source_View!$Z:$Z,0)),"")</f>
        <v/>
      </c>
      <c r="L425" s="2" t="str">
        <f aca="false">IFERROR(INDEX(Query_Source_View!$U:$U,MATCH(ROW()-14,Query_Source_View!$Z:$Z,0)),"")</f>
        <v/>
      </c>
      <c r="M425" s="2" t="str">
        <f aca="false">IFERROR(INDEX(Query_Source_View!$V:$V,MATCH(ROW()-14,Query_Source_View!$Z:$Z,0)),"")</f>
        <v/>
      </c>
      <c r="N425" s="2" t="str">
        <f aca="false">IFERROR(INDEX(Query_Source_View!$W:$W,MATCH(ROW()-14,Query_Source_View!$Z:$Z,0)),"")</f>
        <v/>
      </c>
      <c r="O425" s="2" t="str">
        <f aca="false">IFERROR(INDEX(Query_Source_View!$X:$X,MATCH(ROW()-14,Query_Source_View!$Z:$Z,0)),"")</f>
        <v/>
      </c>
    </row>
    <row r="426" customFormat="false" ht="15" hidden="false" customHeight="false" outlineLevel="0" collapsed="false">
      <c r="A426" s="2" t="str">
        <f aca="false">IFERROR(INDEX(Query_Source_View!$A:$A,MATCH(ROW()-14,Query_Source_View!$Z:$Z,0)),"")</f>
        <v/>
      </c>
      <c r="B426" s="2" t="str">
        <f aca="false">IFERROR(INDEX(Query_Source_View!$D:$D,MATCH(ROW()-14,Query_Source_View!$Z:$Z,0)),"")</f>
        <v/>
      </c>
      <c r="C426" s="2" t="str">
        <f aca="false">IFERROR(INDEX(Query_Source_View!$F:$F,MATCH(ROW()-14,Query_Source_View!$Z:$Z,0)),"")</f>
        <v/>
      </c>
      <c r="D426" s="2" t="str">
        <f aca="false">IFERROR(INDEX(Query_Source_View!$H:$H,MATCH(ROW()-14,Query_Source_View!$Z:$Z,0)),"")</f>
        <v/>
      </c>
      <c r="E426" s="2" t="str">
        <f aca="false">IFERROR(INDEX(Query_Source_View!$J:$J,MATCH(ROW()-14,Query_Source_View!$Z:$Z,0)),"")</f>
        <v/>
      </c>
      <c r="F426" s="2" t="str">
        <f aca="false">IFERROR(INDEX(Query_Source_View!$L:$L,MATCH(ROW()-14,Query_Source_View!$Z:$Z,0)),"")</f>
        <v/>
      </c>
      <c r="G426" s="2" t="str">
        <f aca="false">IFERROR(INDEX(Query_Source_View!$N:$N,MATCH(ROW()-14,Query_Source_View!$Z:$Z,0)),"")</f>
        <v/>
      </c>
      <c r="H426" s="2" t="str">
        <f aca="false">IFERROR(INDEX(Query_Source_View!$P:$P,MATCH(ROW()-14,Query_Source_View!$Z:$Z,0)),"")</f>
        <v/>
      </c>
      <c r="I426" s="2" t="str">
        <f aca="false">IFERROR(INDEX(Query_Source_View!$Q:$Q,MATCH(ROW()-14,Query_Source_View!$Z:$Z,0)),"")</f>
        <v/>
      </c>
      <c r="J426" s="2" t="str">
        <f aca="false">IFERROR(INDEX(Query_Source_View!$R:$R,MATCH(ROW()-14,Query_Source_View!$Z:$Z,0)),"")</f>
        <v/>
      </c>
      <c r="K426" s="2" t="str">
        <f aca="false">IFERROR(INDEX(Query_Source_View!$T:$T,MATCH(ROW()-14,Query_Source_View!$Z:$Z,0)),"")</f>
        <v/>
      </c>
      <c r="L426" s="2" t="str">
        <f aca="false">IFERROR(INDEX(Query_Source_View!$U:$U,MATCH(ROW()-14,Query_Source_View!$Z:$Z,0)),"")</f>
        <v/>
      </c>
      <c r="M426" s="2" t="str">
        <f aca="false">IFERROR(INDEX(Query_Source_View!$V:$V,MATCH(ROW()-14,Query_Source_View!$Z:$Z,0)),"")</f>
        <v/>
      </c>
      <c r="N426" s="2" t="str">
        <f aca="false">IFERROR(INDEX(Query_Source_View!$W:$W,MATCH(ROW()-14,Query_Source_View!$Z:$Z,0)),"")</f>
        <v/>
      </c>
      <c r="O426" s="2" t="str">
        <f aca="false">IFERROR(INDEX(Query_Source_View!$X:$X,MATCH(ROW()-14,Query_Source_View!$Z:$Z,0)),"")</f>
        <v/>
      </c>
    </row>
    <row r="427" customFormat="false" ht="15" hidden="false" customHeight="false" outlineLevel="0" collapsed="false">
      <c r="A427" s="2" t="str">
        <f aca="false">IFERROR(INDEX(Query_Source_View!$A:$A,MATCH(ROW()-14,Query_Source_View!$Z:$Z,0)),"")</f>
        <v/>
      </c>
      <c r="B427" s="2" t="str">
        <f aca="false">IFERROR(INDEX(Query_Source_View!$D:$D,MATCH(ROW()-14,Query_Source_View!$Z:$Z,0)),"")</f>
        <v/>
      </c>
      <c r="C427" s="2" t="str">
        <f aca="false">IFERROR(INDEX(Query_Source_View!$F:$F,MATCH(ROW()-14,Query_Source_View!$Z:$Z,0)),"")</f>
        <v/>
      </c>
      <c r="D427" s="2" t="str">
        <f aca="false">IFERROR(INDEX(Query_Source_View!$H:$H,MATCH(ROW()-14,Query_Source_View!$Z:$Z,0)),"")</f>
        <v/>
      </c>
      <c r="E427" s="2" t="str">
        <f aca="false">IFERROR(INDEX(Query_Source_View!$J:$J,MATCH(ROW()-14,Query_Source_View!$Z:$Z,0)),"")</f>
        <v/>
      </c>
      <c r="F427" s="2" t="str">
        <f aca="false">IFERROR(INDEX(Query_Source_View!$L:$L,MATCH(ROW()-14,Query_Source_View!$Z:$Z,0)),"")</f>
        <v/>
      </c>
      <c r="G427" s="2" t="str">
        <f aca="false">IFERROR(INDEX(Query_Source_View!$N:$N,MATCH(ROW()-14,Query_Source_View!$Z:$Z,0)),"")</f>
        <v/>
      </c>
      <c r="H427" s="2" t="str">
        <f aca="false">IFERROR(INDEX(Query_Source_View!$P:$P,MATCH(ROW()-14,Query_Source_View!$Z:$Z,0)),"")</f>
        <v/>
      </c>
      <c r="I427" s="2" t="str">
        <f aca="false">IFERROR(INDEX(Query_Source_View!$Q:$Q,MATCH(ROW()-14,Query_Source_View!$Z:$Z,0)),"")</f>
        <v/>
      </c>
      <c r="J427" s="2" t="str">
        <f aca="false">IFERROR(INDEX(Query_Source_View!$R:$R,MATCH(ROW()-14,Query_Source_View!$Z:$Z,0)),"")</f>
        <v/>
      </c>
      <c r="K427" s="2" t="str">
        <f aca="false">IFERROR(INDEX(Query_Source_View!$T:$T,MATCH(ROW()-14,Query_Source_View!$Z:$Z,0)),"")</f>
        <v/>
      </c>
      <c r="L427" s="2" t="str">
        <f aca="false">IFERROR(INDEX(Query_Source_View!$U:$U,MATCH(ROW()-14,Query_Source_View!$Z:$Z,0)),"")</f>
        <v/>
      </c>
      <c r="M427" s="2" t="str">
        <f aca="false">IFERROR(INDEX(Query_Source_View!$V:$V,MATCH(ROW()-14,Query_Source_View!$Z:$Z,0)),"")</f>
        <v/>
      </c>
      <c r="N427" s="2" t="str">
        <f aca="false">IFERROR(INDEX(Query_Source_View!$W:$W,MATCH(ROW()-14,Query_Source_View!$Z:$Z,0)),"")</f>
        <v/>
      </c>
      <c r="O427" s="2" t="str">
        <f aca="false">IFERROR(INDEX(Query_Source_View!$X:$X,MATCH(ROW()-14,Query_Source_View!$Z:$Z,0)),"")</f>
        <v/>
      </c>
    </row>
    <row r="428" customFormat="false" ht="15" hidden="false" customHeight="false" outlineLevel="0" collapsed="false">
      <c r="A428" s="2" t="str">
        <f aca="false">IFERROR(INDEX(Query_Source_View!$A:$A,MATCH(ROW()-14,Query_Source_View!$Z:$Z,0)),"")</f>
        <v/>
      </c>
      <c r="B428" s="2" t="str">
        <f aca="false">IFERROR(INDEX(Query_Source_View!$D:$D,MATCH(ROW()-14,Query_Source_View!$Z:$Z,0)),"")</f>
        <v/>
      </c>
      <c r="C428" s="2" t="str">
        <f aca="false">IFERROR(INDEX(Query_Source_View!$F:$F,MATCH(ROW()-14,Query_Source_View!$Z:$Z,0)),"")</f>
        <v/>
      </c>
      <c r="D428" s="2" t="str">
        <f aca="false">IFERROR(INDEX(Query_Source_View!$H:$H,MATCH(ROW()-14,Query_Source_View!$Z:$Z,0)),"")</f>
        <v/>
      </c>
      <c r="E428" s="2" t="str">
        <f aca="false">IFERROR(INDEX(Query_Source_View!$J:$J,MATCH(ROW()-14,Query_Source_View!$Z:$Z,0)),"")</f>
        <v/>
      </c>
      <c r="F428" s="2" t="str">
        <f aca="false">IFERROR(INDEX(Query_Source_View!$L:$L,MATCH(ROW()-14,Query_Source_View!$Z:$Z,0)),"")</f>
        <v/>
      </c>
      <c r="G428" s="2" t="str">
        <f aca="false">IFERROR(INDEX(Query_Source_View!$N:$N,MATCH(ROW()-14,Query_Source_View!$Z:$Z,0)),"")</f>
        <v/>
      </c>
      <c r="H428" s="2" t="str">
        <f aca="false">IFERROR(INDEX(Query_Source_View!$P:$P,MATCH(ROW()-14,Query_Source_View!$Z:$Z,0)),"")</f>
        <v/>
      </c>
      <c r="I428" s="2" t="str">
        <f aca="false">IFERROR(INDEX(Query_Source_View!$Q:$Q,MATCH(ROW()-14,Query_Source_View!$Z:$Z,0)),"")</f>
        <v/>
      </c>
      <c r="J428" s="2" t="str">
        <f aca="false">IFERROR(INDEX(Query_Source_View!$R:$R,MATCH(ROW()-14,Query_Source_View!$Z:$Z,0)),"")</f>
        <v/>
      </c>
      <c r="K428" s="2" t="str">
        <f aca="false">IFERROR(INDEX(Query_Source_View!$T:$T,MATCH(ROW()-14,Query_Source_View!$Z:$Z,0)),"")</f>
        <v/>
      </c>
      <c r="L428" s="2" t="str">
        <f aca="false">IFERROR(INDEX(Query_Source_View!$U:$U,MATCH(ROW()-14,Query_Source_View!$Z:$Z,0)),"")</f>
        <v/>
      </c>
      <c r="M428" s="2" t="str">
        <f aca="false">IFERROR(INDEX(Query_Source_View!$V:$V,MATCH(ROW()-14,Query_Source_View!$Z:$Z,0)),"")</f>
        <v/>
      </c>
      <c r="N428" s="2" t="str">
        <f aca="false">IFERROR(INDEX(Query_Source_View!$W:$W,MATCH(ROW()-14,Query_Source_View!$Z:$Z,0)),"")</f>
        <v/>
      </c>
      <c r="O428" s="2" t="str">
        <f aca="false">IFERROR(INDEX(Query_Source_View!$X:$X,MATCH(ROW()-14,Query_Source_View!$Z:$Z,0)),"")</f>
        <v/>
      </c>
    </row>
    <row r="429" customFormat="false" ht="15" hidden="false" customHeight="false" outlineLevel="0" collapsed="false">
      <c r="A429" s="2" t="str">
        <f aca="false">IFERROR(INDEX(Query_Source_View!$A:$A,MATCH(ROW()-14,Query_Source_View!$Z:$Z,0)),"")</f>
        <v/>
      </c>
      <c r="B429" s="2" t="str">
        <f aca="false">IFERROR(INDEX(Query_Source_View!$D:$D,MATCH(ROW()-14,Query_Source_View!$Z:$Z,0)),"")</f>
        <v/>
      </c>
      <c r="C429" s="2" t="str">
        <f aca="false">IFERROR(INDEX(Query_Source_View!$F:$F,MATCH(ROW()-14,Query_Source_View!$Z:$Z,0)),"")</f>
        <v/>
      </c>
      <c r="D429" s="2" t="str">
        <f aca="false">IFERROR(INDEX(Query_Source_View!$H:$H,MATCH(ROW()-14,Query_Source_View!$Z:$Z,0)),"")</f>
        <v/>
      </c>
      <c r="E429" s="2" t="str">
        <f aca="false">IFERROR(INDEX(Query_Source_View!$J:$J,MATCH(ROW()-14,Query_Source_View!$Z:$Z,0)),"")</f>
        <v/>
      </c>
      <c r="F429" s="2" t="str">
        <f aca="false">IFERROR(INDEX(Query_Source_View!$L:$L,MATCH(ROW()-14,Query_Source_View!$Z:$Z,0)),"")</f>
        <v/>
      </c>
      <c r="G429" s="2" t="str">
        <f aca="false">IFERROR(INDEX(Query_Source_View!$N:$N,MATCH(ROW()-14,Query_Source_View!$Z:$Z,0)),"")</f>
        <v/>
      </c>
      <c r="H429" s="2" t="str">
        <f aca="false">IFERROR(INDEX(Query_Source_View!$P:$P,MATCH(ROW()-14,Query_Source_View!$Z:$Z,0)),"")</f>
        <v/>
      </c>
      <c r="I429" s="2" t="str">
        <f aca="false">IFERROR(INDEX(Query_Source_View!$Q:$Q,MATCH(ROW()-14,Query_Source_View!$Z:$Z,0)),"")</f>
        <v/>
      </c>
      <c r="J429" s="2" t="str">
        <f aca="false">IFERROR(INDEX(Query_Source_View!$R:$R,MATCH(ROW()-14,Query_Source_View!$Z:$Z,0)),"")</f>
        <v/>
      </c>
      <c r="K429" s="2" t="str">
        <f aca="false">IFERROR(INDEX(Query_Source_View!$T:$T,MATCH(ROW()-14,Query_Source_View!$Z:$Z,0)),"")</f>
        <v/>
      </c>
      <c r="L429" s="2" t="str">
        <f aca="false">IFERROR(INDEX(Query_Source_View!$U:$U,MATCH(ROW()-14,Query_Source_View!$Z:$Z,0)),"")</f>
        <v/>
      </c>
      <c r="M429" s="2" t="str">
        <f aca="false">IFERROR(INDEX(Query_Source_View!$V:$V,MATCH(ROW()-14,Query_Source_View!$Z:$Z,0)),"")</f>
        <v/>
      </c>
      <c r="N429" s="2" t="str">
        <f aca="false">IFERROR(INDEX(Query_Source_View!$W:$W,MATCH(ROW()-14,Query_Source_View!$Z:$Z,0)),"")</f>
        <v/>
      </c>
      <c r="O429" s="2" t="str">
        <f aca="false">IFERROR(INDEX(Query_Source_View!$X:$X,MATCH(ROW()-14,Query_Source_View!$Z:$Z,0)),"")</f>
        <v/>
      </c>
    </row>
    <row r="430" customFormat="false" ht="15" hidden="false" customHeight="false" outlineLevel="0" collapsed="false">
      <c r="A430" s="2" t="str">
        <f aca="false">IFERROR(INDEX(Query_Source_View!$A:$A,MATCH(ROW()-14,Query_Source_View!$Z:$Z,0)),"")</f>
        <v/>
      </c>
      <c r="B430" s="2" t="str">
        <f aca="false">IFERROR(INDEX(Query_Source_View!$D:$D,MATCH(ROW()-14,Query_Source_View!$Z:$Z,0)),"")</f>
        <v/>
      </c>
      <c r="C430" s="2" t="str">
        <f aca="false">IFERROR(INDEX(Query_Source_View!$F:$F,MATCH(ROW()-14,Query_Source_View!$Z:$Z,0)),"")</f>
        <v/>
      </c>
      <c r="D430" s="2" t="str">
        <f aca="false">IFERROR(INDEX(Query_Source_View!$H:$H,MATCH(ROW()-14,Query_Source_View!$Z:$Z,0)),"")</f>
        <v/>
      </c>
      <c r="E430" s="2" t="str">
        <f aca="false">IFERROR(INDEX(Query_Source_View!$J:$J,MATCH(ROW()-14,Query_Source_View!$Z:$Z,0)),"")</f>
        <v/>
      </c>
      <c r="F430" s="2" t="str">
        <f aca="false">IFERROR(INDEX(Query_Source_View!$L:$L,MATCH(ROW()-14,Query_Source_View!$Z:$Z,0)),"")</f>
        <v/>
      </c>
      <c r="G430" s="2" t="str">
        <f aca="false">IFERROR(INDEX(Query_Source_View!$N:$N,MATCH(ROW()-14,Query_Source_View!$Z:$Z,0)),"")</f>
        <v/>
      </c>
      <c r="H430" s="2" t="str">
        <f aca="false">IFERROR(INDEX(Query_Source_View!$P:$P,MATCH(ROW()-14,Query_Source_View!$Z:$Z,0)),"")</f>
        <v/>
      </c>
      <c r="I430" s="2" t="str">
        <f aca="false">IFERROR(INDEX(Query_Source_View!$Q:$Q,MATCH(ROW()-14,Query_Source_View!$Z:$Z,0)),"")</f>
        <v/>
      </c>
      <c r="J430" s="2" t="str">
        <f aca="false">IFERROR(INDEX(Query_Source_View!$R:$R,MATCH(ROW()-14,Query_Source_View!$Z:$Z,0)),"")</f>
        <v/>
      </c>
      <c r="K430" s="2" t="str">
        <f aca="false">IFERROR(INDEX(Query_Source_View!$T:$T,MATCH(ROW()-14,Query_Source_View!$Z:$Z,0)),"")</f>
        <v/>
      </c>
      <c r="L430" s="2" t="str">
        <f aca="false">IFERROR(INDEX(Query_Source_View!$U:$U,MATCH(ROW()-14,Query_Source_View!$Z:$Z,0)),"")</f>
        <v/>
      </c>
      <c r="M430" s="2" t="str">
        <f aca="false">IFERROR(INDEX(Query_Source_View!$V:$V,MATCH(ROW()-14,Query_Source_View!$Z:$Z,0)),"")</f>
        <v/>
      </c>
      <c r="N430" s="2" t="str">
        <f aca="false">IFERROR(INDEX(Query_Source_View!$W:$W,MATCH(ROW()-14,Query_Source_View!$Z:$Z,0)),"")</f>
        <v/>
      </c>
      <c r="O430" s="2" t="str">
        <f aca="false">IFERROR(INDEX(Query_Source_View!$X:$X,MATCH(ROW()-14,Query_Source_View!$Z:$Z,0)),"")</f>
        <v/>
      </c>
    </row>
    <row r="431" customFormat="false" ht="15" hidden="false" customHeight="false" outlineLevel="0" collapsed="false">
      <c r="A431" s="2" t="str">
        <f aca="false">IFERROR(INDEX(Query_Source_View!$A:$A,MATCH(ROW()-14,Query_Source_View!$Z:$Z,0)),"")</f>
        <v/>
      </c>
      <c r="B431" s="2" t="str">
        <f aca="false">IFERROR(INDEX(Query_Source_View!$D:$D,MATCH(ROW()-14,Query_Source_View!$Z:$Z,0)),"")</f>
        <v/>
      </c>
      <c r="C431" s="2" t="str">
        <f aca="false">IFERROR(INDEX(Query_Source_View!$F:$F,MATCH(ROW()-14,Query_Source_View!$Z:$Z,0)),"")</f>
        <v/>
      </c>
      <c r="D431" s="2" t="str">
        <f aca="false">IFERROR(INDEX(Query_Source_View!$H:$H,MATCH(ROW()-14,Query_Source_View!$Z:$Z,0)),"")</f>
        <v/>
      </c>
      <c r="E431" s="2" t="str">
        <f aca="false">IFERROR(INDEX(Query_Source_View!$J:$J,MATCH(ROW()-14,Query_Source_View!$Z:$Z,0)),"")</f>
        <v/>
      </c>
      <c r="F431" s="2" t="str">
        <f aca="false">IFERROR(INDEX(Query_Source_View!$L:$L,MATCH(ROW()-14,Query_Source_View!$Z:$Z,0)),"")</f>
        <v/>
      </c>
      <c r="G431" s="2" t="str">
        <f aca="false">IFERROR(INDEX(Query_Source_View!$N:$N,MATCH(ROW()-14,Query_Source_View!$Z:$Z,0)),"")</f>
        <v/>
      </c>
      <c r="H431" s="2" t="str">
        <f aca="false">IFERROR(INDEX(Query_Source_View!$P:$P,MATCH(ROW()-14,Query_Source_View!$Z:$Z,0)),"")</f>
        <v/>
      </c>
      <c r="I431" s="2" t="str">
        <f aca="false">IFERROR(INDEX(Query_Source_View!$Q:$Q,MATCH(ROW()-14,Query_Source_View!$Z:$Z,0)),"")</f>
        <v/>
      </c>
      <c r="J431" s="2" t="str">
        <f aca="false">IFERROR(INDEX(Query_Source_View!$R:$R,MATCH(ROW()-14,Query_Source_View!$Z:$Z,0)),"")</f>
        <v/>
      </c>
      <c r="K431" s="2" t="str">
        <f aca="false">IFERROR(INDEX(Query_Source_View!$T:$T,MATCH(ROW()-14,Query_Source_View!$Z:$Z,0)),"")</f>
        <v/>
      </c>
      <c r="L431" s="2" t="str">
        <f aca="false">IFERROR(INDEX(Query_Source_View!$U:$U,MATCH(ROW()-14,Query_Source_View!$Z:$Z,0)),"")</f>
        <v/>
      </c>
      <c r="M431" s="2" t="str">
        <f aca="false">IFERROR(INDEX(Query_Source_View!$V:$V,MATCH(ROW()-14,Query_Source_View!$Z:$Z,0)),"")</f>
        <v/>
      </c>
      <c r="N431" s="2" t="str">
        <f aca="false">IFERROR(INDEX(Query_Source_View!$W:$W,MATCH(ROW()-14,Query_Source_View!$Z:$Z,0)),"")</f>
        <v/>
      </c>
      <c r="O431" s="2" t="str">
        <f aca="false">IFERROR(INDEX(Query_Source_View!$X:$X,MATCH(ROW()-14,Query_Source_View!$Z:$Z,0)),"")</f>
        <v/>
      </c>
    </row>
    <row r="432" customFormat="false" ht="15" hidden="false" customHeight="false" outlineLevel="0" collapsed="false">
      <c r="A432" s="2" t="str">
        <f aca="false">IFERROR(INDEX(Query_Source_View!$A:$A,MATCH(ROW()-14,Query_Source_View!$Z:$Z,0)),"")</f>
        <v/>
      </c>
      <c r="B432" s="2" t="str">
        <f aca="false">IFERROR(INDEX(Query_Source_View!$D:$D,MATCH(ROW()-14,Query_Source_View!$Z:$Z,0)),"")</f>
        <v/>
      </c>
      <c r="C432" s="2" t="str">
        <f aca="false">IFERROR(INDEX(Query_Source_View!$F:$F,MATCH(ROW()-14,Query_Source_View!$Z:$Z,0)),"")</f>
        <v/>
      </c>
      <c r="D432" s="2" t="str">
        <f aca="false">IFERROR(INDEX(Query_Source_View!$H:$H,MATCH(ROW()-14,Query_Source_View!$Z:$Z,0)),"")</f>
        <v/>
      </c>
      <c r="E432" s="2" t="str">
        <f aca="false">IFERROR(INDEX(Query_Source_View!$J:$J,MATCH(ROW()-14,Query_Source_View!$Z:$Z,0)),"")</f>
        <v/>
      </c>
      <c r="F432" s="2" t="str">
        <f aca="false">IFERROR(INDEX(Query_Source_View!$L:$L,MATCH(ROW()-14,Query_Source_View!$Z:$Z,0)),"")</f>
        <v/>
      </c>
      <c r="G432" s="2" t="str">
        <f aca="false">IFERROR(INDEX(Query_Source_View!$N:$N,MATCH(ROW()-14,Query_Source_View!$Z:$Z,0)),"")</f>
        <v/>
      </c>
      <c r="H432" s="2" t="str">
        <f aca="false">IFERROR(INDEX(Query_Source_View!$P:$P,MATCH(ROW()-14,Query_Source_View!$Z:$Z,0)),"")</f>
        <v/>
      </c>
      <c r="I432" s="2" t="str">
        <f aca="false">IFERROR(INDEX(Query_Source_View!$Q:$Q,MATCH(ROW()-14,Query_Source_View!$Z:$Z,0)),"")</f>
        <v/>
      </c>
      <c r="J432" s="2" t="str">
        <f aca="false">IFERROR(INDEX(Query_Source_View!$R:$R,MATCH(ROW()-14,Query_Source_View!$Z:$Z,0)),"")</f>
        <v/>
      </c>
      <c r="K432" s="2" t="str">
        <f aca="false">IFERROR(INDEX(Query_Source_View!$T:$T,MATCH(ROW()-14,Query_Source_View!$Z:$Z,0)),"")</f>
        <v/>
      </c>
      <c r="L432" s="2" t="str">
        <f aca="false">IFERROR(INDEX(Query_Source_View!$U:$U,MATCH(ROW()-14,Query_Source_View!$Z:$Z,0)),"")</f>
        <v/>
      </c>
      <c r="M432" s="2" t="str">
        <f aca="false">IFERROR(INDEX(Query_Source_View!$V:$V,MATCH(ROW()-14,Query_Source_View!$Z:$Z,0)),"")</f>
        <v/>
      </c>
      <c r="N432" s="2" t="str">
        <f aca="false">IFERROR(INDEX(Query_Source_View!$W:$W,MATCH(ROW()-14,Query_Source_View!$Z:$Z,0)),"")</f>
        <v/>
      </c>
      <c r="O432" s="2" t="str">
        <f aca="false">IFERROR(INDEX(Query_Source_View!$X:$X,MATCH(ROW()-14,Query_Source_View!$Z:$Z,0)),"")</f>
        <v/>
      </c>
    </row>
    <row r="433" customFormat="false" ht="15" hidden="false" customHeight="false" outlineLevel="0" collapsed="false">
      <c r="A433" s="2" t="str">
        <f aca="false">IFERROR(INDEX(Query_Source_View!$A:$A,MATCH(ROW()-14,Query_Source_View!$Z:$Z,0)),"")</f>
        <v/>
      </c>
      <c r="B433" s="2" t="str">
        <f aca="false">IFERROR(INDEX(Query_Source_View!$D:$D,MATCH(ROW()-14,Query_Source_View!$Z:$Z,0)),"")</f>
        <v/>
      </c>
      <c r="C433" s="2" t="str">
        <f aca="false">IFERROR(INDEX(Query_Source_View!$F:$F,MATCH(ROW()-14,Query_Source_View!$Z:$Z,0)),"")</f>
        <v/>
      </c>
      <c r="D433" s="2" t="str">
        <f aca="false">IFERROR(INDEX(Query_Source_View!$H:$H,MATCH(ROW()-14,Query_Source_View!$Z:$Z,0)),"")</f>
        <v/>
      </c>
      <c r="E433" s="2" t="str">
        <f aca="false">IFERROR(INDEX(Query_Source_View!$J:$J,MATCH(ROW()-14,Query_Source_View!$Z:$Z,0)),"")</f>
        <v/>
      </c>
      <c r="F433" s="2" t="str">
        <f aca="false">IFERROR(INDEX(Query_Source_View!$L:$L,MATCH(ROW()-14,Query_Source_View!$Z:$Z,0)),"")</f>
        <v/>
      </c>
      <c r="G433" s="2" t="str">
        <f aca="false">IFERROR(INDEX(Query_Source_View!$N:$N,MATCH(ROW()-14,Query_Source_View!$Z:$Z,0)),"")</f>
        <v/>
      </c>
      <c r="H433" s="2" t="str">
        <f aca="false">IFERROR(INDEX(Query_Source_View!$P:$P,MATCH(ROW()-14,Query_Source_View!$Z:$Z,0)),"")</f>
        <v/>
      </c>
      <c r="I433" s="2" t="str">
        <f aca="false">IFERROR(INDEX(Query_Source_View!$Q:$Q,MATCH(ROW()-14,Query_Source_View!$Z:$Z,0)),"")</f>
        <v/>
      </c>
      <c r="J433" s="2" t="str">
        <f aca="false">IFERROR(INDEX(Query_Source_View!$R:$R,MATCH(ROW()-14,Query_Source_View!$Z:$Z,0)),"")</f>
        <v/>
      </c>
      <c r="K433" s="2" t="str">
        <f aca="false">IFERROR(INDEX(Query_Source_View!$T:$T,MATCH(ROW()-14,Query_Source_View!$Z:$Z,0)),"")</f>
        <v/>
      </c>
      <c r="L433" s="2" t="str">
        <f aca="false">IFERROR(INDEX(Query_Source_View!$U:$U,MATCH(ROW()-14,Query_Source_View!$Z:$Z,0)),"")</f>
        <v/>
      </c>
      <c r="M433" s="2" t="str">
        <f aca="false">IFERROR(INDEX(Query_Source_View!$V:$V,MATCH(ROW()-14,Query_Source_View!$Z:$Z,0)),"")</f>
        <v/>
      </c>
      <c r="N433" s="2" t="str">
        <f aca="false">IFERROR(INDEX(Query_Source_View!$W:$W,MATCH(ROW()-14,Query_Source_View!$Z:$Z,0)),"")</f>
        <v/>
      </c>
      <c r="O433" s="2" t="str">
        <f aca="false">IFERROR(INDEX(Query_Source_View!$X:$X,MATCH(ROW()-14,Query_Source_View!$Z:$Z,0)),"")</f>
        <v/>
      </c>
    </row>
    <row r="434" customFormat="false" ht="15" hidden="false" customHeight="false" outlineLevel="0" collapsed="false">
      <c r="A434" s="2" t="str">
        <f aca="false">IFERROR(INDEX(Query_Source_View!$A:$A,MATCH(ROW()-14,Query_Source_View!$Z:$Z,0)),"")</f>
        <v/>
      </c>
      <c r="B434" s="2" t="str">
        <f aca="false">IFERROR(INDEX(Query_Source_View!$D:$D,MATCH(ROW()-14,Query_Source_View!$Z:$Z,0)),"")</f>
        <v/>
      </c>
      <c r="C434" s="2" t="str">
        <f aca="false">IFERROR(INDEX(Query_Source_View!$F:$F,MATCH(ROW()-14,Query_Source_View!$Z:$Z,0)),"")</f>
        <v/>
      </c>
      <c r="D434" s="2" t="str">
        <f aca="false">IFERROR(INDEX(Query_Source_View!$H:$H,MATCH(ROW()-14,Query_Source_View!$Z:$Z,0)),"")</f>
        <v/>
      </c>
      <c r="E434" s="2" t="str">
        <f aca="false">IFERROR(INDEX(Query_Source_View!$J:$J,MATCH(ROW()-14,Query_Source_View!$Z:$Z,0)),"")</f>
        <v/>
      </c>
      <c r="F434" s="2" t="str">
        <f aca="false">IFERROR(INDEX(Query_Source_View!$L:$L,MATCH(ROW()-14,Query_Source_View!$Z:$Z,0)),"")</f>
        <v/>
      </c>
      <c r="G434" s="2" t="str">
        <f aca="false">IFERROR(INDEX(Query_Source_View!$N:$N,MATCH(ROW()-14,Query_Source_View!$Z:$Z,0)),"")</f>
        <v/>
      </c>
      <c r="H434" s="2" t="str">
        <f aca="false">IFERROR(INDEX(Query_Source_View!$P:$P,MATCH(ROW()-14,Query_Source_View!$Z:$Z,0)),"")</f>
        <v/>
      </c>
      <c r="I434" s="2" t="str">
        <f aca="false">IFERROR(INDEX(Query_Source_View!$Q:$Q,MATCH(ROW()-14,Query_Source_View!$Z:$Z,0)),"")</f>
        <v/>
      </c>
      <c r="J434" s="2" t="str">
        <f aca="false">IFERROR(INDEX(Query_Source_View!$R:$R,MATCH(ROW()-14,Query_Source_View!$Z:$Z,0)),"")</f>
        <v/>
      </c>
      <c r="K434" s="2" t="str">
        <f aca="false">IFERROR(INDEX(Query_Source_View!$T:$T,MATCH(ROW()-14,Query_Source_View!$Z:$Z,0)),"")</f>
        <v/>
      </c>
      <c r="L434" s="2" t="str">
        <f aca="false">IFERROR(INDEX(Query_Source_View!$U:$U,MATCH(ROW()-14,Query_Source_View!$Z:$Z,0)),"")</f>
        <v/>
      </c>
      <c r="M434" s="2" t="str">
        <f aca="false">IFERROR(INDEX(Query_Source_View!$V:$V,MATCH(ROW()-14,Query_Source_View!$Z:$Z,0)),"")</f>
        <v/>
      </c>
      <c r="N434" s="2" t="str">
        <f aca="false">IFERROR(INDEX(Query_Source_View!$W:$W,MATCH(ROW()-14,Query_Source_View!$Z:$Z,0)),"")</f>
        <v/>
      </c>
      <c r="O434" s="2" t="str">
        <f aca="false">IFERROR(INDEX(Query_Source_View!$X:$X,MATCH(ROW()-14,Query_Source_View!$Z:$Z,0)),"")</f>
        <v/>
      </c>
    </row>
    <row r="435" customFormat="false" ht="15" hidden="false" customHeight="false" outlineLevel="0" collapsed="false">
      <c r="A435" s="2" t="str">
        <f aca="false">IFERROR(INDEX(Query_Source_View!$A:$A,MATCH(ROW()-14,Query_Source_View!$Z:$Z,0)),"")</f>
        <v/>
      </c>
      <c r="B435" s="2" t="str">
        <f aca="false">IFERROR(INDEX(Query_Source_View!$D:$D,MATCH(ROW()-14,Query_Source_View!$Z:$Z,0)),"")</f>
        <v/>
      </c>
      <c r="C435" s="2" t="str">
        <f aca="false">IFERROR(INDEX(Query_Source_View!$F:$F,MATCH(ROW()-14,Query_Source_View!$Z:$Z,0)),"")</f>
        <v/>
      </c>
      <c r="D435" s="2" t="str">
        <f aca="false">IFERROR(INDEX(Query_Source_View!$H:$H,MATCH(ROW()-14,Query_Source_View!$Z:$Z,0)),"")</f>
        <v/>
      </c>
      <c r="E435" s="2" t="str">
        <f aca="false">IFERROR(INDEX(Query_Source_View!$J:$J,MATCH(ROW()-14,Query_Source_View!$Z:$Z,0)),"")</f>
        <v/>
      </c>
      <c r="F435" s="2" t="str">
        <f aca="false">IFERROR(INDEX(Query_Source_View!$L:$L,MATCH(ROW()-14,Query_Source_View!$Z:$Z,0)),"")</f>
        <v/>
      </c>
      <c r="G435" s="2" t="str">
        <f aca="false">IFERROR(INDEX(Query_Source_View!$N:$N,MATCH(ROW()-14,Query_Source_View!$Z:$Z,0)),"")</f>
        <v/>
      </c>
      <c r="H435" s="2" t="str">
        <f aca="false">IFERROR(INDEX(Query_Source_View!$P:$P,MATCH(ROW()-14,Query_Source_View!$Z:$Z,0)),"")</f>
        <v/>
      </c>
      <c r="I435" s="2" t="str">
        <f aca="false">IFERROR(INDEX(Query_Source_View!$Q:$Q,MATCH(ROW()-14,Query_Source_View!$Z:$Z,0)),"")</f>
        <v/>
      </c>
      <c r="J435" s="2" t="str">
        <f aca="false">IFERROR(INDEX(Query_Source_View!$R:$R,MATCH(ROW()-14,Query_Source_View!$Z:$Z,0)),"")</f>
        <v/>
      </c>
      <c r="K435" s="2" t="str">
        <f aca="false">IFERROR(INDEX(Query_Source_View!$T:$T,MATCH(ROW()-14,Query_Source_View!$Z:$Z,0)),"")</f>
        <v/>
      </c>
      <c r="L435" s="2" t="str">
        <f aca="false">IFERROR(INDEX(Query_Source_View!$U:$U,MATCH(ROW()-14,Query_Source_View!$Z:$Z,0)),"")</f>
        <v/>
      </c>
      <c r="M435" s="2" t="str">
        <f aca="false">IFERROR(INDEX(Query_Source_View!$V:$V,MATCH(ROW()-14,Query_Source_View!$Z:$Z,0)),"")</f>
        <v/>
      </c>
      <c r="N435" s="2" t="str">
        <f aca="false">IFERROR(INDEX(Query_Source_View!$W:$W,MATCH(ROW()-14,Query_Source_View!$Z:$Z,0)),"")</f>
        <v/>
      </c>
      <c r="O435" s="2" t="str">
        <f aca="false">IFERROR(INDEX(Query_Source_View!$X:$X,MATCH(ROW()-14,Query_Source_View!$Z:$Z,0)),"")</f>
        <v/>
      </c>
    </row>
    <row r="436" customFormat="false" ht="15" hidden="false" customHeight="false" outlineLevel="0" collapsed="false">
      <c r="A436" s="2" t="str">
        <f aca="false">IFERROR(INDEX(Query_Source_View!$A:$A,MATCH(ROW()-14,Query_Source_View!$Z:$Z,0)),"")</f>
        <v/>
      </c>
      <c r="B436" s="2" t="str">
        <f aca="false">IFERROR(INDEX(Query_Source_View!$D:$D,MATCH(ROW()-14,Query_Source_View!$Z:$Z,0)),"")</f>
        <v/>
      </c>
      <c r="C436" s="2" t="str">
        <f aca="false">IFERROR(INDEX(Query_Source_View!$F:$F,MATCH(ROW()-14,Query_Source_View!$Z:$Z,0)),"")</f>
        <v/>
      </c>
      <c r="D436" s="2" t="str">
        <f aca="false">IFERROR(INDEX(Query_Source_View!$H:$H,MATCH(ROW()-14,Query_Source_View!$Z:$Z,0)),"")</f>
        <v/>
      </c>
      <c r="E436" s="2" t="str">
        <f aca="false">IFERROR(INDEX(Query_Source_View!$J:$J,MATCH(ROW()-14,Query_Source_View!$Z:$Z,0)),"")</f>
        <v/>
      </c>
      <c r="F436" s="2" t="str">
        <f aca="false">IFERROR(INDEX(Query_Source_View!$L:$L,MATCH(ROW()-14,Query_Source_View!$Z:$Z,0)),"")</f>
        <v/>
      </c>
      <c r="G436" s="2" t="str">
        <f aca="false">IFERROR(INDEX(Query_Source_View!$N:$N,MATCH(ROW()-14,Query_Source_View!$Z:$Z,0)),"")</f>
        <v/>
      </c>
      <c r="H436" s="2" t="str">
        <f aca="false">IFERROR(INDEX(Query_Source_View!$P:$P,MATCH(ROW()-14,Query_Source_View!$Z:$Z,0)),"")</f>
        <v/>
      </c>
      <c r="I436" s="2" t="str">
        <f aca="false">IFERROR(INDEX(Query_Source_View!$Q:$Q,MATCH(ROW()-14,Query_Source_View!$Z:$Z,0)),"")</f>
        <v/>
      </c>
      <c r="J436" s="2" t="str">
        <f aca="false">IFERROR(INDEX(Query_Source_View!$R:$R,MATCH(ROW()-14,Query_Source_View!$Z:$Z,0)),"")</f>
        <v/>
      </c>
      <c r="K436" s="2" t="str">
        <f aca="false">IFERROR(INDEX(Query_Source_View!$T:$T,MATCH(ROW()-14,Query_Source_View!$Z:$Z,0)),"")</f>
        <v/>
      </c>
      <c r="L436" s="2" t="str">
        <f aca="false">IFERROR(INDEX(Query_Source_View!$U:$U,MATCH(ROW()-14,Query_Source_View!$Z:$Z,0)),"")</f>
        <v/>
      </c>
      <c r="M436" s="2" t="str">
        <f aca="false">IFERROR(INDEX(Query_Source_View!$V:$V,MATCH(ROW()-14,Query_Source_View!$Z:$Z,0)),"")</f>
        <v/>
      </c>
      <c r="N436" s="2" t="str">
        <f aca="false">IFERROR(INDEX(Query_Source_View!$W:$W,MATCH(ROW()-14,Query_Source_View!$Z:$Z,0)),"")</f>
        <v/>
      </c>
      <c r="O436" s="2" t="str">
        <f aca="false">IFERROR(INDEX(Query_Source_View!$X:$X,MATCH(ROW()-14,Query_Source_View!$Z:$Z,0)),"")</f>
        <v/>
      </c>
    </row>
    <row r="437" customFormat="false" ht="15" hidden="false" customHeight="false" outlineLevel="0" collapsed="false">
      <c r="A437" s="2" t="str">
        <f aca="false">IFERROR(INDEX(Query_Source_View!$A:$A,MATCH(ROW()-14,Query_Source_View!$Z:$Z,0)),"")</f>
        <v/>
      </c>
      <c r="B437" s="2" t="str">
        <f aca="false">IFERROR(INDEX(Query_Source_View!$D:$D,MATCH(ROW()-14,Query_Source_View!$Z:$Z,0)),"")</f>
        <v/>
      </c>
      <c r="C437" s="2" t="str">
        <f aca="false">IFERROR(INDEX(Query_Source_View!$F:$F,MATCH(ROW()-14,Query_Source_View!$Z:$Z,0)),"")</f>
        <v/>
      </c>
      <c r="D437" s="2" t="str">
        <f aca="false">IFERROR(INDEX(Query_Source_View!$H:$H,MATCH(ROW()-14,Query_Source_View!$Z:$Z,0)),"")</f>
        <v/>
      </c>
      <c r="E437" s="2" t="str">
        <f aca="false">IFERROR(INDEX(Query_Source_View!$J:$J,MATCH(ROW()-14,Query_Source_View!$Z:$Z,0)),"")</f>
        <v/>
      </c>
      <c r="F437" s="2" t="str">
        <f aca="false">IFERROR(INDEX(Query_Source_View!$L:$L,MATCH(ROW()-14,Query_Source_View!$Z:$Z,0)),"")</f>
        <v/>
      </c>
      <c r="G437" s="2" t="str">
        <f aca="false">IFERROR(INDEX(Query_Source_View!$N:$N,MATCH(ROW()-14,Query_Source_View!$Z:$Z,0)),"")</f>
        <v/>
      </c>
      <c r="H437" s="2" t="str">
        <f aca="false">IFERROR(INDEX(Query_Source_View!$P:$P,MATCH(ROW()-14,Query_Source_View!$Z:$Z,0)),"")</f>
        <v/>
      </c>
      <c r="I437" s="2" t="str">
        <f aca="false">IFERROR(INDEX(Query_Source_View!$Q:$Q,MATCH(ROW()-14,Query_Source_View!$Z:$Z,0)),"")</f>
        <v/>
      </c>
      <c r="J437" s="2" t="str">
        <f aca="false">IFERROR(INDEX(Query_Source_View!$R:$R,MATCH(ROW()-14,Query_Source_View!$Z:$Z,0)),"")</f>
        <v/>
      </c>
      <c r="K437" s="2" t="str">
        <f aca="false">IFERROR(INDEX(Query_Source_View!$T:$T,MATCH(ROW()-14,Query_Source_View!$Z:$Z,0)),"")</f>
        <v/>
      </c>
      <c r="L437" s="2" t="str">
        <f aca="false">IFERROR(INDEX(Query_Source_View!$U:$U,MATCH(ROW()-14,Query_Source_View!$Z:$Z,0)),"")</f>
        <v/>
      </c>
      <c r="M437" s="2" t="str">
        <f aca="false">IFERROR(INDEX(Query_Source_View!$V:$V,MATCH(ROW()-14,Query_Source_View!$Z:$Z,0)),"")</f>
        <v/>
      </c>
      <c r="N437" s="2" t="str">
        <f aca="false">IFERROR(INDEX(Query_Source_View!$W:$W,MATCH(ROW()-14,Query_Source_View!$Z:$Z,0)),"")</f>
        <v/>
      </c>
      <c r="O437" s="2" t="str">
        <f aca="false">IFERROR(INDEX(Query_Source_View!$X:$X,MATCH(ROW()-14,Query_Source_View!$Z:$Z,0)),"")</f>
        <v/>
      </c>
    </row>
    <row r="438" customFormat="false" ht="15" hidden="false" customHeight="false" outlineLevel="0" collapsed="false">
      <c r="A438" s="2" t="str">
        <f aca="false">IFERROR(INDEX(Query_Source_View!$A:$A,MATCH(ROW()-14,Query_Source_View!$Z:$Z,0)),"")</f>
        <v/>
      </c>
      <c r="B438" s="2" t="str">
        <f aca="false">IFERROR(INDEX(Query_Source_View!$D:$D,MATCH(ROW()-14,Query_Source_View!$Z:$Z,0)),"")</f>
        <v/>
      </c>
      <c r="C438" s="2" t="str">
        <f aca="false">IFERROR(INDEX(Query_Source_View!$F:$F,MATCH(ROW()-14,Query_Source_View!$Z:$Z,0)),"")</f>
        <v/>
      </c>
      <c r="D438" s="2" t="str">
        <f aca="false">IFERROR(INDEX(Query_Source_View!$H:$H,MATCH(ROW()-14,Query_Source_View!$Z:$Z,0)),"")</f>
        <v/>
      </c>
      <c r="E438" s="2" t="str">
        <f aca="false">IFERROR(INDEX(Query_Source_View!$J:$J,MATCH(ROW()-14,Query_Source_View!$Z:$Z,0)),"")</f>
        <v/>
      </c>
      <c r="F438" s="2" t="str">
        <f aca="false">IFERROR(INDEX(Query_Source_View!$L:$L,MATCH(ROW()-14,Query_Source_View!$Z:$Z,0)),"")</f>
        <v/>
      </c>
      <c r="G438" s="2" t="str">
        <f aca="false">IFERROR(INDEX(Query_Source_View!$N:$N,MATCH(ROW()-14,Query_Source_View!$Z:$Z,0)),"")</f>
        <v/>
      </c>
      <c r="H438" s="2" t="str">
        <f aca="false">IFERROR(INDEX(Query_Source_View!$P:$P,MATCH(ROW()-14,Query_Source_View!$Z:$Z,0)),"")</f>
        <v/>
      </c>
      <c r="I438" s="2" t="str">
        <f aca="false">IFERROR(INDEX(Query_Source_View!$Q:$Q,MATCH(ROW()-14,Query_Source_View!$Z:$Z,0)),"")</f>
        <v/>
      </c>
      <c r="J438" s="2" t="str">
        <f aca="false">IFERROR(INDEX(Query_Source_View!$R:$R,MATCH(ROW()-14,Query_Source_View!$Z:$Z,0)),"")</f>
        <v/>
      </c>
      <c r="K438" s="2" t="str">
        <f aca="false">IFERROR(INDEX(Query_Source_View!$T:$T,MATCH(ROW()-14,Query_Source_View!$Z:$Z,0)),"")</f>
        <v/>
      </c>
      <c r="L438" s="2" t="str">
        <f aca="false">IFERROR(INDEX(Query_Source_View!$U:$U,MATCH(ROW()-14,Query_Source_View!$Z:$Z,0)),"")</f>
        <v/>
      </c>
      <c r="M438" s="2" t="str">
        <f aca="false">IFERROR(INDEX(Query_Source_View!$V:$V,MATCH(ROW()-14,Query_Source_View!$Z:$Z,0)),"")</f>
        <v/>
      </c>
      <c r="N438" s="2" t="str">
        <f aca="false">IFERROR(INDEX(Query_Source_View!$W:$W,MATCH(ROW()-14,Query_Source_View!$Z:$Z,0)),"")</f>
        <v/>
      </c>
      <c r="O438" s="2" t="str">
        <f aca="false">IFERROR(INDEX(Query_Source_View!$X:$X,MATCH(ROW()-14,Query_Source_View!$Z:$Z,0)),"")</f>
        <v/>
      </c>
    </row>
    <row r="439" customFormat="false" ht="15" hidden="false" customHeight="false" outlineLevel="0" collapsed="false">
      <c r="A439" s="2" t="str">
        <f aca="false">IFERROR(INDEX(Query_Source_View!$A:$A,MATCH(ROW()-14,Query_Source_View!$Z:$Z,0)),"")</f>
        <v/>
      </c>
      <c r="B439" s="2" t="str">
        <f aca="false">IFERROR(INDEX(Query_Source_View!$D:$D,MATCH(ROW()-14,Query_Source_View!$Z:$Z,0)),"")</f>
        <v/>
      </c>
      <c r="C439" s="2" t="str">
        <f aca="false">IFERROR(INDEX(Query_Source_View!$F:$F,MATCH(ROW()-14,Query_Source_View!$Z:$Z,0)),"")</f>
        <v/>
      </c>
      <c r="D439" s="2" t="str">
        <f aca="false">IFERROR(INDEX(Query_Source_View!$H:$H,MATCH(ROW()-14,Query_Source_View!$Z:$Z,0)),"")</f>
        <v/>
      </c>
      <c r="E439" s="2" t="str">
        <f aca="false">IFERROR(INDEX(Query_Source_View!$J:$J,MATCH(ROW()-14,Query_Source_View!$Z:$Z,0)),"")</f>
        <v/>
      </c>
      <c r="F439" s="2" t="str">
        <f aca="false">IFERROR(INDEX(Query_Source_View!$L:$L,MATCH(ROW()-14,Query_Source_View!$Z:$Z,0)),"")</f>
        <v/>
      </c>
      <c r="G439" s="2" t="str">
        <f aca="false">IFERROR(INDEX(Query_Source_View!$N:$N,MATCH(ROW()-14,Query_Source_View!$Z:$Z,0)),"")</f>
        <v/>
      </c>
      <c r="H439" s="2" t="str">
        <f aca="false">IFERROR(INDEX(Query_Source_View!$P:$P,MATCH(ROW()-14,Query_Source_View!$Z:$Z,0)),"")</f>
        <v/>
      </c>
      <c r="I439" s="2" t="str">
        <f aca="false">IFERROR(INDEX(Query_Source_View!$Q:$Q,MATCH(ROW()-14,Query_Source_View!$Z:$Z,0)),"")</f>
        <v/>
      </c>
      <c r="J439" s="2" t="str">
        <f aca="false">IFERROR(INDEX(Query_Source_View!$R:$R,MATCH(ROW()-14,Query_Source_View!$Z:$Z,0)),"")</f>
        <v/>
      </c>
      <c r="K439" s="2" t="str">
        <f aca="false">IFERROR(INDEX(Query_Source_View!$T:$T,MATCH(ROW()-14,Query_Source_View!$Z:$Z,0)),"")</f>
        <v/>
      </c>
      <c r="L439" s="2" t="str">
        <f aca="false">IFERROR(INDEX(Query_Source_View!$U:$U,MATCH(ROW()-14,Query_Source_View!$Z:$Z,0)),"")</f>
        <v/>
      </c>
      <c r="M439" s="2" t="str">
        <f aca="false">IFERROR(INDEX(Query_Source_View!$V:$V,MATCH(ROW()-14,Query_Source_View!$Z:$Z,0)),"")</f>
        <v/>
      </c>
      <c r="N439" s="2" t="str">
        <f aca="false">IFERROR(INDEX(Query_Source_View!$W:$W,MATCH(ROW()-14,Query_Source_View!$Z:$Z,0)),"")</f>
        <v/>
      </c>
      <c r="O439" s="2" t="str">
        <f aca="false">IFERROR(INDEX(Query_Source_View!$X:$X,MATCH(ROW()-14,Query_Source_View!$Z:$Z,0)),"")</f>
        <v/>
      </c>
    </row>
    <row r="440" customFormat="false" ht="15" hidden="false" customHeight="false" outlineLevel="0" collapsed="false">
      <c r="A440" s="2" t="str">
        <f aca="false">IFERROR(INDEX(Query_Source_View!$A:$A,MATCH(ROW()-14,Query_Source_View!$Z:$Z,0)),"")</f>
        <v/>
      </c>
      <c r="B440" s="2" t="str">
        <f aca="false">IFERROR(INDEX(Query_Source_View!$D:$D,MATCH(ROW()-14,Query_Source_View!$Z:$Z,0)),"")</f>
        <v/>
      </c>
      <c r="C440" s="2" t="str">
        <f aca="false">IFERROR(INDEX(Query_Source_View!$F:$F,MATCH(ROW()-14,Query_Source_View!$Z:$Z,0)),"")</f>
        <v/>
      </c>
      <c r="D440" s="2" t="str">
        <f aca="false">IFERROR(INDEX(Query_Source_View!$H:$H,MATCH(ROW()-14,Query_Source_View!$Z:$Z,0)),"")</f>
        <v/>
      </c>
      <c r="E440" s="2" t="str">
        <f aca="false">IFERROR(INDEX(Query_Source_View!$J:$J,MATCH(ROW()-14,Query_Source_View!$Z:$Z,0)),"")</f>
        <v/>
      </c>
      <c r="F440" s="2" t="str">
        <f aca="false">IFERROR(INDEX(Query_Source_View!$L:$L,MATCH(ROW()-14,Query_Source_View!$Z:$Z,0)),"")</f>
        <v/>
      </c>
      <c r="G440" s="2" t="str">
        <f aca="false">IFERROR(INDEX(Query_Source_View!$N:$N,MATCH(ROW()-14,Query_Source_View!$Z:$Z,0)),"")</f>
        <v/>
      </c>
      <c r="H440" s="2" t="str">
        <f aca="false">IFERROR(INDEX(Query_Source_View!$P:$P,MATCH(ROW()-14,Query_Source_View!$Z:$Z,0)),"")</f>
        <v/>
      </c>
      <c r="I440" s="2" t="str">
        <f aca="false">IFERROR(INDEX(Query_Source_View!$Q:$Q,MATCH(ROW()-14,Query_Source_View!$Z:$Z,0)),"")</f>
        <v/>
      </c>
      <c r="J440" s="2" t="str">
        <f aca="false">IFERROR(INDEX(Query_Source_View!$R:$R,MATCH(ROW()-14,Query_Source_View!$Z:$Z,0)),"")</f>
        <v/>
      </c>
      <c r="K440" s="2" t="str">
        <f aca="false">IFERROR(INDEX(Query_Source_View!$T:$T,MATCH(ROW()-14,Query_Source_View!$Z:$Z,0)),"")</f>
        <v/>
      </c>
      <c r="L440" s="2" t="str">
        <f aca="false">IFERROR(INDEX(Query_Source_View!$U:$U,MATCH(ROW()-14,Query_Source_View!$Z:$Z,0)),"")</f>
        <v/>
      </c>
      <c r="M440" s="2" t="str">
        <f aca="false">IFERROR(INDEX(Query_Source_View!$V:$V,MATCH(ROW()-14,Query_Source_View!$Z:$Z,0)),"")</f>
        <v/>
      </c>
      <c r="N440" s="2" t="str">
        <f aca="false">IFERROR(INDEX(Query_Source_View!$W:$W,MATCH(ROW()-14,Query_Source_View!$Z:$Z,0)),"")</f>
        <v/>
      </c>
      <c r="O440" s="2" t="str">
        <f aca="false">IFERROR(INDEX(Query_Source_View!$X:$X,MATCH(ROW()-14,Query_Source_View!$Z:$Z,0)),"")</f>
        <v/>
      </c>
    </row>
    <row r="441" customFormat="false" ht="15" hidden="false" customHeight="false" outlineLevel="0" collapsed="false">
      <c r="A441" s="2" t="str">
        <f aca="false">IFERROR(INDEX(Query_Source_View!$A:$A,MATCH(ROW()-14,Query_Source_View!$Z:$Z,0)),"")</f>
        <v/>
      </c>
      <c r="B441" s="2" t="str">
        <f aca="false">IFERROR(INDEX(Query_Source_View!$D:$D,MATCH(ROW()-14,Query_Source_View!$Z:$Z,0)),"")</f>
        <v/>
      </c>
      <c r="C441" s="2" t="str">
        <f aca="false">IFERROR(INDEX(Query_Source_View!$F:$F,MATCH(ROW()-14,Query_Source_View!$Z:$Z,0)),"")</f>
        <v/>
      </c>
      <c r="D441" s="2" t="str">
        <f aca="false">IFERROR(INDEX(Query_Source_View!$H:$H,MATCH(ROW()-14,Query_Source_View!$Z:$Z,0)),"")</f>
        <v/>
      </c>
      <c r="E441" s="2" t="str">
        <f aca="false">IFERROR(INDEX(Query_Source_View!$J:$J,MATCH(ROW()-14,Query_Source_View!$Z:$Z,0)),"")</f>
        <v/>
      </c>
      <c r="F441" s="2" t="str">
        <f aca="false">IFERROR(INDEX(Query_Source_View!$L:$L,MATCH(ROW()-14,Query_Source_View!$Z:$Z,0)),"")</f>
        <v/>
      </c>
      <c r="G441" s="2" t="str">
        <f aca="false">IFERROR(INDEX(Query_Source_View!$N:$N,MATCH(ROW()-14,Query_Source_View!$Z:$Z,0)),"")</f>
        <v/>
      </c>
      <c r="H441" s="2" t="str">
        <f aca="false">IFERROR(INDEX(Query_Source_View!$P:$P,MATCH(ROW()-14,Query_Source_View!$Z:$Z,0)),"")</f>
        <v/>
      </c>
      <c r="I441" s="2" t="str">
        <f aca="false">IFERROR(INDEX(Query_Source_View!$Q:$Q,MATCH(ROW()-14,Query_Source_View!$Z:$Z,0)),"")</f>
        <v/>
      </c>
      <c r="J441" s="2" t="str">
        <f aca="false">IFERROR(INDEX(Query_Source_View!$R:$R,MATCH(ROW()-14,Query_Source_View!$Z:$Z,0)),"")</f>
        <v/>
      </c>
      <c r="K441" s="2" t="str">
        <f aca="false">IFERROR(INDEX(Query_Source_View!$T:$T,MATCH(ROW()-14,Query_Source_View!$Z:$Z,0)),"")</f>
        <v/>
      </c>
      <c r="L441" s="2" t="str">
        <f aca="false">IFERROR(INDEX(Query_Source_View!$U:$U,MATCH(ROW()-14,Query_Source_View!$Z:$Z,0)),"")</f>
        <v/>
      </c>
      <c r="M441" s="2" t="str">
        <f aca="false">IFERROR(INDEX(Query_Source_View!$V:$V,MATCH(ROW()-14,Query_Source_View!$Z:$Z,0)),"")</f>
        <v/>
      </c>
      <c r="N441" s="2" t="str">
        <f aca="false">IFERROR(INDEX(Query_Source_View!$W:$W,MATCH(ROW()-14,Query_Source_View!$Z:$Z,0)),"")</f>
        <v/>
      </c>
      <c r="O441" s="2" t="str">
        <f aca="false">IFERROR(INDEX(Query_Source_View!$X:$X,MATCH(ROW()-14,Query_Source_View!$Z:$Z,0)),"")</f>
        <v/>
      </c>
    </row>
    <row r="442" customFormat="false" ht="15" hidden="false" customHeight="false" outlineLevel="0" collapsed="false">
      <c r="A442" s="2" t="str">
        <f aca="false">IFERROR(INDEX(Query_Source_View!$A:$A,MATCH(ROW()-14,Query_Source_View!$Z:$Z,0)),"")</f>
        <v/>
      </c>
      <c r="B442" s="2" t="str">
        <f aca="false">IFERROR(INDEX(Query_Source_View!$D:$D,MATCH(ROW()-14,Query_Source_View!$Z:$Z,0)),"")</f>
        <v/>
      </c>
      <c r="C442" s="2" t="str">
        <f aca="false">IFERROR(INDEX(Query_Source_View!$F:$F,MATCH(ROW()-14,Query_Source_View!$Z:$Z,0)),"")</f>
        <v/>
      </c>
      <c r="D442" s="2" t="str">
        <f aca="false">IFERROR(INDEX(Query_Source_View!$H:$H,MATCH(ROW()-14,Query_Source_View!$Z:$Z,0)),"")</f>
        <v/>
      </c>
      <c r="E442" s="2" t="str">
        <f aca="false">IFERROR(INDEX(Query_Source_View!$J:$J,MATCH(ROW()-14,Query_Source_View!$Z:$Z,0)),"")</f>
        <v/>
      </c>
      <c r="F442" s="2" t="str">
        <f aca="false">IFERROR(INDEX(Query_Source_View!$L:$L,MATCH(ROW()-14,Query_Source_View!$Z:$Z,0)),"")</f>
        <v/>
      </c>
      <c r="G442" s="2" t="str">
        <f aca="false">IFERROR(INDEX(Query_Source_View!$N:$N,MATCH(ROW()-14,Query_Source_View!$Z:$Z,0)),"")</f>
        <v/>
      </c>
      <c r="H442" s="2" t="str">
        <f aca="false">IFERROR(INDEX(Query_Source_View!$P:$P,MATCH(ROW()-14,Query_Source_View!$Z:$Z,0)),"")</f>
        <v/>
      </c>
      <c r="I442" s="2" t="str">
        <f aca="false">IFERROR(INDEX(Query_Source_View!$Q:$Q,MATCH(ROW()-14,Query_Source_View!$Z:$Z,0)),"")</f>
        <v/>
      </c>
      <c r="J442" s="2" t="str">
        <f aca="false">IFERROR(INDEX(Query_Source_View!$R:$R,MATCH(ROW()-14,Query_Source_View!$Z:$Z,0)),"")</f>
        <v/>
      </c>
      <c r="K442" s="2" t="str">
        <f aca="false">IFERROR(INDEX(Query_Source_View!$T:$T,MATCH(ROW()-14,Query_Source_View!$Z:$Z,0)),"")</f>
        <v/>
      </c>
      <c r="L442" s="2" t="str">
        <f aca="false">IFERROR(INDEX(Query_Source_View!$U:$U,MATCH(ROW()-14,Query_Source_View!$Z:$Z,0)),"")</f>
        <v/>
      </c>
      <c r="M442" s="2" t="str">
        <f aca="false">IFERROR(INDEX(Query_Source_View!$V:$V,MATCH(ROW()-14,Query_Source_View!$Z:$Z,0)),"")</f>
        <v/>
      </c>
      <c r="N442" s="2" t="str">
        <f aca="false">IFERROR(INDEX(Query_Source_View!$W:$W,MATCH(ROW()-14,Query_Source_View!$Z:$Z,0)),"")</f>
        <v/>
      </c>
      <c r="O442" s="2" t="str">
        <f aca="false">IFERROR(INDEX(Query_Source_View!$X:$X,MATCH(ROW()-14,Query_Source_View!$Z:$Z,0)),"")</f>
        <v/>
      </c>
    </row>
    <row r="443" customFormat="false" ht="15" hidden="false" customHeight="false" outlineLevel="0" collapsed="false">
      <c r="A443" s="2" t="str">
        <f aca="false">IFERROR(INDEX(Query_Source_View!$A:$A,MATCH(ROW()-14,Query_Source_View!$Z:$Z,0)),"")</f>
        <v/>
      </c>
      <c r="B443" s="2" t="str">
        <f aca="false">IFERROR(INDEX(Query_Source_View!$D:$D,MATCH(ROW()-14,Query_Source_View!$Z:$Z,0)),"")</f>
        <v/>
      </c>
      <c r="C443" s="2" t="str">
        <f aca="false">IFERROR(INDEX(Query_Source_View!$F:$F,MATCH(ROW()-14,Query_Source_View!$Z:$Z,0)),"")</f>
        <v/>
      </c>
      <c r="D443" s="2" t="str">
        <f aca="false">IFERROR(INDEX(Query_Source_View!$H:$H,MATCH(ROW()-14,Query_Source_View!$Z:$Z,0)),"")</f>
        <v/>
      </c>
      <c r="E443" s="2" t="str">
        <f aca="false">IFERROR(INDEX(Query_Source_View!$J:$J,MATCH(ROW()-14,Query_Source_View!$Z:$Z,0)),"")</f>
        <v/>
      </c>
      <c r="F443" s="2" t="str">
        <f aca="false">IFERROR(INDEX(Query_Source_View!$L:$L,MATCH(ROW()-14,Query_Source_View!$Z:$Z,0)),"")</f>
        <v/>
      </c>
      <c r="G443" s="2" t="str">
        <f aca="false">IFERROR(INDEX(Query_Source_View!$N:$N,MATCH(ROW()-14,Query_Source_View!$Z:$Z,0)),"")</f>
        <v/>
      </c>
      <c r="H443" s="2" t="str">
        <f aca="false">IFERROR(INDEX(Query_Source_View!$P:$P,MATCH(ROW()-14,Query_Source_View!$Z:$Z,0)),"")</f>
        <v/>
      </c>
      <c r="I443" s="2" t="str">
        <f aca="false">IFERROR(INDEX(Query_Source_View!$Q:$Q,MATCH(ROW()-14,Query_Source_View!$Z:$Z,0)),"")</f>
        <v/>
      </c>
      <c r="J443" s="2" t="str">
        <f aca="false">IFERROR(INDEX(Query_Source_View!$R:$R,MATCH(ROW()-14,Query_Source_View!$Z:$Z,0)),"")</f>
        <v/>
      </c>
      <c r="K443" s="2" t="str">
        <f aca="false">IFERROR(INDEX(Query_Source_View!$T:$T,MATCH(ROW()-14,Query_Source_View!$Z:$Z,0)),"")</f>
        <v/>
      </c>
      <c r="L443" s="2" t="str">
        <f aca="false">IFERROR(INDEX(Query_Source_View!$U:$U,MATCH(ROW()-14,Query_Source_View!$Z:$Z,0)),"")</f>
        <v/>
      </c>
      <c r="M443" s="2" t="str">
        <f aca="false">IFERROR(INDEX(Query_Source_View!$V:$V,MATCH(ROW()-14,Query_Source_View!$Z:$Z,0)),"")</f>
        <v/>
      </c>
      <c r="N443" s="2" t="str">
        <f aca="false">IFERROR(INDEX(Query_Source_View!$W:$W,MATCH(ROW()-14,Query_Source_View!$Z:$Z,0)),"")</f>
        <v/>
      </c>
      <c r="O443" s="2" t="str">
        <f aca="false">IFERROR(INDEX(Query_Source_View!$X:$X,MATCH(ROW()-14,Query_Source_View!$Z:$Z,0)),"")</f>
        <v/>
      </c>
    </row>
    <row r="444" customFormat="false" ht="15" hidden="false" customHeight="false" outlineLevel="0" collapsed="false">
      <c r="A444" s="2" t="str">
        <f aca="false">IFERROR(INDEX(Query_Source_View!$A:$A,MATCH(ROW()-14,Query_Source_View!$Z:$Z,0)),"")</f>
        <v/>
      </c>
      <c r="B444" s="2" t="str">
        <f aca="false">IFERROR(INDEX(Query_Source_View!$D:$D,MATCH(ROW()-14,Query_Source_View!$Z:$Z,0)),"")</f>
        <v/>
      </c>
      <c r="C444" s="2" t="str">
        <f aca="false">IFERROR(INDEX(Query_Source_View!$F:$F,MATCH(ROW()-14,Query_Source_View!$Z:$Z,0)),"")</f>
        <v/>
      </c>
      <c r="D444" s="2" t="str">
        <f aca="false">IFERROR(INDEX(Query_Source_View!$H:$H,MATCH(ROW()-14,Query_Source_View!$Z:$Z,0)),"")</f>
        <v/>
      </c>
      <c r="E444" s="2" t="str">
        <f aca="false">IFERROR(INDEX(Query_Source_View!$J:$J,MATCH(ROW()-14,Query_Source_View!$Z:$Z,0)),"")</f>
        <v/>
      </c>
      <c r="F444" s="2" t="str">
        <f aca="false">IFERROR(INDEX(Query_Source_View!$L:$L,MATCH(ROW()-14,Query_Source_View!$Z:$Z,0)),"")</f>
        <v/>
      </c>
      <c r="G444" s="2" t="str">
        <f aca="false">IFERROR(INDEX(Query_Source_View!$N:$N,MATCH(ROW()-14,Query_Source_View!$Z:$Z,0)),"")</f>
        <v/>
      </c>
      <c r="H444" s="2" t="str">
        <f aca="false">IFERROR(INDEX(Query_Source_View!$P:$P,MATCH(ROW()-14,Query_Source_View!$Z:$Z,0)),"")</f>
        <v/>
      </c>
      <c r="I444" s="2" t="str">
        <f aca="false">IFERROR(INDEX(Query_Source_View!$Q:$Q,MATCH(ROW()-14,Query_Source_View!$Z:$Z,0)),"")</f>
        <v/>
      </c>
      <c r="J444" s="2" t="str">
        <f aca="false">IFERROR(INDEX(Query_Source_View!$R:$R,MATCH(ROW()-14,Query_Source_View!$Z:$Z,0)),"")</f>
        <v/>
      </c>
      <c r="K444" s="2" t="str">
        <f aca="false">IFERROR(INDEX(Query_Source_View!$T:$T,MATCH(ROW()-14,Query_Source_View!$Z:$Z,0)),"")</f>
        <v/>
      </c>
      <c r="L444" s="2" t="str">
        <f aca="false">IFERROR(INDEX(Query_Source_View!$U:$U,MATCH(ROW()-14,Query_Source_View!$Z:$Z,0)),"")</f>
        <v/>
      </c>
      <c r="M444" s="2" t="str">
        <f aca="false">IFERROR(INDEX(Query_Source_View!$V:$V,MATCH(ROW()-14,Query_Source_View!$Z:$Z,0)),"")</f>
        <v/>
      </c>
      <c r="N444" s="2" t="str">
        <f aca="false">IFERROR(INDEX(Query_Source_View!$W:$W,MATCH(ROW()-14,Query_Source_View!$Z:$Z,0)),"")</f>
        <v/>
      </c>
      <c r="O444" s="2" t="str">
        <f aca="false">IFERROR(INDEX(Query_Source_View!$X:$X,MATCH(ROW()-14,Query_Source_View!$Z:$Z,0)),"")</f>
        <v/>
      </c>
    </row>
    <row r="445" customFormat="false" ht="15" hidden="false" customHeight="false" outlineLevel="0" collapsed="false">
      <c r="A445" s="2" t="str">
        <f aca="false">IFERROR(INDEX(Query_Source_View!$A:$A,MATCH(ROW()-14,Query_Source_View!$Z:$Z,0)),"")</f>
        <v/>
      </c>
      <c r="B445" s="2" t="str">
        <f aca="false">IFERROR(INDEX(Query_Source_View!$D:$D,MATCH(ROW()-14,Query_Source_View!$Z:$Z,0)),"")</f>
        <v/>
      </c>
      <c r="C445" s="2" t="str">
        <f aca="false">IFERROR(INDEX(Query_Source_View!$F:$F,MATCH(ROW()-14,Query_Source_View!$Z:$Z,0)),"")</f>
        <v/>
      </c>
      <c r="D445" s="2" t="str">
        <f aca="false">IFERROR(INDEX(Query_Source_View!$H:$H,MATCH(ROW()-14,Query_Source_View!$Z:$Z,0)),"")</f>
        <v/>
      </c>
      <c r="E445" s="2" t="str">
        <f aca="false">IFERROR(INDEX(Query_Source_View!$J:$J,MATCH(ROW()-14,Query_Source_View!$Z:$Z,0)),"")</f>
        <v/>
      </c>
      <c r="F445" s="2" t="str">
        <f aca="false">IFERROR(INDEX(Query_Source_View!$L:$L,MATCH(ROW()-14,Query_Source_View!$Z:$Z,0)),"")</f>
        <v/>
      </c>
      <c r="G445" s="2" t="str">
        <f aca="false">IFERROR(INDEX(Query_Source_View!$N:$N,MATCH(ROW()-14,Query_Source_View!$Z:$Z,0)),"")</f>
        <v/>
      </c>
      <c r="H445" s="2" t="str">
        <f aca="false">IFERROR(INDEX(Query_Source_View!$P:$P,MATCH(ROW()-14,Query_Source_View!$Z:$Z,0)),"")</f>
        <v/>
      </c>
      <c r="I445" s="2" t="str">
        <f aca="false">IFERROR(INDEX(Query_Source_View!$Q:$Q,MATCH(ROW()-14,Query_Source_View!$Z:$Z,0)),"")</f>
        <v/>
      </c>
      <c r="J445" s="2" t="str">
        <f aca="false">IFERROR(INDEX(Query_Source_View!$R:$R,MATCH(ROW()-14,Query_Source_View!$Z:$Z,0)),"")</f>
        <v/>
      </c>
      <c r="K445" s="2" t="str">
        <f aca="false">IFERROR(INDEX(Query_Source_View!$T:$T,MATCH(ROW()-14,Query_Source_View!$Z:$Z,0)),"")</f>
        <v/>
      </c>
      <c r="L445" s="2" t="str">
        <f aca="false">IFERROR(INDEX(Query_Source_View!$U:$U,MATCH(ROW()-14,Query_Source_View!$Z:$Z,0)),"")</f>
        <v/>
      </c>
      <c r="M445" s="2" t="str">
        <f aca="false">IFERROR(INDEX(Query_Source_View!$V:$V,MATCH(ROW()-14,Query_Source_View!$Z:$Z,0)),"")</f>
        <v/>
      </c>
      <c r="N445" s="2" t="str">
        <f aca="false">IFERROR(INDEX(Query_Source_View!$W:$W,MATCH(ROW()-14,Query_Source_View!$Z:$Z,0)),"")</f>
        <v/>
      </c>
      <c r="O445" s="2" t="str">
        <f aca="false">IFERROR(INDEX(Query_Source_View!$X:$X,MATCH(ROW()-14,Query_Source_View!$Z:$Z,0)),"")</f>
        <v/>
      </c>
    </row>
    <row r="446" customFormat="false" ht="15" hidden="false" customHeight="false" outlineLevel="0" collapsed="false">
      <c r="A446" s="2" t="str">
        <f aca="false">IFERROR(INDEX(Query_Source_View!$A:$A,MATCH(ROW()-14,Query_Source_View!$Z:$Z,0)),"")</f>
        <v/>
      </c>
      <c r="B446" s="2" t="str">
        <f aca="false">IFERROR(INDEX(Query_Source_View!$D:$D,MATCH(ROW()-14,Query_Source_View!$Z:$Z,0)),"")</f>
        <v/>
      </c>
      <c r="C446" s="2" t="str">
        <f aca="false">IFERROR(INDEX(Query_Source_View!$F:$F,MATCH(ROW()-14,Query_Source_View!$Z:$Z,0)),"")</f>
        <v/>
      </c>
      <c r="D446" s="2" t="str">
        <f aca="false">IFERROR(INDEX(Query_Source_View!$H:$H,MATCH(ROW()-14,Query_Source_View!$Z:$Z,0)),"")</f>
        <v/>
      </c>
      <c r="E446" s="2" t="str">
        <f aca="false">IFERROR(INDEX(Query_Source_View!$J:$J,MATCH(ROW()-14,Query_Source_View!$Z:$Z,0)),"")</f>
        <v/>
      </c>
      <c r="F446" s="2" t="str">
        <f aca="false">IFERROR(INDEX(Query_Source_View!$L:$L,MATCH(ROW()-14,Query_Source_View!$Z:$Z,0)),"")</f>
        <v/>
      </c>
      <c r="G446" s="2" t="str">
        <f aca="false">IFERROR(INDEX(Query_Source_View!$N:$N,MATCH(ROW()-14,Query_Source_View!$Z:$Z,0)),"")</f>
        <v/>
      </c>
      <c r="H446" s="2" t="str">
        <f aca="false">IFERROR(INDEX(Query_Source_View!$P:$P,MATCH(ROW()-14,Query_Source_View!$Z:$Z,0)),"")</f>
        <v/>
      </c>
      <c r="I446" s="2" t="str">
        <f aca="false">IFERROR(INDEX(Query_Source_View!$Q:$Q,MATCH(ROW()-14,Query_Source_View!$Z:$Z,0)),"")</f>
        <v/>
      </c>
      <c r="J446" s="2" t="str">
        <f aca="false">IFERROR(INDEX(Query_Source_View!$R:$R,MATCH(ROW()-14,Query_Source_View!$Z:$Z,0)),"")</f>
        <v/>
      </c>
      <c r="K446" s="2" t="str">
        <f aca="false">IFERROR(INDEX(Query_Source_View!$T:$T,MATCH(ROW()-14,Query_Source_View!$Z:$Z,0)),"")</f>
        <v/>
      </c>
      <c r="L446" s="2" t="str">
        <f aca="false">IFERROR(INDEX(Query_Source_View!$U:$U,MATCH(ROW()-14,Query_Source_View!$Z:$Z,0)),"")</f>
        <v/>
      </c>
      <c r="M446" s="2" t="str">
        <f aca="false">IFERROR(INDEX(Query_Source_View!$V:$V,MATCH(ROW()-14,Query_Source_View!$Z:$Z,0)),"")</f>
        <v/>
      </c>
      <c r="N446" s="2" t="str">
        <f aca="false">IFERROR(INDEX(Query_Source_View!$W:$W,MATCH(ROW()-14,Query_Source_View!$Z:$Z,0)),"")</f>
        <v/>
      </c>
      <c r="O446" s="2" t="str">
        <f aca="false">IFERROR(INDEX(Query_Source_View!$X:$X,MATCH(ROW()-14,Query_Source_View!$Z:$Z,0)),"")</f>
        <v/>
      </c>
    </row>
    <row r="447" customFormat="false" ht="15" hidden="false" customHeight="false" outlineLevel="0" collapsed="false">
      <c r="A447" s="2" t="str">
        <f aca="false">IFERROR(INDEX(Query_Source_View!$A:$A,MATCH(ROW()-14,Query_Source_View!$Z:$Z,0)),"")</f>
        <v/>
      </c>
      <c r="B447" s="2" t="str">
        <f aca="false">IFERROR(INDEX(Query_Source_View!$D:$D,MATCH(ROW()-14,Query_Source_View!$Z:$Z,0)),"")</f>
        <v/>
      </c>
      <c r="C447" s="2" t="str">
        <f aca="false">IFERROR(INDEX(Query_Source_View!$F:$F,MATCH(ROW()-14,Query_Source_View!$Z:$Z,0)),"")</f>
        <v/>
      </c>
      <c r="D447" s="2" t="str">
        <f aca="false">IFERROR(INDEX(Query_Source_View!$H:$H,MATCH(ROW()-14,Query_Source_View!$Z:$Z,0)),"")</f>
        <v/>
      </c>
      <c r="E447" s="2" t="str">
        <f aca="false">IFERROR(INDEX(Query_Source_View!$J:$J,MATCH(ROW()-14,Query_Source_View!$Z:$Z,0)),"")</f>
        <v/>
      </c>
      <c r="F447" s="2" t="str">
        <f aca="false">IFERROR(INDEX(Query_Source_View!$L:$L,MATCH(ROW()-14,Query_Source_View!$Z:$Z,0)),"")</f>
        <v/>
      </c>
      <c r="G447" s="2" t="str">
        <f aca="false">IFERROR(INDEX(Query_Source_View!$N:$N,MATCH(ROW()-14,Query_Source_View!$Z:$Z,0)),"")</f>
        <v/>
      </c>
      <c r="H447" s="2" t="str">
        <f aca="false">IFERROR(INDEX(Query_Source_View!$P:$P,MATCH(ROW()-14,Query_Source_View!$Z:$Z,0)),"")</f>
        <v/>
      </c>
      <c r="I447" s="2" t="str">
        <f aca="false">IFERROR(INDEX(Query_Source_View!$Q:$Q,MATCH(ROW()-14,Query_Source_View!$Z:$Z,0)),"")</f>
        <v/>
      </c>
      <c r="J447" s="2" t="str">
        <f aca="false">IFERROR(INDEX(Query_Source_View!$R:$R,MATCH(ROW()-14,Query_Source_View!$Z:$Z,0)),"")</f>
        <v/>
      </c>
      <c r="K447" s="2" t="str">
        <f aca="false">IFERROR(INDEX(Query_Source_View!$T:$T,MATCH(ROW()-14,Query_Source_View!$Z:$Z,0)),"")</f>
        <v/>
      </c>
      <c r="L447" s="2" t="str">
        <f aca="false">IFERROR(INDEX(Query_Source_View!$U:$U,MATCH(ROW()-14,Query_Source_View!$Z:$Z,0)),"")</f>
        <v/>
      </c>
      <c r="M447" s="2" t="str">
        <f aca="false">IFERROR(INDEX(Query_Source_View!$V:$V,MATCH(ROW()-14,Query_Source_View!$Z:$Z,0)),"")</f>
        <v/>
      </c>
      <c r="N447" s="2" t="str">
        <f aca="false">IFERROR(INDEX(Query_Source_View!$W:$W,MATCH(ROW()-14,Query_Source_View!$Z:$Z,0)),"")</f>
        <v/>
      </c>
      <c r="O447" s="2" t="str">
        <f aca="false">IFERROR(INDEX(Query_Source_View!$X:$X,MATCH(ROW()-14,Query_Source_View!$Z:$Z,0)),"")</f>
        <v/>
      </c>
    </row>
    <row r="448" customFormat="false" ht="15" hidden="false" customHeight="false" outlineLevel="0" collapsed="false">
      <c r="A448" s="2" t="str">
        <f aca="false">IFERROR(INDEX(Query_Source_View!$A:$A,MATCH(ROW()-14,Query_Source_View!$Z:$Z,0)),"")</f>
        <v/>
      </c>
      <c r="B448" s="2" t="str">
        <f aca="false">IFERROR(INDEX(Query_Source_View!$D:$D,MATCH(ROW()-14,Query_Source_View!$Z:$Z,0)),"")</f>
        <v/>
      </c>
      <c r="C448" s="2" t="str">
        <f aca="false">IFERROR(INDEX(Query_Source_View!$F:$F,MATCH(ROW()-14,Query_Source_View!$Z:$Z,0)),"")</f>
        <v/>
      </c>
      <c r="D448" s="2" t="str">
        <f aca="false">IFERROR(INDEX(Query_Source_View!$H:$H,MATCH(ROW()-14,Query_Source_View!$Z:$Z,0)),"")</f>
        <v/>
      </c>
      <c r="E448" s="2" t="str">
        <f aca="false">IFERROR(INDEX(Query_Source_View!$J:$J,MATCH(ROW()-14,Query_Source_View!$Z:$Z,0)),"")</f>
        <v/>
      </c>
      <c r="F448" s="2" t="str">
        <f aca="false">IFERROR(INDEX(Query_Source_View!$L:$L,MATCH(ROW()-14,Query_Source_View!$Z:$Z,0)),"")</f>
        <v/>
      </c>
      <c r="G448" s="2" t="str">
        <f aca="false">IFERROR(INDEX(Query_Source_View!$N:$N,MATCH(ROW()-14,Query_Source_View!$Z:$Z,0)),"")</f>
        <v/>
      </c>
      <c r="H448" s="2" t="str">
        <f aca="false">IFERROR(INDEX(Query_Source_View!$P:$P,MATCH(ROW()-14,Query_Source_View!$Z:$Z,0)),"")</f>
        <v/>
      </c>
      <c r="I448" s="2" t="str">
        <f aca="false">IFERROR(INDEX(Query_Source_View!$Q:$Q,MATCH(ROW()-14,Query_Source_View!$Z:$Z,0)),"")</f>
        <v/>
      </c>
      <c r="J448" s="2" t="str">
        <f aca="false">IFERROR(INDEX(Query_Source_View!$R:$R,MATCH(ROW()-14,Query_Source_View!$Z:$Z,0)),"")</f>
        <v/>
      </c>
      <c r="K448" s="2" t="str">
        <f aca="false">IFERROR(INDEX(Query_Source_View!$T:$T,MATCH(ROW()-14,Query_Source_View!$Z:$Z,0)),"")</f>
        <v/>
      </c>
      <c r="L448" s="2" t="str">
        <f aca="false">IFERROR(INDEX(Query_Source_View!$U:$U,MATCH(ROW()-14,Query_Source_View!$Z:$Z,0)),"")</f>
        <v/>
      </c>
      <c r="M448" s="2" t="str">
        <f aca="false">IFERROR(INDEX(Query_Source_View!$V:$V,MATCH(ROW()-14,Query_Source_View!$Z:$Z,0)),"")</f>
        <v/>
      </c>
      <c r="N448" s="2" t="str">
        <f aca="false">IFERROR(INDEX(Query_Source_View!$W:$W,MATCH(ROW()-14,Query_Source_View!$Z:$Z,0)),"")</f>
        <v/>
      </c>
      <c r="O448" s="2" t="str">
        <f aca="false">IFERROR(INDEX(Query_Source_View!$X:$X,MATCH(ROW()-14,Query_Source_View!$Z:$Z,0)),"")</f>
        <v/>
      </c>
    </row>
    <row r="449" customFormat="false" ht="15" hidden="false" customHeight="false" outlineLevel="0" collapsed="false">
      <c r="A449" s="2" t="str">
        <f aca="false">IFERROR(INDEX(Query_Source_View!$A:$A,MATCH(ROW()-14,Query_Source_View!$Z:$Z,0)),"")</f>
        <v/>
      </c>
      <c r="B449" s="2" t="str">
        <f aca="false">IFERROR(INDEX(Query_Source_View!$D:$D,MATCH(ROW()-14,Query_Source_View!$Z:$Z,0)),"")</f>
        <v/>
      </c>
      <c r="C449" s="2" t="str">
        <f aca="false">IFERROR(INDEX(Query_Source_View!$F:$F,MATCH(ROW()-14,Query_Source_View!$Z:$Z,0)),"")</f>
        <v/>
      </c>
      <c r="D449" s="2" t="str">
        <f aca="false">IFERROR(INDEX(Query_Source_View!$H:$H,MATCH(ROW()-14,Query_Source_View!$Z:$Z,0)),"")</f>
        <v/>
      </c>
      <c r="E449" s="2" t="str">
        <f aca="false">IFERROR(INDEX(Query_Source_View!$J:$J,MATCH(ROW()-14,Query_Source_View!$Z:$Z,0)),"")</f>
        <v/>
      </c>
      <c r="F449" s="2" t="str">
        <f aca="false">IFERROR(INDEX(Query_Source_View!$L:$L,MATCH(ROW()-14,Query_Source_View!$Z:$Z,0)),"")</f>
        <v/>
      </c>
      <c r="G449" s="2" t="str">
        <f aca="false">IFERROR(INDEX(Query_Source_View!$N:$N,MATCH(ROW()-14,Query_Source_View!$Z:$Z,0)),"")</f>
        <v/>
      </c>
      <c r="H449" s="2" t="str">
        <f aca="false">IFERROR(INDEX(Query_Source_View!$P:$P,MATCH(ROW()-14,Query_Source_View!$Z:$Z,0)),"")</f>
        <v/>
      </c>
      <c r="I449" s="2" t="str">
        <f aca="false">IFERROR(INDEX(Query_Source_View!$Q:$Q,MATCH(ROW()-14,Query_Source_View!$Z:$Z,0)),"")</f>
        <v/>
      </c>
      <c r="J449" s="2" t="str">
        <f aca="false">IFERROR(INDEX(Query_Source_View!$R:$R,MATCH(ROW()-14,Query_Source_View!$Z:$Z,0)),"")</f>
        <v/>
      </c>
      <c r="K449" s="2" t="str">
        <f aca="false">IFERROR(INDEX(Query_Source_View!$T:$T,MATCH(ROW()-14,Query_Source_View!$Z:$Z,0)),"")</f>
        <v/>
      </c>
      <c r="L449" s="2" t="str">
        <f aca="false">IFERROR(INDEX(Query_Source_View!$U:$U,MATCH(ROW()-14,Query_Source_View!$Z:$Z,0)),"")</f>
        <v/>
      </c>
      <c r="M449" s="2" t="str">
        <f aca="false">IFERROR(INDEX(Query_Source_View!$V:$V,MATCH(ROW()-14,Query_Source_View!$Z:$Z,0)),"")</f>
        <v/>
      </c>
      <c r="N449" s="2" t="str">
        <f aca="false">IFERROR(INDEX(Query_Source_View!$W:$W,MATCH(ROW()-14,Query_Source_View!$Z:$Z,0)),"")</f>
        <v/>
      </c>
      <c r="O449" s="2" t="str">
        <f aca="false">IFERROR(INDEX(Query_Source_View!$X:$X,MATCH(ROW()-14,Query_Source_View!$Z:$Z,0)),"")</f>
        <v/>
      </c>
    </row>
    <row r="450" customFormat="false" ht="15" hidden="false" customHeight="false" outlineLevel="0" collapsed="false">
      <c r="A450" s="2" t="str">
        <f aca="false">IFERROR(INDEX(Query_Source_View!$A:$A,MATCH(ROW()-14,Query_Source_View!$Z:$Z,0)),"")</f>
        <v/>
      </c>
      <c r="B450" s="2" t="str">
        <f aca="false">IFERROR(INDEX(Query_Source_View!$D:$D,MATCH(ROW()-14,Query_Source_View!$Z:$Z,0)),"")</f>
        <v/>
      </c>
      <c r="C450" s="2" t="str">
        <f aca="false">IFERROR(INDEX(Query_Source_View!$F:$F,MATCH(ROW()-14,Query_Source_View!$Z:$Z,0)),"")</f>
        <v/>
      </c>
      <c r="D450" s="2" t="str">
        <f aca="false">IFERROR(INDEX(Query_Source_View!$H:$H,MATCH(ROW()-14,Query_Source_View!$Z:$Z,0)),"")</f>
        <v/>
      </c>
      <c r="E450" s="2" t="str">
        <f aca="false">IFERROR(INDEX(Query_Source_View!$J:$J,MATCH(ROW()-14,Query_Source_View!$Z:$Z,0)),"")</f>
        <v/>
      </c>
      <c r="F450" s="2" t="str">
        <f aca="false">IFERROR(INDEX(Query_Source_View!$L:$L,MATCH(ROW()-14,Query_Source_View!$Z:$Z,0)),"")</f>
        <v/>
      </c>
      <c r="G450" s="2" t="str">
        <f aca="false">IFERROR(INDEX(Query_Source_View!$N:$N,MATCH(ROW()-14,Query_Source_View!$Z:$Z,0)),"")</f>
        <v/>
      </c>
      <c r="H450" s="2" t="str">
        <f aca="false">IFERROR(INDEX(Query_Source_View!$P:$P,MATCH(ROW()-14,Query_Source_View!$Z:$Z,0)),"")</f>
        <v/>
      </c>
      <c r="I450" s="2" t="str">
        <f aca="false">IFERROR(INDEX(Query_Source_View!$Q:$Q,MATCH(ROW()-14,Query_Source_View!$Z:$Z,0)),"")</f>
        <v/>
      </c>
      <c r="J450" s="2" t="str">
        <f aca="false">IFERROR(INDEX(Query_Source_View!$R:$R,MATCH(ROW()-14,Query_Source_View!$Z:$Z,0)),"")</f>
        <v/>
      </c>
      <c r="K450" s="2" t="str">
        <f aca="false">IFERROR(INDEX(Query_Source_View!$T:$T,MATCH(ROW()-14,Query_Source_View!$Z:$Z,0)),"")</f>
        <v/>
      </c>
      <c r="L450" s="2" t="str">
        <f aca="false">IFERROR(INDEX(Query_Source_View!$U:$U,MATCH(ROW()-14,Query_Source_View!$Z:$Z,0)),"")</f>
        <v/>
      </c>
      <c r="M450" s="2" t="str">
        <f aca="false">IFERROR(INDEX(Query_Source_View!$V:$V,MATCH(ROW()-14,Query_Source_View!$Z:$Z,0)),"")</f>
        <v/>
      </c>
      <c r="N450" s="2" t="str">
        <f aca="false">IFERROR(INDEX(Query_Source_View!$W:$W,MATCH(ROW()-14,Query_Source_View!$Z:$Z,0)),"")</f>
        <v/>
      </c>
      <c r="O450" s="2" t="str">
        <f aca="false">IFERROR(INDEX(Query_Source_View!$X:$X,MATCH(ROW()-14,Query_Source_View!$Z:$Z,0)),"")</f>
        <v/>
      </c>
    </row>
    <row r="451" customFormat="false" ht="15" hidden="false" customHeight="false" outlineLevel="0" collapsed="false">
      <c r="A451" s="2" t="str">
        <f aca="false">IFERROR(INDEX(Query_Source_View!$A:$A,MATCH(ROW()-14,Query_Source_View!$Z:$Z,0)),"")</f>
        <v/>
      </c>
      <c r="B451" s="2" t="str">
        <f aca="false">IFERROR(INDEX(Query_Source_View!$D:$D,MATCH(ROW()-14,Query_Source_View!$Z:$Z,0)),"")</f>
        <v/>
      </c>
      <c r="C451" s="2" t="str">
        <f aca="false">IFERROR(INDEX(Query_Source_View!$F:$F,MATCH(ROW()-14,Query_Source_View!$Z:$Z,0)),"")</f>
        <v/>
      </c>
      <c r="D451" s="2" t="str">
        <f aca="false">IFERROR(INDEX(Query_Source_View!$H:$H,MATCH(ROW()-14,Query_Source_View!$Z:$Z,0)),"")</f>
        <v/>
      </c>
      <c r="E451" s="2" t="str">
        <f aca="false">IFERROR(INDEX(Query_Source_View!$J:$J,MATCH(ROW()-14,Query_Source_View!$Z:$Z,0)),"")</f>
        <v/>
      </c>
      <c r="F451" s="2" t="str">
        <f aca="false">IFERROR(INDEX(Query_Source_View!$L:$L,MATCH(ROW()-14,Query_Source_View!$Z:$Z,0)),"")</f>
        <v/>
      </c>
      <c r="G451" s="2" t="str">
        <f aca="false">IFERROR(INDEX(Query_Source_View!$N:$N,MATCH(ROW()-14,Query_Source_View!$Z:$Z,0)),"")</f>
        <v/>
      </c>
      <c r="H451" s="2" t="str">
        <f aca="false">IFERROR(INDEX(Query_Source_View!$P:$P,MATCH(ROW()-14,Query_Source_View!$Z:$Z,0)),"")</f>
        <v/>
      </c>
      <c r="I451" s="2" t="str">
        <f aca="false">IFERROR(INDEX(Query_Source_View!$Q:$Q,MATCH(ROW()-14,Query_Source_View!$Z:$Z,0)),"")</f>
        <v/>
      </c>
      <c r="J451" s="2" t="str">
        <f aca="false">IFERROR(INDEX(Query_Source_View!$R:$R,MATCH(ROW()-14,Query_Source_View!$Z:$Z,0)),"")</f>
        <v/>
      </c>
      <c r="K451" s="2" t="str">
        <f aca="false">IFERROR(INDEX(Query_Source_View!$T:$T,MATCH(ROW()-14,Query_Source_View!$Z:$Z,0)),"")</f>
        <v/>
      </c>
      <c r="L451" s="2" t="str">
        <f aca="false">IFERROR(INDEX(Query_Source_View!$U:$U,MATCH(ROW()-14,Query_Source_View!$Z:$Z,0)),"")</f>
        <v/>
      </c>
      <c r="M451" s="2" t="str">
        <f aca="false">IFERROR(INDEX(Query_Source_View!$V:$V,MATCH(ROW()-14,Query_Source_View!$Z:$Z,0)),"")</f>
        <v/>
      </c>
      <c r="N451" s="2" t="str">
        <f aca="false">IFERROR(INDEX(Query_Source_View!$W:$W,MATCH(ROW()-14,Query_Source_View!$Z:$Z,0)),"")</f>
        <v/>
      </c>
      <c r="O451" s="2" t="str">
        <f aca="false">IFERROR(INDEX(Query_Source_View!$X:$X,MATCH(ROW()-14,Query_Source_View!$Z:$Z,0)),"")</f>
        <v/>
      </c>
    </row>
    <row r="452" customFormat="false" ht="15" hidden="false" customHeight="false" outlineLevel="0" collapsed="false">
      <c r="A452" s="2" t="str">
        <f aca="false">IFERROR(INDEX(Query_Source_View!$A:$A,MATCH(ROW()-14,Query_Source_View!$Z:$Z,0)),"")</f>
        <v/>
      </c>
      <c r="B452" s="2" t="str">
        <f aca="false">IFERROR(INDEX(Query_Source_View!$D:$D,MATCH(ROW()-14,Query_Source_View!$Z:$Z,0)),"")</f>
        <v/>
      </c>
      <c r="C452" s="2" t="str">
        <f aca="false">IFERROR(INDEX(Query_Source_View!$F:$F,MATCH(ROW()-14,Query_Source_View!$Z:$Z,0)),"")</f>
        <v/>
      </c>
      <c r="D452" s="2" t="str">
        <f aca="false">IFERROR(INDEX(Query_Source_View!$H:$H,MATCH(ROW()-14,Query_Source_View!$Z:$Z,0)),"")</f>
        <v/>
      </c>
      <c r="E452" s="2" t="str">
        <f aca="false">IFERROR(INDEX(Query_Source_View!$J:$J,MATCH(ROW()-14,Query_Source_View!$Z:$Z,0)),"")</f>
        <v/>
      </c>
      <c r="F452" s="2" t="str">
        <f aca="false">IFERROR(INDEX(Query_Source_View!$L:$L,MATCH(ROW()-14,Query_Source_View!$Z:$Z,0)),"")</f>
        <v/>
      </c>
      <c r="G452" s="2" t="str">
        <f aca="false">IFERROR(INDEX(Query_Source_View!$N:$N,MATCH(ROW()-14,Query_Source_View!$Z:$Z,0)),"")</f>
        <v/>
      </c>
      <c r="H452" s="2" t="str">
        <f aca="false">IFERROR(INDEX(Query_Source_View!$P:$P,MATCH(ROW()-14,Query_Source_View!$Z:$Z,0)),"")</f>
        <v/>
      </c>
      <c r="I452" s="2" t="str">
        <f aca="false">IFERROR(INDEX(Query_Source_View!$Q:$Q,MATCH(ROW()-14,Query_Source_View!$Z:$Z,0)),"")</f>
        <v/>
      </c>
      <c r="J452" s="2" t="str">
        <f aca="false">IFERROR(INDEX(Query_Source_View!$R:$R,MATCH(ROW()-14,Query_Source_View!$Z:$Z,0)),"")</f>
        <v/>
      </c>
      <c r="K452" s="2" t="str">
        <f aca="false">IFERROR(INDEX(Query_Source_View!$T:$T,MATCH(ROW()-14,Query_Source_View!$Z:$Z,0)),"")</f>
        <v/>
      </c>
      <c r="L452" s="2" t="str">
        <f aca="false">IFERROR(INDEX(Query_Source_View!$U:$U,MATCH(ROW()-14,Query_Source_View!$Z:$Z,0)),"")</f>
        <v/>
      </c>
      <c r="M452" s="2" t="str">
        <f aca="false">IFERROR(INDEX(Query_Source_View!$V:$V,MATCH(ROW()-14,Query_Source_View!$Z:$Z,0)),"")</f>
        <v/>
      </c>
      <c r="N452" s="2" t="str">
        <f aca="false">IFERROR(INDEX(Query_Source_View!$W:$W,MATCH(ROW()-14,Query_Source_View!$Z:$Z,0)),"")</f>
        <v/>
      </c>
      <c r="O452" s="2" t="str">
        <f aca="false">IFERROR(INDEX(Query_Source_View!$X:$X,MATCH(ROW()-14,Query_Source_View!$Z:$Z,0)),"")</f>
        <v/>
      </c>
    </row>
    <row r="453" customFormat="false" ht="15" hidden="false" customHeight="false" outlineLevel="0" collapsed="false">
      <c r="A453" s="2" t="str">
        <f aca="false">IFERROR(INDEX(Query_Source_View!$A:$A,MATCH(ROW()-14,Query_Source_View!$Z:$Z,0)),"")</f>
        <v/>
      </c>
      <c r="B453" s="2" t="str">
        <f aca="false">IFERROR(INDEX(Query_Source_View!$D:$D,MATCH(ROW()-14,Query_Source_View!$Z:$Z,0)),"")</f>
        <v/>
      </c>
      <c r="C453" s="2" t="str">
        <f aca="false">IFERROR(INDEX(Query_Source_View!$F:$F,MATCH(ROW()-14,Query_Source_View!$Z:$Z,0)),"")</f>
        <v/>
      </c>
      <c r="D453" s="2" t="str">
        <f aca="false">IFERROR(INDEX(Query_Source_View!$H:$H,MATCH(ROW()-14,Query_Source_View!$Z:$Z,0)),"")</f>
        <v/>
      </c>
      <c r="E453" s="2" t="str">
        <f aca="false">IFERROR(INDEX(Query_Source_View!$J:$J,MATCH(ROW()-14,Query_Source_View!$Z:$Z,0)),"")</f>
        <v/>
      </c>
      <c r="F453" s="2" t="str">
        <f aca="false">IFERROR(INDEX(Query_Source_View!$L:$L,MATCH(ROW()-14,Query_Source_View!$Z:$Z,0)),"")</f>
        <v/>
      </c>
      <c r="G453" s="2" t="str">
        <f aca="false">IFERROR(INDEX(Query_Source_View!$N:$N,MATCH(ROW()-14,Query_Source_View!$Z:$Z,0)),"")</f>
        <v/>
      </c>
      <c r="H453" s="2" t="str">
        <f aca="false">IFERROR(INDEX(Query_Source_View!$P:$P,MATCH(ROW()-14,Query_Source_View!$Z:$Z,0)),"")</f>
        <v/>
      </c>
      <c r="I453" s="2" t="str">
        <f aca="false">IFERROR(INDEX(Query_Source_View!$Q:$Q,MATCH(ROW()-14,Query_Source_View!$Z:$Z,0)),"")</f>
        <v/>
      </c>
      <c r="J453" s="2" t="str">
        <f aca="false">IFERROR(INDEX(Query_Source_View!$R:$R,MATCH(ROW()-14,Query_Source_View!$Z:$Z,0)),"")</f>
        <v/>
      </c>
      <c r="K453" s="2" t="str">
        <f aca="false">IFERROR(INDEX(Query_Source_View!$T:$T,MATCH(ROW()-14,Query_Source_View!$Z:$Z,0)),"")</f>
        <v/>
      </c>
      <c r="L453" s="2" t="str">
        <f aca="false">IFERROR(INDEX(Query_Source_View!$U:$U,MATCH(ROW()-14,Query_Source_View!$Z:$Z,0)),"")</f>
        <v/>
      </c>
      <c r="M453" s="2" t="str">
        <f aca="false">IFERROR(INDEX(Query_Source_View!$V:$V,MATCH(ROW()-14,Query_Source_View!$Z:$Z,0)),"")</f>
        <v/>
      </c>
      <c r="N453" s="2" t="str">
        <f aca="false">IFERROR(INDEX(Query_Source_View!$W:$W,MATCH(ROW()-14,Query_Source_View!$Z:$Z,0)),"")</f>
        <v/>
      </c>
      <c r="O453" s="2" t="str">
        <f aca="false">IFERROR(INDEX(Query_Source_View!$X:$X,MATCH(ROW()-14,Query_Source_View!$Z:$Z,0)),"")</f>
        <v/>
      </c>
    </row>
    <row r="454" customFormat="false" ht="15" hidden="false" customHeight="false" outlineLevel="0" collapsed="false">
      <c r="A454" s="2" t="str">
        <f aca="false">IFERROR(INDEX(Query_Source_View!$A:$A,MATCH(ROW()-14,Query_Source_View!$Z:$Z,0)),"")</f>
        <v/>
      </c>
      <c r="B454" s="2" t="str">
        <f aca="false">IFERROR(INDEX(Query_Source_View!$D:$D,MATCH(ROW()-14,Query_Source_View!$Z:$Z,0)),"")</f>
        <v/>
      </c>
      <c r="C454" s="2" t="str">
        <f aca="false">IFERROR(INDEX(Query_Source_View!$F:$F,MATCH(ROW()-14,Query_Source_View!$Z:$Z,0)),"")</f>
        <v/>
      </c>
      <c r="D454" s="2" t="str">
        <f aca="false">IFERROR(INDEX(Query_Source_View!$H:$H,MATCH(ROW()-14,Query_Source_View!$Z:$Z,0)),"")</f>
        <v/>
      </c>
      <c r="E454" s="2" t="str">
        <f aca="false">IFERROR(INDEX(Query_Source_View!$J:$J,MATCH(ROW()-14,Query_Source_View!$Z:$Z,0)),"")</f>
        <v/>
      </c>
      <c r="F454" s="2" t="str">
        <f aca="false">IFERROR(INDEX(Query_Source_View!$L:$L,MATCH(ROW()-14,Query_Source_View!$Z:$Z,0)),"")</f>
        <v/>
      </c>
      <c r="G454" s="2" t="str">
        <f aca="false">IFERROR(INDEX(Query_Source_View!$N:$N,MATCH(ROW()-14,Query_Source_View!$Z:$Z,0)),"")</f>
        <v/>
      </c>
      <c r="H454" s="2" t="str">
        <f aca="false">IFERROR(INDEX(Query_Source_View!$P:$P,MATCH(ROW()-14,Query_Source_View!$Z:$Z,0)),"")</f>
        <v/>
      </c>
      <c r="I454" s="2" t="str">
        <f aca="false">IFERROR(INDEX(Query_Source_View!$Q:$Q,MATCH(ROW()-14,Query_Source_View!$Z:$Z,0)),"")</f>
        <v/>
      </c>
      <c r="J454" s="2" t="str">
        <f aca="false">IFERROR(INDEX(Query_Source_View!$R:$R,MATCH(ROW()-14,Query_Source_View!$Z:$Z,0)),"")</f>
        <v/>
      </c>
      <c r="K454" s="2" t="str">
        <f aca="false">IFERROR(INDEX(Query_Source_View!$T:$T,MATCH(ROW()-14,Query_Source_View!$Z:$Z,0)),"")</f>
        <v/>
      </c>
      <c r="L454" s="2" t="str">
        <f aca="false">IFERROR(INDEX(Query_Source_View!$U:$U,MATCH(ROW()-14,Query_Source_View!$Z:$Z,0)),"")</f>
        <v/>
      </c>
      <c r="M454" s="2" t="str">
        <f aca="false">IFERROR(INDEX(Query_Source_View!$V:$V,MATCH(ROW()-14,Query_Source_View!$Z:$Z,0)),"")</f>
        <v/>
      </c>
      <c r="N454" s="2" t="str">
        <f aca="false">IFERROR(INDEX(Query_Source_View!$W:$W,MATCH(ROW()-14,Query_Source_View!$Z:$Z,0)),"")</f>
        <v/>
      </c>
      <c r="O454" s="2" t="str">
        <f aca="false">IFERROR(INDEX(Query_Source_View!$X:$X,MATCH(ROW()-14,Query_Source_View!$Z:$Z,0)),"")</f>
        <v/>
      </c>
    </row>
    <row r="455" customFormat="false" ht="15" hidden="false" customHeight="false" outlineLevel="0" collapsed="false">
      <c r="A455" s="2" t="str">
        <f aca="false">IFERROR(INDEX(Query_Source_View!$A:$A,MATCH(ROW()-14,Query_Source_View!$Z:$Z,0)),"")</f>
        <v/>
      </c>
      <c r="B455" s="2" t="str">
        <f aca="false">IFERROR(INDEX(Query_Source_View!$D:$D,MATCH(ROW()-14,Query_Source_View!$Z:$Z,0)),"")</f>
        <v/>
      </c>
      <c r="C455" s="2" t="str">
        <f aca="false">IFERROR(INDEX(Query_Source_View!$F:$F,MATCH(ROW()-14,Query_Source_View!$Z:$Z,0)),"")</f>
        <v/>
      </c>
      <c r="D455" s="2" t="str">
        <f aca="false">IFERROR(INDEX(Query_Source_View!$H:$H,MATCH(ROW()-14,Query_Source_View!$Z:$Z,0)),"")</f>
        <v/>
      </c>
      <c r="E455" s="2" t="str">
        <f aca="false">IFERROR(INDEX(Query_Source_View!$J:$J,MATCH(ROW()-14,Query_Source_View!$Z:$Z,0)),"")</f>
        <v/>
      </c>
      <c r="F455" s="2" t="str">
        <f aca="false">IFERROR(INDEX(Query_Source_View!$L:$L,MATCH(ROW()-14,Query_Source_View!$Z:$Z,0)),"")</f>
        <v/>
      </c>
      <c r="G455" s="2" t="str">
        <f aca="false">IFERROR(INDEX(Query_Source_View!$N:$N,MATCH(ROW()-14,Query_Source_View!$Z:$Z,0)),"")</f>
        <v/>
      </c>
      <c r="H455" s="2" t="str">
        <f aca="false">IFERROR(INDEX(Query_Source_View!$P:$P,MATCH(ROW()-14,Query_Source_View!$Z:$Z,0)),"")</f>
        <v/>
      </c>
      <c r="I455" s="2" t="str">
        <f aca="false">IFERROR(INDEX(Query_Source_View!$Q:$Q,MATCH(ROW()-14,Query_Source_View!$Z:$Z,0)),"")</f>
        <v/>
      </c>
      <c r="J455" s="2" t="str">
        <f aca="false">IFERROR(INDEX(Query_Source_View!$R:$R,MATCH(ROW()-14,Query_Source_View!$Z:$Z,0)),"")</f>
        <v/>
      </c>
      <c r="K455" s="2" t="str">
        <f aca="false">IFERROR(INDEX(Query_Source_View!$T:$T,MATCH(ROW()-14,Query_Source_View!$Z:$Z,0)),"")</f>
        <v/>
      </c>
      <c r="L455" s="2" t="str">
        <f aca="false">IFERROR(INDEX(Query_Source_View!$U:$U,MATCH(ROW()-14,Query_Source_View!$Z:$Z,0)),"")</f>
        <v/>
      </c>
      <c r="M455" s="2" t="str">
        <f aca="false">IFERROR(INDEX(Query_Source_View!$V:$V,MATCH(ROW()-14,Query_Source_View!$Z:$Z,0)),"")</f>
        <v/>
      </c>
      <c r="N455" s="2" t="str">
        <f aca="false">IFERROR(INDEX(Query_Source_View!$W:$W,MATCH(ROW()-14,Query_Source_View!$Z:$Z,0)),"")</f>
        <v/>
      </c>
      <c r="O455" s="2" t="str">
        <f aca="false">IFERROR(INDEX(Query_Source_View!$X:$X,MATCH(ROW()-14,Query_Source_View!$Z:$Z,0)),"")</f>
        <v/>
      </c>
    </row>
    <row r="456" customFormat="false" ht="15" hidden="false" customHeight="false" outlineLevel="0" collapsed="false">
      <c r="A456" s="2" t="str">
        <f aca="false">IFERROR(INDEX(Query_Source_View!$A:$A,MATCH(ROW()-14,Query_Source_View!$Z:$Z,0)),"")</f>
        <v/>
      </c>
      <c r="B456" s="2" t="str">
        <f aca="false">IFERROR(INDEX(Query_Source_View!$D:$D,MATCH(ROW()-14,Query_Source_View!$Z:$Z,0)),"")</f>
        <v/>
      </c>
      <c r="C456" s="2" t="str">
        <f aca="false">IFERROR(INDEX(Query_Source_View!$F:$F,MATCH(ROW()-14,Query_Source_View!$Z:$Z,0)),"")</f>
        <v/>
      </c>
      <c r="D456" s="2" t="str">
        <f aca="false">IFERROR(INDEX(Query_Source_View!$H:$H,MATCH(ROW()-14,Query_Source_View!$Z:$Z,0)),"")</f>
        <v/>
      </c>
      <c r="E456" s="2" t="str">
        <f aca="false">IFERROR(INDEX(Query_Source_View!$J:$J,MATCH(ROW()-14,Query_Source_View!$Z:$Z,0)),"")</f>
        <v/>
      </c>
      <c r="F456" s="2" t="str">
        <f aca="false">IFERROR(INDEX(Query_Source_View!$L:$L,MATCH(ROW()-14,Query_Source_View!$Z:$Z,0)),"")</f>
        <v/>
      </c>
      <c r="G456" s="2" t="str">
        <f aca="false">IFERROR(INDEX(Query_Source_View!$N:$N,MATCH(ROW()-14,Query_Source_View!$Z:$Z,0)),"")</f>
        <v/>
      </c>
      <c r="H456" s="2" t="str">
        <f aca="false">IFERROR(INDEX(Query_Source_View!$P:$P,MATCH(ROW()-14,Query_Source_View!$Z:$Z,0)),"")</f>
        <v/>
      </c>
      <c r="I456" s="2" t="str">
        <f aca="false">IFERROR(INDEX(Query_Source_View!$Q:$Q,MATCH(ROW()-14,Query_Source_View!$Z:$Z,0)),"")</f>
        <v/>
      </c>
      <c r="J456" s="2" t="str">
        <f aca="false">IFERROR(INDEX(Query_Source_View!$R:$R,MATCH(ROW()-14,Query_Source_View!$Z:$Z,0)),"")</f>
        <v/>
      </c>
      <c r="K456" s="2" t="str">
        <f aca="false">IFERROR(INDEX(Query_Source_View!$T:$T,MATCH(ROW()-14,Query_Source_View!$Z:$Z,0)),"")</f>
        <v/>
      </c>
      <c r="L456" s="2" t="str">
        <f aca="false">IFERROR(INDEX(Query_Source_View!$U:$U,MATCH(ROW()-14,Query_Source_View!$Z:$Z,0)),"")</f>
        <v/>
      </c>
      <c r="M456" s="2" t="str">
        <f aca="false">IFERROR(INDEX(Query_Source_View!$V:$V,MATCH(ROW()-14,Query_Source_View!$Z:$Z,0)),"")</f>
        <v/>
      </c>
      <c r="N456" s="2" t="str">
        <f aca="false">IFERROR(INDEX(Query_Source_View!$W:$W,MATCH(ROW()-14,Query_Source_View!$Z:$Z,0)),"")</f>
        <v/>
      </c>
      <c r="O456" s="2" t="str">
        <f aca="false">IFERROR(INDEX(Query_Source_View!$X:$X,MATCH(ROW()-14,Query_Source_View!$Z:$Z,0)),"")</f>
        <v/>
      </c>
    </row>
    <row r="457" customFormat="false" ht="15" hidden="false" customHeight="false" outlineLevel="0" collapsed="false">
      <c r="A457" s="2" t="str">
        <f aca="false">IFERROR(INDEX(Query_Source_View!$A:$A,MATCH(ROW()-14,Query_Source_View!$Z:$Z,0)),"")</f>
        <v/>
      </c>
      <c r="B457" s="2" t="str">
        <f aca="false">IFERROR(INDEX(Query_Source_View!$D:$D,MATCH(ROW()-14,Query_Source_View!$Z:$Z,0)),"")</f>
        <v/>
      </c>
      <c r="C457" s="2" t="str">
        <f aca="false">IFERROR(INDEX(Query_Source_View!$F:$F,MATCH(ROW()-14,Query_Source_View!$Z:$Z,0)),"")</f>
        <v/>
      </c>
      <c r="D457" s="2" t="str">
        <f aca="false">IFERROR(INDEX(Query_Source_View!$H:$H,MATCH(ROW()-14,Query_Source_View!$Z:$Z,0)),"")</f>
        <v/>
      </c>
      <c r="E457" s="2" t="str">
        <f aca="false">IFERROR(INDEX(Query_Source_View!$J:$J,MATCH(ROW()-14,Query_Source_View!$Z:$Z,0)),"")</f>
        <v/>
      </c>
      <c r="F457" s="2" t="str">
        <f aca="false">IFERROR(INDEX(Query_Source_View!$L:$L,MATCH(ROW()-14,Query_Source_View!$Z:$Z,0)),"")</f>
        <v/>
      </c>
      <c r="G457" s="2" t="str">
        <f aca="false">IFERROR(INDEX(Query_Source_View!$N:$N,MATCH(ROW()-14,Query_Source_View!$Z:$Z,0)),"")</f>
        <v/>
      </c>
      <c r="H457" s="2" t="str">
        <f aca="false">IFERROR(INDEX(Query_Source_View!$P:$P,MATCH(ROW()-14,Query_Source_View!$Z:$Z,0)),"")</f>
        <v/>
      </c>
      <c r="I457" s="2" t="str">
        <f aca="false">IFERROR(INDEX(Query_Source_View!$Q:$Q,MATCH(ROW()-14,Query_Source_View!$Z:$Z,0)),"")</f>
        <v/>
      </c>
      <c r="J457" s="2" t="str">
        <f aca="false">IFERROR(INDEX(Query_Source_View!$R:$R,MATCH(ROW()-14,Query_Source_View!$Z:$Z,0)),"")</f>
        <v/>
      </c>
      <c r="K457" s="2" t="str">
        <f aca="false">IFERROR(INDEX(Query_Source_View!$T:$T,MATCH(ROW()-14,Query_Source_View!$Z:$Z,0)),"")</f>
        <v/>
      </c>
      <c r="L457" s="2" t="str">
        <f aca="false">IFERROR(INDEX(Query_Source_View!$U:$U,MATCH(ROW()-14,Query_Source_View!$Z:$Z,0)),"")</f>
        <v/>
      </c>
      <c r="M457" s="2" t="str">
        <f aca="false">IFERROR(INDEX(Query_Source_View!$V:$V,MATCH(ROW()-14,Query_Source_View!$Z:$Z,0)),"")</f>
        <v/>
      </c>
      <c r="N457" s="2" t="str">
        <f aca="false">IFERROR(INDEX(Query_Source_View!$W:$W,MATCH(ROW()-14,Query_Source_View!$Z:$Z,0)),"")</f>
        <v/>
      </c>
      <c r="O457" s="2" t="str">
        <f aca="false">IFERROR(INDEX(Query_Source_View!$X:$X,MATCH(ROW()-14,Query_Source_View!$Z:$Z,0)),"")</f>
        <v/>
      </c>
    </row>
    <row r="458" customFormat="false" ht="15" hidden="false" customHeight="false" outlineLevel="0" collapsed="false">
      <c r="A458" s="2" t="str">
        <f aca="false">IFERROR(INDEX(Query_Source_View!$A:$A,MATCH(ROW()-14,Query_Source_View!$Z:$Z,0)),"")</f>
        <v/>
      </c>
      <c r="B458" s="2" t="str">
        <f aca="false">IFERROR(INDEX(Query_Source_View!$D:$D,MATCH(ROW()-14,Query_Source_View!$Z:$Z,0)),"")</f>
        <v/>
      </c>
      <c r="C458" s="2" t="str">
        <f aca="false">IFERROR(INDEX(Query_Source_View!$F:$F,MATCH(ROW()-14,Query_Source_View!$Z:$Z,0)),"")</f>
        <v/>
      </c>
      <c r="D458" s="2" t="str">
        <f aca="false">IFERROR(INDEX(Query_Source_View!$H:$H,MATCH(ROW()-14,Query_Source_View!$Z:$Z,0)),"")</f>
        <v/>
      </c>
      <c r="E458" s="2" t="str">
        <f aca="false">IFERROR(INDEX(Query_Source_View!$J:$J,MATCH(ROW()-14,Query_Source_View!$Z:$Z,0)),"")</f>
        <v/>
      </c>
      <c r="F458" s="2" t="str">
        <f aca="false">IFERROR(INDEX(Query_Source_View!$L:$L,MATCH(ROW()-14,Query_Source_View!$Z:$Z,0)),"")</f>
        <v/>
      </c>
      <c r="G458" s="2" t="str">
        <f aca="false">IFERROR(INDEX(Query_Source_View!$N:$N,MATCH(ROW()-14,Query_Source_View!$Z:$Z,0)),"")</f>
        <v/>
      </c>
      <c r="H458" s="2" t="str">
        <f aca="false">IFERROR(INDEX(Query_Source_View!$P:$P,MATCH(ROW()-14,Query_Source_View!$Z:$Z,0)),"")</f>
        <v/>
      </c>
      <c r="I458" s="2" t="str">
        <f aca="false">IFERROR(INDEX(Query_Source_View!$Q:$Q,MATCH(ROW()-14,Query_Source_View!$Z:$Z,0)),"")</f>
        <v/>
      </c>
      <c r="J458" s="2" t="str">
        <f aca="false">IFERROR(INDEX(Query_Source_View!$R:$R,MATCH(ROW()-14,Query_Source_View!$Z:$Z,0)),"")</f>
        <v/>
      </c>
      <c r="K458" s="2" t="str">
        <f aca="false">IFERROR(INDEX(Query_Source_View!$T:$T,MATCH(ROW()-14,Query_Source_View!$Z:$Z,0)),"")</f>
        <v/>
      </c>
      <c r="L458" s="2" t="str">
        <f aca="false">IFERROR(INDEX(Query_Source_View!$U:$U,MATCH(ROW()-14,Query_Source_View!$Z:$Z,0)),"")</f>
        <v/>
      </c>
      <c r="M458" s="2" t="str">
        <f aca="false">IFERROR(INDEX(Query_Source_View!$V:$V,MATCH(ROW()-14,Query_Source_View!$Z:$Z,0)),"")</f>
        <v/>
      </c>
      <c r="N458" s="2" t="str">
        <f aca="false">IFERROR(INDEX(Query_Source_View!$W:$W,MATCH(ROW()-14,Query_Source_View!$Z:$Z,0)),"")</f>
        <v/>
      </c>
      <c r="O458" s="2" t="str">
        <f aca="false">IFERROR(INDEX(Query_Source_View!$X:$X,MATCH(ROW()-14,Query_Source_View!$Z:$Z,0)),"")</f>
        <v/>
      </c>
    </row>
    <row r="459" customFormat="false" ht="15" hidden="false" customHeight="false" outlineLevel="0" collapsed="false">
      <c r="A459" s="2" t="str">
        <f aca="false">IFERROR(INDEX(Query_Source_View!$A:$A,MATCH(ROW()-14,Query_Source_View!$Z:$Z,0)),"")</f>
        <v/>
      </c>
      <c r="B459" s="2" t="str">
        <f aca="false">IFERROR(INDEX(Query_Source_View!$D:$D,MATCH(ROW()-14,Query_Source_View!$Z:$Z,0)),"")</f>
        <v/>
      </c>
      <c r="C459" s="2" t="str">
        <f aca="false">IFERROR(INDEX(Query_Source_View!$F:$F,MATCH(ROW()-14,Query_Source_View!$Z:$Z,0)),"")</f>
        <v/>
      </c>
      <c r="D459" s="2" t="str">
        <f aca="false">IFERROR(INDEX(Query_Source_View!$H:$H,MATCH(ROW()-14,Query_Source_View!$Z:$Z,0)),"")</f>
        <v/>
      </c>
      <c r="E459" s="2" t="str">
        <f aca="false">IFERROR(INDEX(Query_Source_View!$J:$J,MATCH(ROW()-14,Query_Source_View!$Z:$Z,0)),"")</f>
        <v/>
      </c>
      <c r="F459" s="2" t="str">
        <f aca="false">IFERROR(INDEX(Query_Source_View!$L:$L,MATCH(ROW()-14,Query_Source_View!$Z:$Z,0)),"")</f>
        <v/>
      </c>
      <c r="G459" s="2" t="str">
        <f aca="false">IFERROR(INDEX(Query_Source_View!$N:$N,MATCH(ROW()-14,Query_Source_View!$Z:$Z,0)),"")</f>
        <v/>
      </c>
      <c r="H459" s="2" t="str">
        <f aca="false">IFERROR(INDEX(Query_Source_View!$P:$P,MATCH(ROW()-14,Query_Source_View!$Z:$Z,0)),"")</f>
        <v/>
      </c>
      <c r="I459" s="2" t="str">
        <f aca="false">IFERROR(INDEX(Query_Source_View!$Q:$Q,MATCH(ROW()-14,Query_Source_View!$Z:$Z,0)),"")</f>
        <v/>
      </c>
      <c r="J459" s="2" t="str">
        <f aca="false">IFERROR(INDEX(Query_Source_View!$R:$R,MATCH(ROW()-14,Query_Source_View!$Z:$Z,0)),"")</f>
        <v/>
      </c>
      <c r="K459" s="2" t="str">
        <f aca="false">IFERROR(INDEX(Query_Source_View!$T:$T,MATCH(ROW()-14,Query_Source_View!$Z:$Z,0)),"")</f>
        <v/>
      </c>
      <c r="L459" s="2" t="str">
        <f aca="false">IFERROR(INDEX(Query_Source_View!$U:$U,MATCH(ROW()-14,Query_Source_View!$Z:$Z,0)),"")</f>
        <v/>
      </c>
      <c r="M459" s="2" t="str">
        <f aca="false">IFERROR(INDEX(Query_Source_View!$V:$V,MATCH(ROW()-14,Query_Source_View!$Z:$Z,0)),"")</f>
        <v/>
      </c>
      <c r="N459" s="2" t="str">
        <f aca="false">IFERROR(INDEX(Query_Source_View!$W:$W,MATCH(ROW()-14,Query_Source_View!$Z:$Z,0)),"")</f>
        <v/>
      </c>
      <c r="O459" s="2" t="str">
        <f aca="false">IFERROR(INDEX(Query_Source_View!$X:$X,MATCH(ROW()-14,Query_Source_View!$Z:$Z,0)),"")</f>
        <v/>
      </c>
    </row>
    <row r="460" customFormat="false" ht="15" hidden="false" customHeight="false" outlineLevel="0" collapsed="false">
      <c r="A460" s="2" t="str">
        <f aca="false">IFERROR(INDEX(Query_Source_View!$A:$A,MATCH(ROW()-14,Query_Source_View!$Z:$Z,0)),"")</f>
        <v/>
      </c>
      <c r="B460" s="2" t="str">
        <f aca="false">IFERROR(INDEX(Query_Source_View!$D:$D,MATCH(ROW()-14,Query_Source_View!$Z:$Z,0)),"")</f>
        <v/>
      </c>
      <c r="C460" s="2" t="str">
        <f aca="false">IFERROR(INDEX(Query_Source_View!$F:$F,MATCH(ROW()-14,Query_Source_View!$Z:$Z,0)),"")</f>
        <v/>
      </c>
      <c r="D460" s="2" t="str">
        <f aca="false">IFERROR(INDEX(Query_Source_View!$H:$H,MATCH(ROW()-14,Query_Source_View!$Z:$Z,0)),"")</f>
        <v/>
      </c>
      <c r="E460" s="2" t="str">
        <f aca="false">IFERROR(INDEX(Query_Source_View!$J:$J,MATCH(ROW()-14,Query_Source_View!$Z:$Z,0)),"")</f>
        <v/>
      </c>
      <c r="F460" s="2" t="str">
        <f aca="false">IFERROR(INDEX(Query_Source_View!$L:$L,MATCH(ROW()-14,Query_Source_View!$Z:$Z,0)),"")</f>
        <v/>
      </c>
      <c r="G460" s="2" t="str">
        <f aca="false">IFERROR(INDEX(Query_Source_View!$N:$N,MATCH(ROW()-14,Query_Source_View!$Z:$Z,0)),"")</f>
        <v/>
      </c>
      <c r="H460" s="2" t="str">
        <f aca="false">IFERROR(INDEX(Query_Source_View!$P:$P,MATCH(ROW()-14,Query_Source_View!$Z:$Z,0)),"")</f>
        <v/>
      </c>
      <c r="I460" s="2" t="str">
        <f aca="false">IFERROR(INDEX(Query_Source_View!$Q:$Q,MATCH(ROW()-14,Query_Source_View!$Z:$Z,0)),"")</f>
        <v/>
      </c>
      <c r="J460" s="2" t="str">
        <f aca="false">IFERROR(INDEX(Query_Source_View!$R:$R,MATCH(ROW()-14,Query_Source_View!$Z:$Z,0)),"")</f>
        <v/>
      </c>
      <c r="K460" s="2" t="str">
        <f aca="false">IFERROR(INDEX(Query_Source_View!$T:$T,MATCH(ROW()-14,Query_Source_View!$Z:$Z,0)),"")</f>
        <v/>
      </c>
      <c r="L460" s="2" t="str">
        <f aca="false">IFERROR(INDEX(Query_Source_View!$U:$U,MATCH(ROW()-14,Query_Source_View!$Z:$Z,0)),"")</f>
        <v/>
      </c>
      <c r="M460" s="2" t="str">
        <f aca="false">IFERROR(INDEX(Query_Source_View!$V:$V,MATCH(ROW()-14,Query_Source_View!$Z:$Z,0)),"")</f>
        <v/>
      </c>
      <c r="N460" s="2" t="str">
        <f aca="false">IFERROR(INDEX(Query_Source_View!$W:$W,MATCH(ROW()-14,Query_Source_View!$Z:$Z,0)),"")</f>
        <v/>
      </c>
      <c r="O460" s="2" t="str">
        <f aca="false">IFERROR(INDEX(Query_Source_View!$X:$X,MATCH(ROW()-14,Query_Source_View!$Z:$Z,0)),"")</f>
        <v/>
      </c>
    </row>
    <row r="461" customFormat="false" ht="15" hidden="false" customHeight="false" outlineLevel="0" collapsed="false">
      <c r="A461" s="2" t="str">
        <f aca="false">IFERROR(INDEX(Query_Source_View!$A:$A,MATCH(ROW()-14,Query_Source_View!$Z:$Z,0)),"")</f>
        <v/>
      </c>
      <c r="B461" s="2" t="str">
        <f aca="false">IFERROR(INDEX(Query_Source_View!$D:$D,MATCH(ROW()-14,Query_Source_View!$Z:$Z,0)),"")</f>
        <v/>
      </c>
      <c r="C461" s="2" t="str">
        <f aca="false">IFERROR(INDEX(Query_Source_View!$F:$F,MATCH(ROW()-14,Query_Source_View!$Z:$Z,0)),"")</f>
        <v/>
      </c>
      <c r="D461" s="2" t="str">
        <f aca="false">IFERROR(INDEX(Query_Source_View!$H:$H,MATCH(ROW()-14,Query_Source_View!$Z:$Z,0)),"")</f>
        <v/>
      </c>
      <c r="E461" s="2" t="str">
        <f aca="false">IFERROR(INDEX(Query_Source_View!$J:$J,MATCH(ROW()-14,Query_Source_View!$Z:$Z,0)),"")</f>
        <v/>
      </c>
      <c r="F461" s="2" t="str">
        <f aca="false">IFERROR(INDEX(Query_Source_View!$L:$L,MATCH(ROW()-14,Query_Source_View!$Z:$Z,0)),"")</f>
        <v/>
      </c>
      <c r="G461" s="2" t="str">
        <f aca="false">IFERROR(INDEX(Query_Source_View!$N:$N,MATCH(ROW()-14,Query_Source_View!$Z:$Z,0)),"")</f>
        <v/>
      </c>
      <c r="H461" s="2" t="str">
        <f aca="false">IFERROR(INDEX(Query_Source_View!$P:$P,MATCH(ROW()-14,Query_Source_View!$Z:$Z,0)),"")</f>
        <v/>
      </c>
      <c r="I461" s="2" t="str">
        <f aca="false">IFERROR(INDEX(Query_Source_View!$Q:$Q,MATCH(ROW()-14,Query_Source_View!$Z:$Z,0)),"")</f>
        <v/>
      </c>
      <c r="J461" s="2" t="str">
        <f aca="false">IFERROR(INDEX(Query_Source_View!$R:$R,MATCH(ROW()-14,Query_Source_View!$Z:$Z,0)),"")</f>
        <v/>
      </c>
      <c r="K461" s="2" t="str">
        <f aca="false">IFERROR(INDEX(Query_Source_View!$T:$T,MATCH(ROW()-14,Query_Source_View!$Z:$Z,0)),"")</f>
        <v/>
      </c>
      <c r="L461" s="2" t="str">
        <f aca="false">IFERROR(INDEX(Query_Source_View!$U:$U,MATCH(ROW()-14,Query_Source_View!$Z:$Z,0)),"")</f>
        <v/>
      </c>
      <c r="M461" s="2" t="str">
        <f aca="false">IFERROR(INDEX(Query_Source_View!$V:$V,MATCH(ROW()-14,Query_Source_View!$Z:$Z,0)),"")</f>
        <v/>
      </c>
      <c r="N461" s="2" t="str">
        <f aca="false">IFERROR(INDEX(Query_Source_View!$W:$W,MATCH(ROW()-14,Query_Source_View!$Z:$Z,0)),"")</f>
        <v/>
      </c>
      <c r="O461" s="2" t="str">
        <f aca="false">IFERROR(INDEX(Query_Source_View!$X:$X,MATCH(ROW()-14,Query_Source_View!$Z:$Z,0)),"")</f>
        <v/>
      </c>
    </row>
    <row r="462" customFormat="false" ht="15" hidden="false" customHeight="false" outlineLevel="0" collapsed="false">
      <c r="A462" s="2" t="str">
        <f aca="false">IFERROR(INDEX(Query_Source_View!$A:$A,MATCH(ROW()-14,Query_Source_View!$Z:$Z,0)),"")</f>
        <v/>
      </c>
      <c r="B462" s="2" t="str">
        <f aca="false">IFERROR(INDEX(Query_Source_View!$D:$D,MATCH(ROW()-14,Query_Source_View!$Z:$Z,0)),"")</f>
        <v/>
      </c>
      <c r="C462" s="2" t="str">
        <f aca="false">IFERROR(INDEX(Query_Source_View!$F:$F,MATCH(ROW()-14,Query_Source_View!$Z:$Z,0)),"")</f>
        <v/>
      </c>
      <c r="D462" s="2" t="str">
        <f aca="false">IFERROR(INDEX(Query_Source_View!$H:$H,MATCH(ROW()-14,Query_Source_View!$Z:$Z,0)),"")</f>
        <v/>
      </c>
      <c r="E462" s="2" t="str">
        <f aca="false">IFERROR(INDEX(Query_Source_View!$J:$J,MATCH(ROW()-14,Query_Source_View!$Z:$Z,0)),"")</f>
        <v/>
      </c>
      <c r="F462" s="2" t="str">
        <f aca="false">IFERROR(INDEX(Query_Source_View!$L:$L,MATCH(ROW()-14,Query_Source_View!$Z:$Z,0)),"")</f>
        <v/>
      </c>
      <c r="G462" s="2" t="str">
        <f aca="false">IFERROR(INDEX(Query_Source_View!$N:$N,MATCH(ROW()-14,Query_Source_View!$Z:$Z,0)),"")</f>
        <v/>
      </c>
      <c r="H462" s="2" t="str">
        <f aca="false">IFERROR(INDEX(Query_Source_View!$P:$P,MATCH(ROW()-14,Query_Source_View!$Z:$Z,0)),"")</f>
        <v/>
      </c>
      <c r="I462" s="2" t="str">
        <f aca="false">IFERROR(INDEX(Query_Source_View!$Q:$Q,MATCH(ROW()-14,Query_Source_View!$Z:$Z,0)),"")</f>
        <v/>
      </c>
      <c r="J462" s="2" t="str">
        <f aca="false">IFERROR(INDEX(Query_Source_View!$R:$R,MATCH(ROW()-14,Query_Source_View!$Z:$Z,0)),"")</f>
        <v/>
      </c>
      <c r="K462" s="2" t="str">
        <f aca="false">IFERROR(INDEX(Query_Source_View!$T:$T,MATCH(ROW()-14,Query_Source_View!$Z:$Z,0)),"")</f>
        <v/>
      </c>
      <c r="L462" s="2" t="str">
        <f aca="false">IFERROR(INDEX(Query_Source_View!$U:$U,MATCH(ROW()-14,Query_Source_View!$Z:$Z,0)),"")</f>
        <v/>
      </c>
      <c r="M462" s="2" t="str">
        <f aca="false">IFERROR(INDEX(Query_Source_View!$V:$V,MATCH(ROW()-14,Query_Source_View!$Z:$Z,0)),"")</f>
        <v/>
      </c>
      <c r="N462" s="2" t="str">
        <f aca="false">IFERROR(INDEX(Query_Source_View!$W:$W,MATCH(ROW()-14,Query_Source_View!$Z:$Z,0)),"")</f>
        <v/>
      </c>
      <c r="O462" s="2" t="str">
        <f aca="false">IFERROR(INDEX(Query_Source_View!$X:$X,MATCH(ROW()-14,Query_Source_View!$Z:$Z,0)),"")</f>
        <v/>
      </c>
    </row>
    <row r="463" customFormat="false" ht="15" hidden="false" customHeight="false" outlineLevel="0" collapsed="false">
      <c r="A463" s="2" t="str">
        <f aca="false">IFERROR(INDEX(Query_Source_View!$A:$A,MATCH(ROW()-14,Query_Source_View!$Z:$Z,0)),"")</f>
        <v/>
      </c>
      <c r="B463" s="2" t="str">
        <f aca="false">IFERROR(INDEX(Query_Source_View!$D:$D,MATCH(ROW()-14,Query_Source_View!$Z:$Z,0)),"")</f>
        <v/>
      </c>
      <c r="C463" s="2" t="str">
        <f aca="false">IFERROR(INDEX(Query_Source_View!$F:$F,MATCH(ROW()-14,Query_Source_View!$Z:$Z,0)),"")</f>
        <v/>
      </c>
      <c r="D463" s="2" t="str">
        <f aca="false">IFERROR(INDEX(Query_Source_View!$H:$H,MATCH(ROW()-14,Query_Source_View!$Z:$Z,0)),"")</f>
        <v/>
      </c>
      <c r="E463" s="2" t="str">
        <f aca="false">IFERROR(INDEX(Query_Source_View!$J:$J,MATCH(ROW()-14,Query_Source_View!$Z:$Z,0)),"")</f>
        <v/>
      </c>
      <c r="F463" s="2" t="str">
        <f aca="false">IFERROR(INDEX(Query_Source_View!$L:$L,MATCH(ROW()-14,Query_Source_View!$Z:$Z,0)),"")</f>
        <v/>
      </c>
      <c r="G463" s="2" t="str">
        <f aca="false">IFERROR(INDEX(Query_Source_View!$N:$N,MATCH(ROW()-14,Query_Source_View!$Z:$Z,0)),"")</f>
        <v/>
      </c>
      <c r="H463" s="2" t="str">
        <f aca="false">IFERROR(INDEX(Query_Source_View!$P:$P,MATCH(ROW()-14,Query_Source_View!$Z:$Z,0)),"")</f>
        <v/>
      </c>
      <c r="I463" s="2" t="str">
        <f aca="false">IFERROR(INDEX(Query_Source_View!$Q:$Q,MATCH(ROW()-14,Query_Source_View!$Z:$Z,0)),"")</f>
        <v/>
      </c>
      <c r="J463" s="2" t="str">
        <f aca="false">IFERROR(INDEX(Query_Source_View!$R:$R,MATCH(ROW()-14,Query_Source_View!$Z:$Z,0)),"")</f>
        <v/>
      </c>
      <c r="K463" s="2" t="str">
        <f aca="false">IFERROR(INDEX(Query_Source_View!$T:$T,MATCH(ROW()-14,Query_Source_View!$Z:$Z,0)),"")</f>
        <v/>
      </c>
      <c r="L463" s="2" t="str">
        <f aca="false">IFERROR(INDEX(Query_Source_View!$U:$U,MATCH(ROW()-14,Query_Source_View!$Z:$Z,0)),"")</f>
        <v/>
      </c>
      <c r="M463" s="2" t="str">
        <f aca="false">IFERROR(INDEX(Query_Source_View!$V:$V,MATCH(ROW()-14,Query_Source_View!$Z:$Z,0)),"")</f>
        <v/>
      </c>
      <c r="N463" s="2" t="str">
        <f aca="false">IFERROR(INDEX(Query_Source_View!$W:$W,MATCH(ROW()-14,Query_Source_View!$Z:$Z,0)),"")</f>
        <v/>
      </c>
      <c r="O463" s="2" t="str">
        <f aca="false">IFERROR(INDEX(Query_Source_View!$X:$X,MATCH(ROW()-14,Query_Source_View!$Z:$Z,0)),"")</f>
        <v/>
      </c>
    </row>
    <row r="464" customFormat="false" ht="15" hidden="false" customHeight="false" outlineLevel="0" collapsed="false">
      <c r="A464" s="2" t="str">
        <f aca="false">IFERROR(INDEX(Query_Source_View!$A:$A,MATCH(ROW()-14,Query_Source_View!$Z:$Z,0)),"")</f>
        <v/>
      </c>
      <c r="B464" s="2" t="str">
        <f aca="false">IFERROR(INDEX(Query_Source_View!$D:$D,MATCH(ROW()-14,Query_Source_View!$Z:$Z,0)),"")</f>
        <v/>
      </c>
      <c r="C464" s="2" t="str">
        <f aca="false">IFERROR(INDEX(Query_Source_View!$F:$F,MATCH(ROW()-14,Query_Source_View!$Z:$Z,0)),"")</f>
        <v/>
      </c>
      <c r="D464" s="2" t="str">
        <f aca="false">IFERROR(INDEX(Query_Source_View!$H:$H,MATCH(ROW()-14,Query_Source_View!$Z:$Z,0)),"")</f>
        <v/>
      </c>
      <c r="E464" s="2" t="str">
        <f aca="false">IFERROR(INDEX(Query_Source_View!$J:$J,MATCH(ROW()-14,Query_Source_View!$Z:$Z,0)),"")</f>
        <v/>
      </c>
      <c r="F464" s="2" t="str">
        <f aca="false">IFERROR(INDEX(Query_Source_View!$L:$L,MATCH(ROW()-14,Query_Source_View!$Z:$Z,0)),"")</f>
        <v/>
      </c>
      <c r="G464" s="2" t="str">
        <f aca="false">IFERROR(INDEX(Query_Source_View!$N:$N,MATCH(ROW()-14,Query_Source_View!$Z:$Z,0)),"")</f>
        <v/>
      </c>
      <c r="H464" s="2" t="str">
        <f aca="false">IFERROR(INDEX(Query_Source_View!$P:$P,MATCH(ROW()-14,Query_Source_View!$Z:$Z,0)),"")</f>
        <v/>
      </c>
      <c r="I464" s="2" t="str">
        <f aca="false">IFERROR(INDEX(Query_Source_View!$Q:$Q,MATCH(ROW()-14,Query_Source_View!$Z:$Z,0)),"")</f>
        <v/>
      </c>
      <c r="J464" s="2" t="str">
        <f aca="false">IFERROR(INDEX(Query_Source_View!$R:$R,MATCH(ROW()-14,Query_Source_View!$Z:$Z,0)),"")</f>
        <v/>
      </c>
      <c r="K464" s="2" t="str">
        <f aca="false">IFERROR(INDEX(Query_Source_View!$T:$T,MATCH(ROW()-14,Query_Source_View!$Z:$Z,0)),"")</f>
        <v/>
      </c>
      <c r="L464" s="2" t="str">
        <f aca="false">IFERROR(INDEX(Query_Source_View!$U:$U,MATCH(ROW()-14,Query_Source_View!$Z:$Z,0)),"")</f>
        <v/>
      </c>
      <c r="M464" s="2" t="str">
        <f aca="false">IFERROR(INDEX(Query_Source_View!$V:$V,MATCH(ROW()-14,Query_Source_View!$Z:$Z,0)),"")</f>
        <v/>
      </c>
      <c r="N464" s="2" t="str">
        <f aca="false">IFERROR(INDEX(Query_Source_View!$W:$W,MATCH(ROW()-14,Query_Source_View!$Z:$Z,0)),"")</f>
        <v/>
      </c>
      <c r="O464" s="2" t="str">
        <f aca="false">IFERROR(INDEX(Query_Source_View!$X:$X,MATCH(ROW()-14,Query_Source_View!$Z:$Z,0)),"")</f>
        <v/>
      </c>
    </row>
    <row r="465" customFormat="false" ht="15" hidden="false" customHeight="false" outlineLevel="0" collapsed="false">
      <c r="A465" s="2" t="str">
        <f aca="false">IFERROR(INDEX(Query_Source_View!$A:$A,MATCH(ROW()-14,Query_Source_View!$Z:$Z,0)),"")</f>
        <v/>
      </c>
      <c r="B465" s="2" t="str">
        <f aca="false">IFERROR(INDEX(Query_Source_View!$D:$D,MATCH(ROW()-14,Query_Source_View!$Z:$Z,0)),"")</f>
        <v/>
      </c>
      <c r="C465" s="2" t="str">
        <f aca="false">IFERROR(INDEX(Query_Source_View!$F:$F,MATCH(ROW()-14,Query_Source_View!$Z:$Z,0)),"")</f>
        <v/>
      </c>
      <c r="D465" s="2" t="str">
        <f aca="false">IFERROR(INDEX(Query_Source_View!$H:$H,MATCH(ROW()-14,Query_Source_View!$Z:$Z,0)),"")</f>
        <v/>
      </c>
      <c r="E465" s="2" t="str">
        <f aca="false">IFERROR(INDEX(Query_Source_View!$J:$J,MATCH(ROW()-14,Query_Source_View!$Z:$Z,0)),"")</f>
        <v/>
      </c>
      <c r="F465" s="2" t="str">
        <f aca="false">IFERROR(INDEX(Query_Source_View!$L:$L,MATCH(ROW()-14,Query_Source_View!$Z:$Z,0)),"")</f>
        <v/>
      </c>
      <c r="G465" s="2" t="str">
        <f aca="false">IFERROR(INDEX(Query_Source_View!$N:$N,MATCH(ROW()-14,Query_Source_View!$Z:$Z,0)),"")</f>
        <v/>
      </c>
      <c r="H465" s="2" t="str">
        <f aca="false">IFERROR(INDEX(Query_Source_View!$P:$P,MATCH(ROW()-14,Query_Source_View!$Z:$Z,0)),"")</f>
        <v/>
      </c>
      <c r="I465" s="2" t="str">
        <f aca="false">IFERROR(INDEX(Query_Source_View!$Q:$Q,MATCH(ROW()-14,Query_Source_View!$Z:$Z,0)),"")</f>
        <v/>
      </c>
      <c r="J465" s="2" t="str">
        <f aca="false">IFERROR(INDEX(Query_Source_View!$R:$R,MATCH(ROW()-14,Query_Source_View!$Z:$Z,0)),"")</f>
        <v/>
      </c>
      <c r="K465" s="2" t="str">
        <f aca="false">IFERROR(INDEX(Query_Source_View!$T:$T,MATCH(ROW()-14,Query_Source_View!$Z:$Z,0)),"")</f>
        <v/>
      </c>
      <c r="L465" s="2" t="str">
        <f aca="false">IFERROR(INDEX(Query_Source_View!$U:$U,MATCH(ROW()-14,Query_Source_View!$Z:$Z,0)),"")</f>
        <v/>
      </c>
      <c r="M465" s="2" t="str">
        <f aca="false">IFERROR(INDEX(Query_Source_View!$V:$V,MATCH(ROW()-14,Query_Source_View!$Z:$Z,0)),"")</f>
        <v/>
      </c>
      <c r="N465" s="2" t="str">
        <f aca="false">IFERROR(INDEX(Query_Source_View!$W:$W,MATCH(ROW()-14,Query_Source_View!$Z:$Z,0)),"")</f>
        <v/>
      </c>
      <c r="O465" s="2" t="str">
        <f aca="false">IFERROR(INDEX(Query_Source_View!$X:$X,MATCH(ROW()-14,Query_Source_View!$Z:$Z,0)),"")</f>
        <v/>
      </c>
    </row>
    <row r="466" customFormat="false" ht="15" hidden="false" customHeight="false" outlineLevel="0" collapsed="false">
      <c r="A466" s="2" t="str">
        <f aca="false">IFERROR(INDEX(Query_Source_View!$A:$A,MATCH(ROW()-14,Query_Source_View!$Z:$Z,0)),"")</f>
        <v/>
      </c>
      <c r="B466" s="2" t="str">
        <f aca="false">IFERROR(INDEX(Query_Source_View!$D:$D,MATCH(ROW()-14,Query_Source_View!$Z:$Z,0)),"")</f>
        <v/>
      </c>
      <c r="C466" s="2" t="str">
        <f aca="false">IFERROR(INDEX(Query_Source_View!$F:$F,MATCH(ROW()-14,Query_Source_View!$Z:$Z,0)),"")</f>
        <v/>
      </c>
      <c r="D466" s="2" t="str">
        <f aca="false">IFERROR(INDEX(Query_Source_View!$H:$H,MATCH(ROW()-14,Query_Source_View!$Z:$Z,0)),"")</f>
        <v/>
      </c>
      <c r="E466" s="2" t="str">
        <f aca="false">IFERROR(INDEX(Query_Source_View!$J:$J,MATCH(ROW()-14,Query_Source_View!$Z:$Z,0)),"")</f>
        <v/>
      </c>
      <c r="F466" s="2" t="str">
        <f aca="false">IFERROR(INDEX(Query_Source_View!$L:$L,MATCH(ROW()-14,Query_Source_View!$Z:$Z,0)),"")</f>
        <v/>
      </c>
      <c r="G466" s="2" t="str">
        <f aca="false">IFERROR(INDEX(Query_Source_View!$N:$N,MATCH(ROW()-14,Query_Source_View!$Z:$Z,0)),"")</f>
        <v/>
      </c>
      <c r="H466" s="2" t="str">
        <f aca="false">IFERROR(INDEX(Query_Source_View!$P:$P,MATCH(ROW()-14,Query_Source_View!$Z:$Z,0)),"")</f>
        <v/>
      </c>
      <c r="I466" s="2" t="str">
        <f aca="false">IFERROR(INDEX(Query_Source_View!$Q:$Q,MATCH(ROW()-14,Query_Source_View!$Z:$Z,0)),"")</f>
        <v/>
      </c>
      <c r="J466" s="2" t="str">
        <f aca="false">IFERROR(INDEX(Query_Source_View!$R:$R,MATCH(ROW()-14,Query_Source_View!$Z:$Z,0)),"")</f>
        <v/>
      </c>
      <c r="K466" s="2" t="str">
        <f aca="false">IFERROR(INDEX(Query_Source_View!$T:$T,MATCH(ROW()-14,Query_Source_View!$Z:$Z,0)),"")</f>
        <v/>
      </c>
      <c r="L466" s="2" t="str">
        <f aca="false">IFERROR(INDEX(Query_Source_View!$U:$U,MATCH(ROW()-14,Query_Source_View!$Z:$Z,0)),"")</f>
        <v/>
      </c>
      <c r="M466" s="2" t="str">
        <f aca="false">IFERROR(INDEX(Query_Source_View!$V:$V,MATCH(ROW()-14,Query_Source_View!$Z:$Z,0)),"")</f>
        <v/>
      </c>
      <c r="N466" s="2" t="str">
        <f aca="false">IFERROR(INDEX(Query_Source_View!$W:$W,MATCH(ROW()-14,Query_Source_View!$Z:$Z,0)),"")</f>
        <v/>
      </c>
      <c r="O466" s="2" t="str">
        <f aca="false">IFERROR(INDEX(Query_Source_View!$X:$X,MATCH(ROW()-14,Query_Source_View!$Z:$Z,0)),"")</f>
        <v/>
      </c>
    </row>
    <row r="467" customFormat="false" ht="15" hidden="false" customHeight="false" outlineLevel="0" collapsed="false">
      <c r="A467" s="2" t="str">
        <f aca="false">IFERROR(INDEX(Query_Source_View!$A:$A,MATCH(ROW()-14,Query_Source_View!$Z:$Z,0)),"")</f>
        <v/>
      </c>
      <c r="B467" s="2" t="str">
        <f aca="false">IFERROR(INDEX(Query_Source_View!$D:$D,MATCH(ROW()-14,Query_Source_View!$Z:$Z,0)),"")</f>
        <v/>
      </c>
      <c r="C467" s="2" t="str">
        <f aca="false">IFERROR(INDEX(Query_Source_View!$F:$F,MATCH(ROW()-14,Query_Source_View!$Z:$Z,0)),"")</f>
        <v/>
      </c>
      <c r="D467" s="2" t="str">
        <f aca="false">IFERROR(INDEX(Query_Source_View!$H:$H,MATCH(ROW()-14,Query_Source_View!$Z:$Z,0)),"")</f>
        <v/>
      </c>
      <c r="E467" s="2" t="str">
        <f aca="false">IFERROR(INDEX(Query_Source_View!$J:$J,MATCH(ROW()-14,Query_Source_View!$Z:$Z,0)),"")</f>
        <v/>
      </c>
      <c r="F467" s="2" t="str">
        <f aca="false">IFERROR(INDEX(Query_Source_View!$L:$L,MATCH(ROW()-14,Query_Source_View!$Z:$Z,0)),"")</f>
        <v/>
      </c>
      <c r="G467" s="2" t="str">
        <f aca="false">IFERROR(INDEX(Query_Source_View!$N:$N,MATCH(ROW()-14,Query_Source_View!$Z:$Z,0)),"")</f>
        <v/>
      </c>
      <c r="H467" s="2" t="str">
        <f aca="false">IFERROR(INDEX(Query_Source_View!$P:$P,MATCH(ROW()-14,Query_Source_View!$Z:$Z,0)),"")</f>
        <v/>
      </c>
      <c r="I467" s="2" t="str">
        <f aca="false">IFERROR(INDEX(Query_Source_View!$Q:$Q,MATCH(ROW()-14,Query_Source_View!$Z:$Z,0)),"")</f>
        <v/>
      </c>
      <c r="J467" s="2" t="str">
        <f aca="false">IFERROR(INDEX(Query_Source_View!$R:$R,MATCH(ROW()-14,Query_Source_View!$Z:$Z,0)),"")</f>
        <v/>
      </c>
      <c r="K467" s="2" t="str">
        <f aca="false">IFERROR(INDEX(Query_Source_View!$T:$T,MATCH(ROW()-14,Query_Source_View!$Z:$Z,0)),"")</f>
        <v/>
      </c>
      <c r="L467" s="2" t="str">
        <f aca="false">IFERROR(INDEX(Query_Source_View!$U:$U,MATCH(ROW()-14,Query_Source_View!$Z:$Z,0)),"")</f>
        <v/>
      </c>
      <c r="M467" s="2" t="str">
        <f aca="false">IFERROR(INDEX(Query_Source_View!$V:$V,MATCH(ROW()-14,Query_Source_View!$Z:$Z,0)),"")</f>
        <v/>
      </c>
      <c r="N467" s="2" t="str">
        <f aca="false">IFERROR(INDEX(Query_Source_View!$W:$W,MATCH(ROW()-14,Query_Source_View!$Z:$Z,0)),"")</f>
        <v/>
      </c>
      <c r="O467" s="2" t="str">
        <f aca="false">IFERROR(INDEX(Query_Source_View!$X:$X,MATCH(ROW()-14,Query_Source_View!$Z:$Z,0)),"")</f>
        <v/>
      </c>
    </row>
    <row r="468" customFormat="false" ht="15" hidden="false" customHeight="false" outlineLevel="0" collapsed="false">
      <c r="A468" s="2" t="str">
        <f aca="false">IFERROR(INDEX(Query_Source_View!$A:$A,MATCH(ROW()-14,Query_Source_View!$Z:$Z,0)),"")</f>
        <v/>
      </c>
      <c r="B468" s="2" t="str">
        <f aca="false">IFERROR(INDEX(Query_Source_View!$D:$D,MATCH(ROW()-14,Query_Source_View!$Z:$Z,0)),"")</f>
        <v/>
      </c>
      <c r="C468" s="2" t="str">
        <f aca="false">IFERROR(INDEX(Query_Source_View!$F:$F,MATCH(ROW()-14,Query_Source_View!$Z:$Z,0)),"")</f>
        <v/>
      </c>
      <c r="D468" s="2" t="str">
        <f aca="false">IFERROR(INDEX(Query_Source_View!$H:$H,MATCH(ROW()-14,Query_Source_View!$Z:$Z,0)),"")</f>
        <v/>
      </c>
      <c r="E468" s="2" t="str">
        <f aca="false">IFERROR(INDEX(Query_Source_View!$J:$J,MATCH(ROW()-14,Query_Source_View!$Z:$Z,0)),"")</f>
        <v/>
      </c>
      <c r="F468" s="2" t="str">
        <f aca="false">IFERROR(INDEX(Query_Source_View!$L:$L,MATCH(ROW()-14,Query_Source_View!$Z:$Z,0)),"")</f>
        <v/>
      </c>
      <c r="G468" s="2" t="str">
        <f aca="false">IFERROR(INDEX(Query_Source_View!$N:$N,MATCH(ROW()-14,Query_Source_View!$Z:$Z,0)),"")</f>
        <v/>
      </c>
      <c r="H468" s="2" t="str">
        <f aca="false">IFERROR(INDEX(Query_Source_View!$P:$P,MATCH(ROW()-14,Query_Source_View!$Z:$Z,0)),"")</f>
        <v/>
      </c>
      <c r="I468" s="2" t="str">
        <f aca="false">IFERROR(INDEX(Query_Source_View!$Q:$Q,MATCH(ROW()-14,Query_Source_View!$Z:$Z,0)),"")</f>
        <v/>
      </c>
      <c r="J468" s="2" t="str">
        <f aca="false">IFERROR(INDEX(Query_Source_View!$R:$R,MATCH(ROW()-14,Query_Source_View!$Z:$Z,0)),"")</f>
        <v/>
      </c>
      <c r="K468" s="2" t="str">
        <f aca="false">IFERROR(INDEX(Query_Source_View!$T:$T,MATCH(ROW()-14,Query_Source_View!$Z:$Z,0)),"")</f>
        <v/>
      </c>
      <c r="L468" s="2" t="str">
        <f aca="false">IFERROR(INDEX(Query_Source_View!$U:$U,MATCH(ROW()-14,Query_Source_View!$Z:$Z,0)),"")</f>
        <v/>
      </c>
      <c r="M468" s="2" t="str">
        <f aca="false">IFERROR(INDEX(Query_Source_View!$V:$V,MATCH(ROW()-14,Query_Source_View!$Z:$Z,0)),"")</f>
        <v/>
      </c>
      <c r="N468" s="2" t="str">
        <f aca="false">IFERROR(INDEX(Query_Source_View!$W:$W,MATCH(ROW()-14,Query_Source_View!$Z:$Z,0)),"")</f>
        <v/>
      </c>
      <c r="O468" s="2" t="str">
        <f aca="false">IFERROR(INDEX(Query_Source_View!$X:$X,MATCH(ROW()-14,Query_Source_View!$Z:$Z,0)),"")</f>
        <v/>
      </c>
    </row>
    <row r="469" customFormat="false" ht="15" hidden="false" customHeight="false" outlineLevel="0" collapsed="false">
      <c r="A469" s="2" t="str">
        <f aca="false">IFERROR(INDEX(Query_Source_View!$A:$A,MATCH(ROW()-14,Query_Source_View!$Z:$Z,0)),"")</f>
        <v/>
      </c>
      <c r="B469" s="2" t="str">
        <f aca="false">IFERROR(INDEX(Query_Source_View!$D:$D,MATCH(ROW()-14,Query_Source_View!$Z:$Z,0)),"")</f>
        <v/>
      </c>
      <c r="C469" s="2" t="str">
        <f aca="false">IFERROR(INDEX(Query_Source_View!$F:$F,MATCH(ROW()-14,Query_Source_View!$Z:$Z,0)),"")</f>
        <v/>
      </c>
      <c r="D469" s="2" t="str">
        <f aca="false">IFERROR(INDEX(Query_Source_View!$H:$H,MATCH(ROW()-14,Query_Source_View!$Z:$Z,0)),"")</f>
        <v/>
      </c>
      <c r="E469" s="2" t="str">
        <f aca="false">IFERROR(INDEX(Query_Source_View!$J:$J,MATCH(ROW()-14,Query_Source_View!$Z:$Z,0)),"")</f>
        <v/>
      </c>
      <c r="F469" s="2" t="str">
        <f aca="false">IFERROR(INDEX(Query_Source_View!$L:$L,MATCH(ROW()-14,Query_Source_View!$Z:$Z,0)),"")</f>
        <v/>
      </c>
      <c r="G469" s="2" t="str">
        <f aca="false">IFERROR(INDEX(Query_Source_View!$N:$N,MATCH(ROW()-14,Query_Source_View!$Z:$Z,0)),"")</f>
        <v/>
      </c>
      <c r="H469" s="2" t="str">
        <f aca="false">IFERROR(INDEX(Query_Source_View!$P:$P,MATCH(ROW()-14,Query_Source_View!$Z:$Z,0)),"")</f>
        <v/>
      </c>
      <c r="I469" s="2" t="str">
        <f aca="false">IFERROR(INDEX(Query_Source_View!$Q:$Q,MATCH(ROW()-14,Query_Source_View!$Z:$Z,0)),"")</f>
        <v/>
      </c>
      <c r="J469" s="2" t="str">
        <f aca="false">IFERROR(INDEX(Query_Source_View!$R:$R,MATCH(ROW()-14,Query_Source_View!$Z:$Z,0)),"")</f>
        <v/>
      </c>
      <c r="K469" s="2" t="str">
        <f aca="false">IFERROR(INDEX(Query_Source_View!$T:$T,MATCH(ROW()-14,Query_Source_View!$Z:$Z,0)),"")</f>
        <v/>
      </c>
      <c r="L469" s="2" t="str">
        <f aca="false">IFERROR(INDEX(Query_Source_View!$U:$U,MATCH(ROW()-14,Query_Source_View!$Z:$Z,0)),"")</f>
        <v/>
      </c>
      <c r="M469" s="2" t="str">
        <f aca="false">IFERROR(INDEX(Query_Source_View!$V:$V,MATCH(ROW()-14,Query_Source_View!$Z:$Z,0)),"")</f>
        <v/>
      </c>
      <c r="N469" s="2" t="str">
        <f aca="false">IFERROR(INDEX(Query_Source_View!$W:$W,MATCH(ROW()-14,Query_Source_View!$Z:$Z,0)),"")</f>
        <v/>
      </c>
      <c r="O469" s="2" t="str">
        <f aca="false">IFERROR(INDEX(Query_Source_View!$X:$X,MATCH(ROW()-14,Query_Source_View!$Z:$Z,0)),"")</f>
        <v/>
      </c>
    </row>
    <row r="470" customFormat="false" ht="15" hidden="false" customHeight="false" outlineLevel="0" collapsed="false">
      <c r="A470" s="2" t="str">
        <f aca="false">IFERROR(INDEX(Query_Source_View!$A:$A,MATCH(ROW()-14,Query_Source_View!$Z:$Z,0)),"")</f>
        <v/>
      </c>
      <c r="B470" s="2" t="str">
        <f aca="false">IFERROR(INDEX(Query_Source_View!$D:$D,MATCH(ROW()-14,Query_Source_View!$Z:$Z,0)),"")</f>
        <v/>
      </c>
      <c r="C470" s="2" t="str">
        <f aca="false">IFERROR(INDEX(Query_Source_View!$F:$F,MATCH(ROW()-14,Query_Source_View!$Z:$Z,0)),"")</f>
        <v/>
      </c>
      <c r="D470" s="2" t="str">
        <f aca="false">IFERROR(INDEX(Query_Source_View!$H:$H,MATCH(ROW()-14,Query_Source_View!$Z:$Z,0)),"")</f>
        <v/>
      </c>
      <c r="E470" s="2" t="str">
        <f aca="false">IFERROR(INDEX(Query_Source_View!$J:$J,MATCH(ROW()-14,Query_Source_View!$Z:$Z,0)),"")</f>
        <v/>
      </c>
      <c r="F470" s="2" t="str">
        <f aca="false">IFERROR(INDEX(Query_Source_View!$L:$L,MATCH(ROW()-14,Query_Source_View!$Z:$Z,0)),"")</f>
        <v/>
      </c>
      <c r="G470" s="2" t="str">
        <f aca="false">IFERROR(INDEX(Query_Source_View!$N:$N,MATCH(ROW()-14,Query_Source_View!$Z:$Z,0)),"")</f>
        <v/>
      </c>
      <c r="H470" s="2" t="str">
        <f aca="false">IFERROR(INDEX(Query_Source_View!$P:$P,MATCH(ROW()-14,Query_Source_View!$Z:$Z,0)),"")</f>
        <v/>
      </c>
      <c r="I470" s="2" t="str">
        <f aca="false">IFERROR(INDEX(Query_Source_View!$Q:$Q,MATCH(ROW()-14,Query_Source_View!$Z:$Z,0)),"")</f>
        <v/>
      </c>
      <c r="J470" s="2" t="str">
        <f aca="false">IFERROR(INDEX(Query_Source_View!$R:$R,MATCH(ROW()-14,Query_Source_View!$Z:$Z,0)),"")</f>
        <v/>
      </c>
      <c r="K470" s="2" t="str">
        <f aca="false">IFERROR(INDEX(Query_Source_View!$T:$T,MATCH(ROW()-14,Query_Source_View!$Z:$Z,0)),"")</f>
        <v/>
      </c>
      <c r="L470" s="2" t="str">
        <f aca="false">IFERROR(INDEX(Query_Source_View!$U:$U,MATCH(ROW()-14,Query_Source_View!$Z:$Z,0)),"")</f>
        <v/>
      </c>
      <c r="M470" s="2" t="str">
        <f aca="false">IFERROR(INDEX(Query_Source_View!$V:$V,MATCH(ROW()-14,Query_Source_View!$Z:$Z,0)),"")</f>
        <v/>
      </c>
      <c r="N470" s="2" t="str">
        <f aca="false">IFERROR(INDEX(Query_Source_View!$W:$W,MATCH(ROW()-14,Query_Source_View!$Z:$Z,0)),"")</f>
        <v/>
      </c>
      <c r="O470" s="2" t="str">
        <f aca="false">IFERROR(INDEX(Query_Source_View!$X:$X,MATCH(ROW()-14,Query_Source_View!$Z:$Z,0)),"")</f>
        <v/>
      </c>
    </row>
    <row r="471" customFormat="false" ht="15" hidden="false" customHeight="false" outlineLevel="0" collapsed="false">
      <c r="A471" s="2" t="str">
        <f aca="false">IFERROR(INDEX(Query_Source_View!$A:$A,MATCH(ROW()-14,Query_Source_View!$Z:$Z,0)),"")</f>
        <v/>
      </c>
      <c r="B471" s="2" t="str">
        <f aca="false">IFERROR(INDEX(Query_Source_View!$D:$D,MATCH(ROW()-14,Query_Source_View!$Z:$Z,0)),"")</f>
        <v/>
      </c>
      <c r="C471" s="2" t="str">
        <f aca="false">IFERROR(INDEX(Query_Source_View!$F:$F,MATCH(ROW()-14,Query_Source_View!$Z:$Z,0)),"")</f>
        <v/>
      </c>
      <c r="D471" s="2" t="str">
        <f aca="false">IFERROR(INDEX(Query_Source_View!$H:$H,MATCH(ROW()-14,Query_Source_View!$Z:$Z,0)),"")</f>
        <v/>
      </c>
      <c r="E471" s="2" t="str">
        <f aca="false">IFERROR(INDEX(Query_Source_View!$J:$J,MATCH(ROW()-14,Query_Source_View!$Z:$Z,0)),"")</f>
        <v/>
      </c>
      <c r="F471" s="2" t="str">
        <f aca="false">IFERROR(INDEX(Query_Source_View!$L:$L,MATCH(ROW()-14,Query_Source_View!$Z:$Z,0)),"")</f>
        <v/>
      </c>
      <c r="G471" s="2" t="str">
        <f aca="false">IFERROR(INDEX(Query_Source_View!$N:$N,MATCH(ROW()-14,Query_Source_View!$Z:$Z,0)),"")</f>
        <v/>
      </c>
      <c r="H471" s="2" t="str">
        <f aca="false">IFERROR(INDEX(Query_Source_View!$P:$P,MATCH(ROW()-14,Query_Source_View!$Z:$Z,0)),"")</f>
        <v/>
      </c>
      <c r="I471" s="2" t="str">
        <f aca="false">IFERROR(INDEX(Query_Source_View!$Q:$Q,MATCH(ROW()-14,Query_Source_View!$Z:$Z,0)),"")</f>
        <v/>
      </c>
      <c r="J471" s="2" t="str">
        <f aca="false">IFERROR(INDEX(Query_Source_View!$R:$R,MATCH(ROW()-14,Query_Source_View!$Z:$Z,0)),"")</f>
        <v/>
      </c>
      <c r="K471" s="2" t="str">
        <f aca="false">IFERROR(INDEX(Query_Source_View!$T:$T,MATCH(ROW()-14,Query_Source_View!$Z:$Z,0)),"")</f>
        <v/>
      </c>
      <c r="L471" s="2" t="str">
        <f aca="false">IFERROR(INDEX(Query_Source_View!$U:$U,MATCH(ROW()-14,Query_Source_View!$Z:$Z,0)),"")</f>
        <v/>
      </c>
      <c r="M471" s="2" t="str">
        <f aca="false">IFERROR(INDEX(Query_Source_View!$V:$V,MATCH(ROW()-14,Query_Source_View!$Z:$Z,0)),"")</f>
        <v/>
      </c>
      <c r="N471" s="2" t="str">
        <f aca="false">IFERROR(INDEX(Query_Source_View!$W:$W,MATCH(ROW()-14,Query_Source_View!$Z:$Z,0)),"")</f>
        <v/>
      </c>
      <c r="O471" s="2" t="str">
        <f aca="false">IFERROR(INDEX(Query_Source_View!$X:$X,MATCH(ROW()-14,Query_Source_View!$Z:$Z,0)),"")</f>
        <v/>
      </c>
    </row>
    <row r="472" customFormat="false" ht="15" hidden="false" customHeight="false" outlineLevel="0" collapsed="false">
      <c r="A472" s="2" t="str">
        <f aca="false">IFERROR(INDEX(Query_Source_View!$A:$A,MATCH(ROW()-14,Query_Source_View!$Z:$Z,0)),"")</f>
        <v/>
      </c>
      <c r="B472" s="2" t="str">
        <f aca="false">IFERROR(INDEX(Query_Source_View!$D:$D,MATCH(ROW()-14,Query_Source_View!$Z:$Z,0)),"")</f>
        <v/>
      </c>
      <c r="C472" s="2" t="str">
        <f aca="false">IFERROR(INDEX(Query_Source_View!$F:$F,MATCH(ROW()-14,Query_Source_View!$Z:$Z,0)),"")</f>
        <v/>
      </c>
      <c r="D472" s="2" t="str">
        <f aca="false">IFERROR(INDEX(Query_Source_View!$H:$H,MATCH(ROW()-14,Query_Source_View!$Z:$Z,0)),"")</f>
        <v/>
      </c>
      <c r="E472" s="2" t="str">
        <f aca="false">IFERROR(INDEX(Query_Source_View!$J:$J,MATCH(ROW()-14,Query_Source_View!$Z:$Z,0)),"")</f>
        <v/>
      </c>
      <c r="F472" s="2" t="str">
        <f aca="false">IFERROR(INDEX(Query_Source_View!$L:$L,MATCH(ROW()-14,Query_Source_View!$Z:$Z,0)),"")</f>
        <v/>
      </c>
      <c r="G472" s="2" t="str">
        <f aca="false">IFERROR(INDEX(Query_Source_View!$N:$N,MATCH(ROW()-14,Query_Source_View!$Z:$Z,0)),"")</f>
        <v/>
      </c>
      <c r="H472" s="2" t="str">
        <f aca="false">IFERROR(INDEX(Query_Source_View!$P:$P,MATCH(ROW()-14,Query_Source_View!$Z:$Z,0)),"")</f>
        <v/>
      </c>
      <c r="I472" s="2" t="str">
        <f aca="false">IFERROR(INDEX(Query_Source_View!$Q:$Q,MATCH(ROW()-14,Query_Source_View!$Z:$Z,0)),"")</f>
        <v/>
      </c>
      <c r="J472" s="2" t="str">
        <f aca="false">IFERROR(INDEX(Query_Source_View!$R:$R,MATCH(ROW()-14,Query_Source_View!$Z:$Z,0)),"")</f>
        <v/>
      </c>
      <c r="K472" s="2" t="str">
        <f aca="false">IFERROR(INDEX(Query_Source_View!$T:$T,MATCH(ROW()-14,Query_Source_View!$Z:$Z,0)),"")</f>
        <v/>
      </c>
      <c r="L472" s="2" t="str">
        <f aca="false">IFERROR(INDEX(Query_Source_View!$U:$U,MATCH(ROW()-14,Query_Source_View!$Z:$Z,0)),"")</f>
        <v/>
      </c>
      <c r="M472" s="2" t="str">
        <f aca="false">IFERROR(INDEX(Query_Source_View!$V:$V,MATCH(ROW()-14,Query_Source_View!$Z:$Z,0)),"")</f>
        <v/>
      </c>
      <c r="N472" s="2" t="str">
        <f aca="false">IFERROR(INDEX(Query_Source_View!$W:$W,MATCH(ROW()-14,Query_Source_View!$Z:$Z,0)),"")</f>
        <v/>
      </c>
      <c r="O472" s="2" t="str">
        <f aca="false">IFERROR(INDEX(Query_Source_View!$X:$X,MATCH(ROW()-14,Query_Source_View!$Z:$Z,0)),"")</f>
        <v/>
      </c>
    </row>
    <row r="473" customFormat="false" ht="15" hidden="false" customHeight="false" outlineLevel="0" collapsed="false">
      <c r="A473" s="2" t="str">
        <f aca="false">IFERROR(INDEX(Query_Source_View!$A:$A,MATCH(ROW()-14,Query_Source_View!$Z:$Z,0)),"")</f>
        <v/>
      </c>
      <c r="B473" s="2" t="str">
        <f aca="false">IFERROR(INDEX(Query_Source_View!$D:$D,MATCH(ROW()-14,Query_Source_View!$Z:$Z,0)),"")</f>
        <v/>
      </c>
      <c r="C473" s="2" t="str">
        <f aca="false">IFERROR(INDEX(Query_Source_View!$F:$F,MATCH(ROW()-14,Query_Source_View!$Z:$Z,0)),"")</f>
        <v/>
      </c>
      <c r="D473" s="2" t="str">
        <f aca="false">IFERROR(INDEX(Query_Source_View!$H:$H,MATCH(ROW()-14,Query_Source_View!$Z:$Z,0)),"")</f>
        <v/>
      </c>
      <c r="E473" s="2" t="str">
        <f aca="false">IFERROR(INDEX(Query_Source_View!$J:$J,MATCH(ROW()-14,Query_Source_View!$Z:$Z,0)),"")</f>
        <v/>
      </c>
      <c r="F473" s="2" t="str">
        <f aca="false">IFERROR(INDEX(Query_Source_View!$L:$L,MATCH(ROW()-14,Query_Source_View!$Z:$Z,0)),"")</f>
        <v/>
      </c>
      <c r="G473" s="2" t="str">
        <f aca="false">IFERROR(INDEX(Query_Source_View!$N:$N,MATCH(ROW()-14,Query_Source_View!$Z:$Z,0)),"")</f>
        <v/>
      </c>
      <c r="H473" s="2" t="str">
        <f aca="false">IFERROR(INDEX(Query_Source_View!$P:$P,MATCH(ROW()-14,Query_Source_View!$Z:$Z,0)),"")</f>
        <v/>
      </c>
      <c r="I473" s="2" t="str">
        <f aca="false">IFERROR(INDEX(Query_Source_View!$Q:$Q,MATCH(ROW()-14,Query_Source_View!$Z:$Z,0)),"")</f>
        <v/>
      </c>
      <c r="J473" s="2" t="str">
        <f aca="false">IFERROR(INDEX(Query_Source_View!$R:$R,MATCH(ROW()-14,Query_Source_View!$Z:$Z,0)),"")</f>
        <v/>
      </c>
      <c r="K473" s="2" t="str">
        <f aca="false">IFERROR(INDEX(Query_Source_View!$T:$T,MATCH(ROW()-14,Query_Source_View!$Z:$Z,0)),"")</f>
        <v/>
      </c>
      <c r="L473" s="2" t="str">
        <f aca="false">IFERROR(INDEX(Query_Source_View!$U:$U,MATCH(ROW()-14,Query_Source_View!$Z:$Z,0)),"")</f>
        <v/>
      </c>
      <c r="M473" s="2" t="str">
        <f aca="false">IFERROR(INDEX(Query_Source_View!$V:$V,MATCH(ROW()-14,Query_Source_View!$Z:$Z,0)),"")</f>
        <v/>
      </c>
      <c r="N473" s="2" t="str">
        <f aca="false">IFERROR(INDEX(Query_Source_View!$W:$W,MATCH(ROW()-14,Query_Source_View!$Z:$Z,0)),"")</f>
        <v/>
      </c>
      <c r="O473" s="2" t="str">
        <f aca="false">IFERROR(INDEX(Query_Source_View!$X:$X,MATCH(ROW()-14,Query_Source_View!$Z:$Z,0)),"")</f>
        <v/>
      </c>
    </row>
    <row r="474" customFormat="false" ht="15" hidden="false" customHeight="false" outlineLevel="0" collapsed="false">
      <c r="A474" s="2" t="str">
        <f aca="false">IFERROR(INDEX(Query_Source_View!$A:$A,MATCH(ROW()-14,Query_Source_View!$Z:$Z,0)),"")</f>
        <v/>
      </c>
      <c r="B474" s="2" t="str">
        <f aca="false">IFERROR(INDEX(Query_Source_View!$D:$D,MATCH(ROW()-14,Query_Source_View!$Z:$Z,0)),"")</f>
        <v/>
      </c>
      <c r="C474" s="2" t="str">
        <f aca="false">IFERROR(INDEX(Query_Source_View!$F:$F,MATCH(ROW()-14,Query_Source_View!$Z:$Z,0)),"")</f>
        <v/>
      </c>
      <c r="D474" s="2" t="str">
        <f aca="false">IFERROR(INDEX(Query_Source_View!$H:$H,MATCH(ROW()-14,Query_Source_View!$Z:$Z,0)),"")</f>
        <v/>
      </c>
      <c r="E474" s="2" t="str">
        <f aca="false">IFERROR(INDEX(Query_Source_View!$J:$J,MATCH(ROW()-14,Query_Source_View!$Z:$Z,0)),"")</f>
        <v/>
      </c>
      <c r="F474" s="2" t="str">
        <f aca="false">IFERROR(INDEX(Query_Source_View!$L:$L,MATCH(ROW()-14,Query_Source_View!$Z:$Z,0)),"")</f>
        <v/>
      </c>
      <c r="G474" s="2" t="str">
        <f aca="false">IFERROR(INDEX(Query_Source_View!$N:$N,MATCH(ROW()-14,Query_Source_View!$Z:$Z,0)),"")</f>
        <v/>
      </c>
      <c r="H474" s="2" t="str">
        <f aca="false">IFERROR(INDEX(Query_Source_View!$P:$P,MATCH(ROW()-14,Query_Source_View!$Z:$Z,0)),"")</f>
        <v/>
      </c>
      <c r="I474" s="2" t="str">
        <f aca="false">IFERROR(INDEX(Query_Source_View!$Q:$Q,MATCH(ROW()-14,Query_Source_View!$Z:$Z,0)),"")</f>
        <v/>
      </c>
      <c r="J474" s="2" t="str">
        <f aca="false">IFERROR(INDEX(Query_Source_View!$R:$R,MATCH(ROW()-14,Query_Source_View!$Z:$Z,0)),"")</f>
        <v/>
      </c>
      <c r="K474" s="2" t="str">
        <f aca="false">IFERROR(INDEX(Query_Source_View!$T:$T,MATCH(ROW()-14,Query_Source_View!$Z:$Z,0)),"")</f>
        <v/>
      </c>
      <c r="L474" s="2" t="str">
        <f aca="false">IFERROR(INDEX(Query_Source_View!$U:$U,MATCH(ROW()-14,Query_Source_View!$Z:$Z,0)),"")</f>
        <v/>
      </c>
      <c r="M474" s="2" t="str">
        <f aca="false">IFERROR(INDEX(Query_Source_View!$V:$V,MATCH(ROW()-14,Query_Source_View!$Z:$Z,0)),"")</f>
        <v/>
      </c>
      <c r="N474" s="2" t="str">
        <f aca="false">IFERROR(INDEX(Query_Source_View!$W:$W,MATCH(ROW()-14,Query_Source_View!$Z:$Z,0)),"")</f>
        <v/>
      </c>
      <c r="O474" s="2" t="str">
        <f aca="false">IFERROR(INDEX(Query_Source_View!$X:$X,MATCH(ROW()-14,Query_Source_View!$Z:$Z,0)),"")</f>
        <v/>
      </c>
    </row>
    <row r="475" customFormat="false" ht="15" hidden="false" customHeight="false" outlineLevel="0" collapsed="false">
      <c r="A475" s="2" t="str">
        <f aca="false">IFERROR(INDEX(Query_Source_View!$A:$A,MATCH(ROW()-14,Query_Source_View!$Z:$Z,0)),"")</f>
        <v/>
      </c>
      <c r="B475" s="2" t="str">
        <f aca="false">IFERROR(INDEX(Query_Source_View!$D:$D,MATCH(ROW()-14,Query_Source_View!$Z:$Z,0)),"")</f>
        <v/>
      </c>
      <c r="C475" s="2" t="str">
        <f aca="false">IFERROR(INDEX(Query_Source_View!$F:$F,MATCH(ROW()-14,Query_Source_View!$Z:$Z,0)),"")</f>
        <v/>
      </c>
      <c r="D475" s="2" t="str">
        <f aca="false">IFERROR(INDEX(Query_Source_View!$H:$H,MATCH(ROW()-14,Query_Source_View!$Z:$Z,0)),"")</f>
        <v/>
      </c>
      <c r="E475" s="2" t="str">
        <f aca="false">IFERROR(INDEX(Query_Source_View!$J:$J,MATCH(ROW()-14,Query_Source_View!$Z:$Z,0)),"")</f>
        <v/>
      </c>
      <c r="F475" s="2" t="str">
        <f aca="false">IFERROR(INDEX(Query_Source_View!$L:$L,MATCH(ROW()-14,Query_Source_View!$Z:$Z,0)),"")</f>
        <v/>
      </c>
      <c r="G475" s="2" t="str">
        <f aca="false">IFERROR(INDEX(Query_Source_View!$N:$N,MATCH(ROW()-14,Query_Source_View!$Z:$Z,0)),"")</f>
        <v/>
      </c>
      <c r="H475" s="2" t="str">
        <f aca="false">IFERROR(INDEX(Query_Source_View!$P:$P,MATCH(ROW()-14,Query_Source_View!$Z:$Z,0)),"")</f>
        <v/>
      </c>
      <c r="I475" s="2" t="str">
        <f aca="false">IFERROR(INDEX(Query_Source_View!$Q:$Q,MATCH(ROW()-14,Query_Source_View!$Z:$Z,0)),"")</f>
        <v/>
      </c>
      <c r="J475" s="2" t="str">
        <f aca="false">IFERROR(INDEX(Query_Source_View!$R:$R,MATCH(ROW()-14,Query_Source_View!$Z:$Z,0)),"")</f>
        <v/>
      </c>
      <c r="K475" s="2" t="str">
        <f aca="false">IFERROR(INDEX(Query_Source_View!$T:$T,MATCH(ROW()-14,Query_Source_View!$Z:$Z,0)),"")</f>
        <v/>
      </c>
      <c r="L475" s="2" t="str">
        <f aca="false">IFERROR(INDEX(Query_Source_View!$U:$U,MATCH(ROW()-14,Query_Source_View!$Z:$Z,0)),"")</f>
        <v/>
      </c>
      <c r="M475" s="2" t="str">
        <f aca="false">IFERROR(INDEX(Query_Source_View!$V:$V,MATCH(ROW()-14,Query_Source_View!$Z:$Z,0)),"")</f>
        <v/>
      </c>
      <c r="N475" s="2" t="str">
        <f aca="false">IFERROR(INDEX(Query_Source_View!$W:$W,MATCH(ROW()-14,Query_Source_View!$Z:$Z,0)),"")</f>
        <v/>
      </c>
      <c r="O475" s="2" t="str">
        <f aca="false">IFERROR(INDEX(Query_Source_View!$X:$X,MATCH(ROW()-14,Query_Source_View!$Z:$Z,0)),"")</f>
        <v/>
      </c>
    </row>
    <row r="476" customFormat="false" ht="15" hidden="false" customHeight="false" outlineLevel="0" collapsed="false">
      <c r="A476" s="2" t="str">
        <f aca="false">IFERROR(INDEX(Query_Source_View!$A:$A,MATCH(ROW()-14,Query_Source_View!$Z:$Z,0)),"")</f>
        <v/>
      </c>
      <c r="B476" s="2" t="str">
        <f aca="false">IFERROR(INDEX(Query_Source_View!$D:$D,MATCH(ROW()-14,Query_Source_View!$Z:$Z,0)),"")</f>
        <v/>
      </c>
      <c r="C476" s="2" t="str">
        <f aca="false">IFERROR(INDEX(Query_Source_View!$F:$F,MATCH(ROW()-14,Query_Source_View!$Z:$Z,0)),"")</f>
        <v/>
      </c>
      <c r="D476" s="2" t="str">
        <f aca="false">IFERROR(INDEX(Query_Source_View!$H:$H,MATCH(ROW()-14,Query_Source_View!$Z:$Z,0)),"")</f>
        <v/>
      </c>
      <c r="E476" s="2" t="str">
        <f aca="false">IFERROR(INDEX(Query_Source_View!$J:$J,MATCH(ROW()-14,Query_Source_View!$Z:$Z,0)),"")</f>
        <v/>
      </c>
      <c r="F476" s="2" t="str">
        <f aca="false">IFERROR(INDEX(Query_Source_View!$L:$L,MATCH(ROW()-14,Query_Source_View!$Z:$Z,0)),"")</f>
        <v/>
      </c>
      <c r="G476" s="2" t="str">
        <f aca="false">IFERROR(INDEX(Query_Source_View!$N:$N,MATCH(ROW()-14,Query_Source_View!$Z:$Z,0)),"")</f>
        <v/>
      </c>
      <c r="H476" s="2" t="str">
        <f aca="false">IFERROR(INDEX(Query_Source_View!$P:$P,MATCH(ROW()-14,Query_Source_View!$Z:$Z,0)),"")</f>
        <v/>
      </c>
      <c r="I476" s="2" t="str">
        <f aca="false">IFERROR(INDEX(Query_Source_View!$Q:$Q,MATCH(ROW()-14,Query_Source_View!$Z:$Z,0)),"")</f>
        <v/>
      </c>
      <c r="J476" s="2" t="str">
        <f aca="false">IFERROR(INDEX(Query_Source_View!$R:$R,MATCH(ROW()-14,Query_Source_View!$Z:$Z,0)),"")</f>
        <v/>
      </c>
      <c r="K476" s="2" t="str">
        <f aca="false">IFERROR(INDEX(Query_Source_View!$T:$T,MATCH(ROW()-14,Query_Source_View!$Z:$Z,0)),"")</f>
        <v/>
      </c>
      <c r="L476" s="2" t="str">
        <f aca="false">IFERROR(INDEX(Query_Source_View!$U:$U,MATCH(ROW()-14,Query_Source_View!$Z:$Z,0)),"")</f>
        <v/>
      </c>
      <c r="M476" s="2" t="str">
        <f aca="false">IFERROR(INDEX(Query_Source_View!$V:$V,MATCH(ROW()-14,Query_Source_View!$Z:$Z,0)),"")</f>
        <v/>
      </c>
      <c r="N476" s="2" t="str">
        <f aca="false">IFERROR(INDEX(Query_Source_View!$W:$W,MATCH(ROW()-14,Query_Source_View!$Z:$Z,0)),"")</f>
        <v/>
      </c>
      <c r="O476" s="2" t="str">
        <f aca="false">IFERROR(INDEX(Query_Source_View!$X:$X,MATCH(ROW()-14,Query_Source_View!$Z:$Z,0)),"")</f>
        <v/>
      </c>
    </row>
    <row r="477" customFormat="false" ht="15" hidden="false" customHeight="false" outlineLevel="0" collapsed="false">
      <c r="A477" s="2" t="str">
        <f aca="false">IFERROR(INDEX(Query_Source_View!$A:$A,MATCH(ROW()-14,Query_Source_View!$Z:$Z,0)),"")</f>
        <v/>
      </c>
      <c r="B477" s="2" t="str">
        <f aca="false">IFERROR(INDEX(Query_Source_View!$D:$D,MATCH(ROW()-14,Query_Source_View!$Z:$Z,0)),"")</f>
        <v/>
      </c>
      <c r="C477" s="2" t="str">
        <f aca="false">IFERROR(INDEX(Query_Source_View!$F:$F,MATCH(ROW()-14,Query_Source_View!$Z:$Z,0)),"")</f>
        <v/>
      </c>
      <c r="D477" s="2" t="str">
        <f aca="false">IFERROR(INDEX(Query_Source_View!$H:$H,MATCH(ROW()-14,Query_Source_View!$Z:$Z,0)),"")</f>
        <v/>
      </c>
      <c r="E477" s="2" t="str">
        <f aca="false">IFERROR(INDEX(Query_Source_View!$J:$J,MATCH(ROW()-14,Query_Source_View!$Z:$Z,0)),"")</f>
        <v/>
      </c>
      <c r="F477" s="2" t="str">
        <f aca="false">IFERROR(INDEX(Query_Source_View!$L:$L,MATCH(ROW()-14,Query_Source_View!$Z:$Z,0)),"")</f>
        <v/>
      </c>
      <c r="G477" s="2" t="str">
        <f aca="false">IFERROR(INDEX(Query_Source_View!$N:$N,MATCH(ROW()-14,Query_Source_View!$Z:$Z,0)),"")</f>
        <v/>
      </c>
      <c r="H477" s="2" t="str">
        <f aca="false">IFERROR(INDEX(Query_Source_View!$P:$P,MATCH(ROW()-14,Query_Source_View!$Z:$Z,0)),"")</f>
        <v/>
      </c>
      <c r="I477" s="2" t="str">
        <f aca="false">IFERROR(INDEX(Query_Source_View!$Q:$Q,MATCH(ROW()-14,Query_Source_View!$Z:$Z,0)),"")</f>
        <v/>
      </c>
      <c r="J477" s="2" t="str">
        <f aca="false">IFERROR(INDEX(Query_Source_View!$R:$R,MATCH(ROW()-14,Query_Source_View!$Z:$Z,0)),"")</f>
        <v/>
      </c>
      <c r="K477" s="2" t="str">
        <f aca="false">IFERROR(INDEX(Query_Source_View!$T:$T,MATCH(ROW()-14,Query_Source_View!$Z:$Z,0)),"")</f>
        <v/>
      </c>
      <c r="L477" s="2" t="str">
        <f aca="false">IFERROR(INDEX(Query_Source_View!$U:$U,MATCH(ROW()-14,Query_Source_View!$Z:$Z,0)),"")</f>
        <v/>
      </c>
      <c r="M477" s="2" t="str">
        <f aca="false">IFERROR(INDEX(Query_Source_View!$V:$V,MATCH(ROW()-14,Query_Source_View!$Z:$Z,0)),"")</f>
        <v/>
      </c>
      <c r="N477" s="2" t="str">
        <f aca="false">IFERROR(INDEX(Query_Source_View!$W:$W,MATCH(ROW()-14,Query_Source_View!$Z:$Z,0)),"")</f>
        <v/>
      </c>
      <c r="O477" s="2" t="str">
        <f aca="false">IFERROR(INDEX(Query_Source_View!$X:$X,MATCH(ROW()-14,Query_Source_View!$Z:$Z,0)),"")</f>
        <v/>
      </c>
    </row>
    <row r="478" customFormat="false" ht="15" hidden="false" customHeight="false" outlineLevel="0" collapsed="false">
      <c r="A478" s="2" t="str">
        <f aca="false">IFERROR(INDEX(Query_Source_View!$A:$A,MATCH(ROW()-14,Query_Source_View!$Z:$Z,0)),"")</f>
        <v/>
      </c>
      <c r="B478" s="2" t="str">
        <f aca="false">IFERROR(INDEX(Query_Source_View!$D:$D,MATCH(ROW()-14,Query_Source_View!$Z:$Z,0)),"")</f>
        <v/>
      </c>
      <c r="C478" s="2" t="str">
        <f aca="false">IFERROR(INDEX(Query_Source_View!$F:$F,MATCH(ROW()-14,Query_Source_View!$Z:$Z,0)),"")</f>
        <v/>
      </c>
      <c r="D478" s="2" t="str">
        <f aca="false">IFERROR(INDEX(Query_Source_View!$H:$H,MATCH(ROW()-14,Query_Source_View!$Z:$Z,0)),"")</f>
        <v/>
      </c>
      <c r="E478" s="2" t="str">
        <f aca="false">IFERROR(INDEX(Query_Source_View!$J:$J,MATCH(ROW()-14,Query_Source_View!$Z:$Z,0)),"")</f>
        <v/>
      </c>
      <c r="F478" s="2" t="str">
        <f aca="false">IFERROR(INDEX(Query_Source_View!$L:$L,MATCH(ROW()-14,Query_Source_View!$Z:$Z,0)),"")</f>
        <v/>
      </c>
      <c r="G478" s="2" t="str">
        <f aca="false">IFERROR(INDEX(Query_Source_View!$N:$N,MATCH(ROW()-14,Query_Source_View!$Z:$Z,0)),"")</f>
        <v/>
      </c>
      <c r="H478" s="2" t="str">
        <f aca="false">IFERROR(INDEX(Query_Source_View!$P:$P,MATCH(ROW()-14,Query_Source_View!$Z:$Z,0)),"")</f>
        <v/>
      </c>
      <c r="I478" s="2" t="str">
        <f aca="false">IFERROR(INDEX(Query_Source_View!$Q:$Q,MATCH(ROW()-14,Query_Source_View!$Z:$Z,0)),"")</f>
        <v/>
      </c>
      <c r="J478" s="2" t="str">
        <f aca="false">IFERROR(INDEX(Query_Source_View!$R:$R,MATCH(ROW()-14,Query_Source_View!$Z:$Z,0)),"")</f>
        <v/>
      </c>
      <c r="K478" s="2" t="str">
        <f aca="false">IFERROR(INDEX(Query_Source_View!$T:$T,MATCH(ROW()-14,Query_Source_View!$Z:$Z,0)),"")</f>
        <v/>
      </c>
      <c r="L478" s="2" t="str">
        <f aca="false">IFERROR(INDEX(Query_Source_View!$U:$U,MATCH(ROW()-14,Query_Source_View!$Z:$Z,0)),"")</f>
        <v/>
      </c>
      <c r="M478" s="2" t="str">
        <f aca="false">IFERROR(INDEX(Query_Source_View!$V:$V,MATCH(ROW()-14,Query_Source_View!$Z:$Z,0)),"")</f>
        <v/>
      </c>
      <c r="N478" s="2" t="str">
        <f aca="false">IFERROR(INDEX(Query_Source_View!$W:$W,MATCH(ROW()-14,Query_Source_View!$Z:$Z,0)),"")</f>
        <v/>
      </c>
      <c r="O478" s="2" t="str">
        <f aca="false">IFERROR(INDEX(Query_Source_View!$X:$X,MATCH(ROW()-14,Query_Source_View!$Z:$Z,0)),"")</f>
        <v/>
      </c>
    </row>
    <row r="479" customFormat="false" ht="15" hidden="false" customHeight="false" outlineLevel="0" collapsed="false">
      <c r="A479" s="2" t="str">
        <f aca="false">IFERROR(INDEX(Query_Source_View!$A:$A,MATCH(ROW()-14,Query_Source_View!$Z:$Z,0)),"")</f>
        <v/>
      </c>
      <c r="B479" s="2" t="str">
        <f aca="false">IFERROR(INDEX(Query_Source_View!$D:$D,MATCH(ROW()-14,Query_Source_View!$Z:$Z,0)),"")</f>
        <v/>
      </c>
      <c r="C479" s="2" t="str">
        <f aca="false">IFERROR(INDEX(Query_Source_View!$F:$F,MATCH(ROW()-14,Query_Source_View!$Z:$Z,0)),"")</f>
        <v/>
      </c>
      <c r="D479" s="2" t="str">
        <f aca="false">IFERROR(INDEX(Query_Source_View!$H:$H,MATCH(ROW()-14,Query_Source_View!$Z:$Z,0)),"")</f>
        <v/>
      </c>
      <c r="E479" s="2" t="str">
        <f aca="false">IFERROR(INDEX(Query_Source_View!$J:$J,MATCH(ROW()-14,Query_Source_View!$Z:$Z,0)),"")</f>
        <v/>
      </c>
      <c r="F479" s="2" t="str">
        <f aca="false">IFERROR(INDEX(Query_Source_View!$L:$L,MATCH(ROW()-14,Query_Source_View!$Z:$Z,0)),"")</f>
        <v/>
      </c>
      <c r="G479" s="2" t="str">
        <f aca="false">IFERROR(INDEX(Query_Source_View!$N:$N,MATCH(ROW()-14,Query_Source_View!$Z:$Z,0)),"")</f>
        <v/>
      </c>
      <c r="H479" s="2" t="str">
        <f aca="false">IFERROR(INDEX(Query_Source_View!$P:$P,MATCH(ROW()-14,Query_Source_View!$Z:$Z,0)),"")</f>
        <v/>
      </c>
      <c r="I479" s="2" t="str">
        <f aca="false">IFERROR(INDEX(Query_Source_View!$Q:$Q,MATCH(ROW()-14,Query_Source_View!$Z:$Z,0)),"")</f>
        <v/>
      </c>
      <c r="J479" s="2" t="str">
        <f aca="false">IFERROR(INDEX(Query_Source_View!$R:$R,MATCH(ROW()-14,Query_Source_View!$Z:$Z,0)),"")</f>
        <v/>
      </c>
      <c r="K479" s="2" t="str">
        <f aca="false">IFERROR(INDEX(Query_Source_View!$T:$T,MATCH(ROW()-14,Query_Source_View!$Z:$Z,0)),"")</f>
        <v/>
      </c>
      <c r="L479" s="2" t="str">
        <f aca="false">IFERROR(INDEX(Query_Source_View!$U:$U,MATCH(ROW()-14,Query_Source_View!$Z:$Z,0)),"")</f>
        <v/>
      </c>
      <c r="M479" s="2" t="str">
        <f aca="false">IFERROR(INDEX(Query_Source_View!$V:$V,MATCH(ROW()-14,Query_Source_View!$Z:$Z,0)),"")</f>
        <v/>
      </c>
      <c r="N479" s="2" t="str">
        <f aca="false">IFERROR(INDEX(Query_Source_View!$W:$W,MATCH(ROW()-14,Query_Source_View!$Z:$Z,0)),"")</f>
        <v/>
      </c>
      <c r="O479" s="2" t="str">
        <f aca="false">IFERROR(INDEX(Query_Source_View!$X:$X,MATCH(ROW()-14,Query_Source_View!$Z:$Z,0)),"")</f>
        <v/>
      </c>
    </row>
    <row r="480" customFormat="false" ht="15" hidden="false" customHeight="false" outlineLevel="0" collapsed="false">
      <c r="A480" s="2" t="str">
        <f aca="false">IFERROR(INDEX(Query_Source_View!$A:$A,MATCH(ROW()-14,Query_Source_View!$Z:$Z,0)),"")</f>
        <v/>
      </c>
      <c r="B480" s="2" t="str">
        <f aca="false">IFERROR(INDEX(Query_Source_View!$D:$D,MATCH(ROW()-14,Query_Source_View!$Z:$Z,0)),"")</f>
        <v/>
      </c>
      <c r="C480" s="2" t="str">
        <f aca="false">IFERROR(INDEX(Query_Source_View!$F:$F,MATCH(ROW()-14,Query_Source_View!$Z:$Z,0)),"")</f>
        <v/>
      </c>
      <c r="D480" s="2" t="str">
        <f aca="false">IFERROR(INDEX(Query_Source_View!$H:$H,MATCH(ROW()-14,Query_Source_View!$Z:$Z,0)),"")</f>
        <v/>
      </c>
      <c r="E480" s="2" t="str">
        <f aca="false">IFERROR(INDEX(Query_Source_View!$J:$J,MATCH(ROW()-14,Query_Source_View!$Z:$Z,0)),"")</f>
        <v/>
      </c>
      <c r="F480" s="2" t="str">
        <f aca="false">IFERROR(INDEX(Query_Source_View!$L:$L,MATCH(ROW()-14,Query_Source_View!$Z:$Z,0)),"")</f>
        <v/>
      </c>
      <c r="G480" s="2" t="str">
        <f aca="false">IFERROR(INDEX(Query_Source_View!$N:$N,MATCH(ROW()-14,Query_Source_View!$Z:$Z,0)),"")</f>
        <v/>
      </c>
      <c r="H480" s="2" t="str">
        <f aca="false">IFERROR(INDEX(Query_Source_View!$P:$P,MATCH(ROW()-14,Query_Source_View!$Z:$Z,0)),"")</f>
        <v/>
      </c>
      <c r="I480" s="2" t="str">
        <f aca="false">IFERROR(INDEX(Query_Source_View!$Q:$Q,MATCH(ROW()-14,Query_Source_View!$Z:$Z,0)),"")</f>
        <v/>
      </c>
      <c r="J480" s="2" t="str">
        <f aca="false">IFERROR(INDEX(Query_Source_View!$R:$R,MATCH(ROW()-14,Query_Source_View!$Z:$Z,0)),"")</f>
        <v/>
      </c>
      <c r="K480" s="2" t="str">
        <f aca="false">IFERROR(INDEX(Query_Source_View!$T:$T,MATCH(ROW()-14,Query_Source_View!$Z:$Z,0)),"")</f>
        <v/>
      </c>
      <c r="L480" s="2" t="str">
        <f aca="false">IFERROR(INDEX(Query_Source_View!$U:$U,MATCH(ROW()-14,Query_Source_View!$Z:$Z,0)),"")</f>
        <v/>
      </c>
      <c r="M480" s="2" t="str">
        <f aca="false">IFERROR(INDEX(Query_Source_View!$V:$V,MATCH(ROW()-14,Query_Source_View!$Z:$Z,0)),"")</f>
        <v/>
      </c>
      <c r="N480" s="2" t="str">
        <f aca="false">IFERROR(INDEX(Query_Source_View!$W:$W,MATCH(ROW()-14,Query_Source_View!$Z:$Z,0)),"")</f>
        <v/>
      </c>
      <c r="O480" s="2" t="str">
        <f aca="false">IFERROR(INDEX(Query_Source_View!$X:$X,MATCH(ROW()-14,Query_Source_View!$Z:$Z,0)),"")</f>
        <v/>
      </c>
    </row>
    <row r="481" customFormat="false" ht="15" hidden="false" customHeight="false" outlineLevel="0" collapsed="false">
      <c r="A481" s="2" t="str">
        <f aca="false">IFERROR(INDEX(Query_Source_View!$A:$A,MATCH(ROW()-14,Query_Source_View!$Z:$Z,0)),"")</f>
        <v/>
      </c>
      <c r="B481" s="2" t="str">
        <f aca="false">IFERROR(INDEX(Query_Source_View!$D:$D,MATCH(ROW()-14,Query_Source_View!$Z:$Z,0)),"")</f>
        <v/>
      </c>
      <c r="C481" s="2" t="str">
        <f aca="false">IFERROR(INDEX(Query_Source_View!$F:$F,MATCH(ROW()-14,Query_Source_View!$Z:$Z,0)),"")</f>
        <v/>
      </c>
      <c r="D481" s="2" t="str">
        <f aca="false">IFERROR(INDEX(Query_Source_View!$H:$H,MATCH(ROW()-14,Query_Source_View!$Z:$Z,0)),"")</f>
        <v/>
      </c>
      <c r="E481" s="2" t="str">
        <f aca="false">IFERROR(INDEX(Query_Source_View!$J:$J,MATCH(ROW()-14,Query_Source_View!$Z:$Z,0)),"")</f>
        <v/>
      </c>
      <c r="F481" s="2" t="str">
        <f aca="false">IFERROR(INDEX(Query_Source_View!$L:$L,MATCH(ROW()-14,Query_Source_View!$Z:$Z,0)),"")</f>
        <v/>
      </c>
      <c r="G481" s="2" t="str">
        <f aca="false">IFERROR(INDEX(Query_Source_View!$N:$N,MATCH(ROW()-14,Query_Source_View!$Z:$Z,0)),"")</f>
        <v/>
      </c>
      <c r="H481" s="2" t="str">
        <f aca="false">IFERROR(INDEX(Query_Source_View!$P:$P,MATCH(ROW()-14,Query_Source_View!$Z:$Z,0)),"")</f>
        <v/>
      </c>
      <c r="I481" s="2" t="str">
        <f aca="false">IFERROR(INDEX(Query_Source_View!$Q:$Q,MATCH(ROW()-14,Query_Source_View!$Z:$Z,0)),"")</f>
        <v/>
      </c>
      <c r="J481" s="2" t="str">
        <f aca="false">IFERROR(INDEX(Query_Source_View!$R:$R,MATCH(ROW()-14,Query_Source_View!$Z:$Z,0)),"")</f>
        <v/>
      </c>
      <c r="K481" s="2" t="str">
        <f aca="false">IFERROR(INDEX(Query_Source_View!$T:$T,MATCH(ROW()-14,Query_Source_View!$Z:$Z,0)),"")</f>
        <v/>
      </c>
      <c r="L481" s="2" t="str">
        <f aca="false">IFERROR(INDEX(Query_Source_View!$U:$U,MATCH(ROW()-14,Query_Source_View!$Z:$Z,0)),"")</f>
        <v/>
      </c>
      <c r="M481" s="2" t="str">
        <f aca="false">IFERROR(INDEX(Query_Source_View!$V:$V,MATCH(ROW()-14,Query_Source_View!$Z:$Z,0)),"")</f>
        <v/>
      </c>
      <c r="N481" s="2" t="str">
        <f aca="false">IFERROR(INDEX(Query_Source_View!$W:$W,MATCH(ROW()-14,Query_Source_View!$Z:$Z,0)),"")</f>
        <v/>
      </c>
      <c r="O481" s="2" t="str">
        <f aca="false">IFERROR(INDEX(Query_Source_View!$X:$X,MATCH(ROW()-14,Query_Source_View!$Z:$Z,0)),"")</f>
        <v/>
      </c>
    </row>
    <row r="482" customFormat="false" ht="15" hidden="false" customHeight="false" outlineLevel="0" collapsed="false">
      <c r="A482" s="2" t="str">
        <f aca="false">IFERROR(INDEX(Query_Source_View!$A:$A,MATCH(ROW()-14,Query_Source_View!$Z:$Z,0)),"")</f>
        <v/>
      </c>
      <c r="B482" s="2" t="str">
        <f aca="false">IFERROR(INDEX(Query_Source_View!$D:$D,MATCH(ROW()-14,Query_Source_View!$Z:$Z,0)),"")</f>
        <v/>
      </c>
      <c r="C482" s="2" t="str">
        <f aca="false">IFERROR(INDEX(Query_Source_View!$F:$F,MATCH(ROW()-14,Query_Source_View!$Z:$Z,0)),"")</f>
        <v/>
      </c>
      <c r="D482" s="2" t="str">
        <f aca="false">IFERROR(INDEX(Query_Source_View!$H:$H,MATCH(ROW()-14,Query_Source_View!$Z:$Z,0)),"")</f>
        <v/>
      </c>
      <c r="E482" s="2" t="str">
        <f aca="false">IFERROR(INDEX(Query_Source_View!$J:$J,MATCH(ROW()-14,Query_Source_View!$Z:$Z,0)),"")</f>
        <v/>
      </c>
      <c r="F482" s="2" t="str">
        <f aca="false">IFERROR(INDEX(Query_Source_View!$L:$L,MATCH(ROW()-14,Query_Source_View!$Z:$Z,0)),"")</f>
        <v/>
      </c>
      <c r="G482" s="2" t="str">
        <f aca="false">IFERROR(INDEX(Query_Source_View!$N:$N,MATCH(ROW()-14,Query_Source_View!$Z:$Z,0)),"")</f>
        <v/>
      </c>
      <c r="H482" s="2" t="str">
        <f aca="false">IFERROR(INDEX(Query_Source_View!$P:$P,MATCH(ROW()-14,Query_Source_View!$Z:$Z,0)),"")</f>
        <v/>
      </c>
      <c r="I482" s="2" t="str">
        <f aca="false">IFERROR(INDEX(Query_Source_View!$Q:$Q,MATCH(ROW()-14,Query_Source_View!$Z:$Z,0)),"")</f>
        <v/>
      </c>
      <c r="J482" s="2" t="str">
        <f aca="false">IFERROR(INDEX(Query_Source_View!$R:$R,MATCH(ROW()-14,Query_Source_View!$Z:$Z,0)),"")</f>
        <v/>
      </c>
      <c r="K482" s="2" t="str">
        <f aca="false">IFERROR(INDEX(Query_Source_View!$T:$T,MATCH(ROW()-14,Query_Source_View!$Z:$Z,0)),"")</f>
        <v/>
      </c>
      <c r="L482" s="2" t="str">
        <f aca="false">IFERROR(INDEX(Query_Source_View!$U:$U,MATCH(ROW()-14,Query_Source_View!$Z:$Z,0)),"")</f>
        <v/>
      </c>
      <c r="M482" s="2" t="str">
        <f aca="false">IFERROR(INDEX(Query_Source_View!$V:$V,MATCH(ROW()-14,Query_Source_View!$Z:$Z,0)),"")</f>
        <v/>
      </c>
      <c r="N482" s="2" t="str">
        <f aca="false">IFERROR(INDEX(Query_Source_View!$W:$W,MATCH(ROW()-14,Query_Source_View!$Z:$Z,0)),"")</f>
        <v/>
      </c>
      <c r="O482" s="2" t="str">
        <f aca="false">IFERROR(INDEX(Query_Source_View!$X:$X,MATCH(ROW()-14,Query_Source_View!$Z:$Z,0)),"")</f>
        <v/>
      </c>
    </row>
    <row r="483" customFormat="false" ht="15" hidden="false" customHeight="false" outlineLevel="0" collapsed="false">
      <c r="A483" s="2" t="str">
        <f aca="false">IFERROR(INDEX(Query_Source_View!$A:$A,MATCH(ROW()-14,Query_Source_View!$Z:$Z,0)),"")</f>
        <v/>
      </c>
      <c r="B483" s="2" t="str">
        <f aca="false">IFERROR(INDEX(Query_Source_View!$D:$D,MATCH(ROW()-14,Query_Source_View!$Z:$Z,0)),"")</f>
        <v/>
      </c>
      <c r="C483" s="2" t="str">
        <f aca="false">IFERROR(INDEX(Query_Source_View!$F:$F,MATCH(ROW()-14,Query_Source_View!$Z:$Z,0)),"")</f>
        <v/>
      </c>
      <c r="D483" s="2" t="str">
        <f aca="false">IFERROR(INDEX(Query_Source_View!$H:$H,MATCH(ROW()-14,Query_Source_View!$Z:$Z,0)),"")</f>
        <v/>
      </c>
      <c r="E483" s="2" t="str">
        <f aca="false">IFERROR(INDEX(Query_Source_View!$J:$J,MATCH(ROW()-14,Query_Source_View!$Z:$Z,0)),"")</f>
        <v/>
      </c>
      <c r="F483" s="2" t="str">
        <f aca="false">IFERROR(INDEX(Query_Source_View!$L:$L,MATCH(ROW()-14,Query_Source_View!$Z:$Z,0)),"")</f>
        <v/>
      </c>
      <c r="G483" s="2" t="str">
        <f aca="false">IFERROR(INDEX(Query_Source_View!$N:$N,MATCH(ROW()-14,Query_Source_View!$Z:$Z,0)),"")</f>
        <v/>
      </c>
      <c r="H483" s="2" t="str">
        <f aca="false">IFERROR(INDEX(Query_Source_View!$P:$P,MATCH(ROW()-14,Query_Source_View!$Z:$Z,0)),"")</f>
        <v/>
      </c>
      <c r="I483" s="2" t="str">
        <f aca="false">IFERROR(INDEX(Query_Source_View!$Q:$Q,MATCH(ROW()-14,Query_Source_View!$Z:$Z,0)),"")</f>
        <v/>
      </c>
      <c r="J483" s="2" t="str">
        <f aca="false">IFERROR(INDEX(Query_Source_View!$R:$R,MATCH(ROW()-14,Query_Source_View!$Z:$Z,0)),"")</f>
        <v/>
      </c>
      <c r="K483" s="2" t="str">
        <f aca="false">IFERROR(INDEX(Query_Source_View!$T:$T,MATCH(ROW()-14,Query_Source_View!$Z:$Z,0)),"")</f>
        <v/>
      </c>
      <c r="L483" s="2" t="str">
        <f aca="false">IFERROR(INDEX(Query_Source_View!$U:$U,MATCH(ROW()-14,Query_Source_View!$Z:$Z,0)),"")</f>
        <v/>
      </c>
      <c r="M483" s="2" t="str">
        <f aca="false">IFERROR(INDEX(Query_Source_View!$V:$V,MATCH(ROW()-14,Query_Source_View!$Z:$Z,0)),"")</f>
        <v/>
      </c>
      <c r="N483" s="2" t="str">
        <f aca="false">IFERROR(INDEX(Query_Source_View!$W:$W,MATCH(ROW()-14,Query_Source_View!$Z:$Z,0)),"")</f>
        <v/>
      </c>
      <c r="O483" s="2" t="str">
        <f aca="false">IFERROR(INDEX(Query_Source_View!$X:$X,MATCH(ROW()-14,Query_Source_View!$Z:$Z,0)),"")</f>
        <v/>
      </c>
    </row>
    <row r="484" customFormat="false" ht="15" hidden="false" customHeight="false" outlineLevel="0" collapsed="false">
      <c r="A484" s="2" t="str">
        <f aca="false">IFERROR(INDEX(Query_Source_View!$A:$A,MATCH(ROW()-14,Query_Source_View!$Z:$Z,0)),"")</f>
        <v/>
      </c>
      <c r="B484" s="2" t="str">
        <f aca="false">IFERROR(INDEX(Query_Source_View!$D:$D,MATCH(ROW()-14,Query_Source_View!$Z:$Z,0)),"")</f>
        <v/>
      </c>
      <c r="C484" s="2" t="str">
        <f aca="false">IFERROR(INDEX(Query_Source_View!$F:$F,MATCH(ROW()-14,Query_Source_View!$Z:$Z,0)),"")</f>
        <v/>
      </c>
      <c r="D484" s="2" t="str">
        <f aca="false">IFERROR(INDEX(Query_Source_View!$H:$H,MATCH(ROW()-14,Query_Source_View!$Z:$Z,0)),"")</f>
        <v/>
      </c>
      <c r="E484" s="2" t="str">
        <f aca="false">IFERROR(INDEX(Query_Source_View!$J:$J,MATCH(ROW()-14,Query_Source_View!$Z:$Z,0)),"")</f>
        <v/>
      </c>
      <c r="F484" s="2" t="str">
        <f aca="false">IFERROR(INDEX(Query_Source_View!$L:$L,MATCH(ROW()-14,Query_Source_View!$Z:$Z,0)),"")</f>
        <v/>
      </c>
      <c r="G484" s="2" t="str">
        <f aca="false">IFERROR(INDEX(Query_Source_View!$N:$N,MATCH(ROW()-14,Query_Source_View!$Z:$Z,0)),"")</f>
        <v/>
      </c>
      <c r="H484" s="2" t="str">
        <f aca="false">IFERROR(INDEX(Query_Source_View!$P:$P,MATCH(ROW()-14,Query_Source_View!$Z:$Z,0)),"")</f>
        <v/>
      </c>
      <c r="I484" s="2" t="str">
        <f aca="false">IFERROR(INDEX(Query_Source_View!$Q:$Q,MATCH(ROW()-14,Query_Source_View!$Z:$Z,0)),"")</f>
        <v/>
      </c>
      <c r="J484" s="2" t="str">
        <f aca="false">IFERROR(INDEX(Query_Source_View!$R:$R,MATCH(ROW()-14,Query_Source_View!$Z:$Z,0)),"")</f>
        <v/>
      </c>
      <c r="K484" s="2" t="str">
        <f aca="false">IFERROR(INDEX(Query_Source_View!$T:$T,MATCH(ROW()-14,Query_Source_View!$Z:$Z,0)),"")</f>
        <v/>
      </c>
      <c r="L484" s="2" t="str">
        <f aca="false">IFERROR(INDEX(Query_Source_View!$U:$U,MATCH(ROW()-14,Query_Source_View!$Z:$Z,0)),"")</f>
        <v/>
      </c>
      <c r="M484" s="2" t="str">
        <f aca="false">IFERROR(INDEX(Query_Source_View!$V:$V,MATCH(ROW()-14,Query_Source_View!$Z:$Z,0)),"")</f>
        <v/>
      </c>
      <c r="N484" s="2" t="str">
        <f aca="false">IFERROR(INDEX(Query_Source_View!$W:$W,MATCH(ROW()-14,Query_Source_View!$Z:$Z,0)),"")</f>
        <v/>
      </c>
      <c r="O484" s="2" t="str">
        <f aca="false">IFERROR(INDEX(Query_Source_View!$X:$X,MATCH(ROW()-14,Query_Source_View!$Z:$Z,0)),"")</f>
        <v/>
      </c>
    </row>
    <row r="485" customFormat="false" ht="15" hidden="false" customHeight="false" outlineLevel="0" collapsed="false">
      <c r="A485" s="2" t="str">
        <f aca="false">IFERROR(INDEX(Query_Source_View!$A:$A,MATCH(ROW()-14,Query_Source_View!$Z:$Z,0)),"")</f>
        <v/>
      </c>
      <c r="B485" s="2" t="str">
        <f aca="false">IFERROR(INDEX(Query_Source_View!$D:$D,MATCH(ROW()-14,Query_Source_View!$Z:$Z,0)),"")</f>
        <v/>
      </c>
      <c r="C485" s="2" t="str">
        <f aca="false">IFERROR(INDEX(Query_Source_View!$F:$F,MATCH(ROW()-14,Query_Source_View!$Z:$Z,0)),"")</f>
        <v/>
      </c>
      <c r="D485" s="2" t="str">
        <f aca="false">IFERROR(INDEX(Query_Source_View!$H:$H,MATCH(ROW()-14,Query_Source_View!$Z:$Z,0)),"")</f>
        <v/>
      </c>
      <c r="E485" s="2" t="str">
        <f aca="false">IFERROR(INDEX(Query_Source_View!$J:$J,MATCH(ROW()-14,Query_Source_View!$Z:$Z,0)),"")</f>
        <v/>
      </c>
      <c r="F485" s="2" t="str">
        <f aca="false">IFERROR(INDEX(Query_Source_View!$L:$L,MATCH(ROW()-14,Query_Source_View!$Z:$Z,0)),"")</f>
        <v/>
      </c>
      <c r="G485" s="2" t="str">
        <f aca="false">IFERROR(INDEX(Query_Source_View!$N:$N,MATCH(ROW()-14,Query_Source_View!$Z:$Z,0)),"")</f>
        <v/>
      </c>
      <c r="H485" s="2" t="str">
        <f aca="false">IFERROR(INDEX(Query_Source_View!$P:$P,MATCH(ROW()-14,Query_Source_View!$Z:$Z,0)),"")</f>
        <v/>
      </c>
      <c r="I485" s="2" t="str">
        <f aca="false">IFERROR(INDEX(Query_Source_View!$Q:$Q,MATCH(ROW()-14,Query_Source_View!$Z:$Z,0)),"")</f>
        <v/>
      </c>
      <c r="J485" s="2" t="str">
        <f aca="false">IFERROR(INDEX(Query_Source_View!$R:$R,MATCH(ROW()-14,Query_Source_View!$Z:$Z,0)),"")</f>
        <v/>
      </c>
      <c r="K485" s="2" t="str">
        <f aca="false">IFERROR(INDEX(Query_Source_View!$T:$T,MATCH(ROW()-14,Query_Source_View!$Z:$Z,0)),"")</f>
        <v/>
      </c>
      <c r="L485" s="2" t="str">
        <f aca="false">IFERROR(INDEX(Query_Source_View!$U:$U,MATCH(ROW()-14,Query_Source_View!$Z:$Z,0)),"")</f>
        <v/>
      </c>
      <c r="M485" s="2" t="str">
        <f aca="false">IFERROR(INDEX(Query_Source_View!$V:$V,MATCH(ROW()-14,Query_Source_View!$Z:$Z,0)),"")</f>
        <v/>
      </c>
      <c r="N485" s="2" t="str">
        <f aca="false">IFERROR(INDEX(Query_Source_View!$W:$W,MATCH(ROW()-14,Query_Source_View!$Z:$Z,0)),"")</f>
        <v/>
      </c>
      <c r="O485" s="2" t="str">
        <f aca="false">IFERROR(INDEX(Query_Source_View!$X:$X,MATCH(ROW()-14,Query_Source_View!$Z:$Z,0)),"")</f>
        <v/>
      </c>
    </row>
    <row r="486" customFormat="false" ht="15" hidden="false" customHeight="false" outlineLevel="0" collapsed="false">
      <c r="A486" s="2" t="str">
        <f aca="false">IFERROR(INDEX(Query_Source_View!$A:$A,MATCH(ROW()-14,Query_Source_View!$Z:$Z,0)),"")</f>
        <v/>
      </c>
      <c r="B486" s="2" t="str">
        <f aca="false">IFERROR(INDEX(Query_Source_View!$D:$D,MATCH(ROW()-14,Query_Source_View!$Z:$Z,0)),"")</f>
        <v/>
      </c>
      <c r="C486" s="2" t="str">
        <f aca="false">IFERROR(INDEX(Query_Source_View!$F:$F,MATCH(ROW()-14,Query_Source_View!$Z:$Z,0)),"")</f>
        <v/>
      </c>
      <c r="D486" s="2" t="str">
        <f aca="false">IFERROR(INDEX(Query_Source_View!$H:$H,MATCH(ROW()-14,Query_Source_View!$Z:$Z,0)),"")</f>
        <v/>
      </c>
      <c r="E486" s="2" t="str">
        <f aca="false">IFERROR(INDEX(Query_Source_View!$J:$J,MATCH(ROW()-14,Query_Source_View!$Z:$Z,0)),"")</f>
        <v/>
      </c>
      <c r="F486" s="2" t="str">
        <f aca="false">IFERROR(INDEX(Query_Source_View!$L:$L,MATCH(ROW()-14,Query_Source_View!$Z:$Z,0)),"")</f>
        <v/>
      </c>
      <c r="G486" s="2" t="str">
        <f aca="false">IFERROR(INDEX(Query_Source_View!$N:$N,MATCH(ROW()-14,Query_Source_View!$Z:$Z,0)),"")</f>
        <v/>
      </c>
      <c r="H486" s="2" t="str">
        <f aca="false">IFERROR(INDEX(Query_Source_View!$P:$P,MATCH(ROW()-14,Query_Source_View!$Z:$Z,0)),"")</f>
        <v/>
      </c>
      <c r="I486" s="2" t="str">
        <f aca="false">IFERROR(INDEX(Query_Source_View!$Q:$Q,MATCH(ROW()-14,Query_Source_View!$Z:$Z,0)),"")</f>
        <v/>
      </c>
      <c r="J486" s="2" t="str">
        <f aca="false">IFERROR(INDEX(Query_Source_View!$R:$R,MATCH(ROW()-14,Query_Source_View!$Z:$Z,0)),"")</f>
        <v/>
      </c>
      <c r="K486" s="2" t="str">
        <f aca="false">IFERROR(INDEX(Query_Source_View!$T:$T,MATCH(ROW()-14,Query_Source_View!$Z:$Z,0)),"")</f>
        <v/>
      </c>
      <c r="L486" s="2" t="str">
        <f aca="false">IFERROR(INDEX(Query_Source_View!$U:$U,MATCH(ROW()-14,Query_Source_View!$Z:$Z,0)),"")</f>
        <v/>
      </c>
      <c r="M486" s="2" t="str">
        <f aca="false">IFERROR(INDEX(Query_Source_View!$V:$V,MATCH(ROW()-14,Query_Source_View!$Z:$Z,0)),"")</f>
        <v/>
      </c>
      <c r="N486" s="2" t="str">
        <f aca="false">IFERROR(INDEX(Query_Source_View!$W:$W,MATCH(ROW()-14,Query_Source_View!$Z:$Z,0)),"")</f>
        <v/>
      </c>
      <c r="O486" s="2" t="str">
        <f aca="false">IFERROR(INDEX(Query_Source_View!$X:$X,MATCH(ROW()-14,Query_Source_View!$Z:$Z,0)),"")</f>
        <v/>
      </c>
    </row>
    <row r="487" customFormat="false" ht="15" hidden="false" customHeight="false" outlineLevel="0" collapsed="false">
      <c r="A487" s="2" t="str">
        <f aca="false">IFERROR(INDEX(Query_Source_View!$A:$A,MATCH(ROW()-14,Query_Source_View!$Z:$Z,0)),"")</f>
        <v/>
      </c>
      <c r="B487" s="2" t="str">
        <f aca="false">IFERROR(INDEX(Query_Source_View!$D:$D,MATCH(ROW()-14,Query_Source_View!$Z:$Z,0)),"")</f>
        <v/>
      </c>
      <c r="C487" s="2" t="str">
        <f aca="false">IFERROR(INDEX(Query_Source_View!$F:$F,MATCH(ROW()-14,Query_Source_View!$Z:$Z,0)),"")</f>
        <v/>
      </c>
      <c r="D487" s="2" t="str">
        <f aca="false">IFERROR(INDEX(Query_Source_View!$H:$H,MATCH(ROW()-14,Query_Source_View!$Z:$Z,0)),"")</f>
        <v/>
      </c>
      <c r="E487" s="2" t="str">
        <f aca="false">IFERROR(INDEX(Query_Source_View!$J:$J,MATCH(ROW()-14,Query_Source_View!$Z:$Z,0)),"")</f>
        <v/>
      </c>
      <c r="F487" s="2" t="str">
        <f aca="false">IFERROR(INDEX(Query_Source_View!$L:$L,MATCH(ROW()-14,Query_Source_View!$Z:$Z,0)),"")</f>
        <v/>
      </c>
      <c r="G487" s="2" t="str">
        <f aca="false">IFERROR(INDEX(Query_Source_View!$N:$N,MATCH(ROW()-14,Query_Source_View!$Z:$Z,0)),"")</f>
        <v/>
      </c>
      <c r="H487" s="2" t="str">
        <f aca="false">IFERROR(INDEX(Query_Source_View!$P:$P,MATCH(ROW()-14,Query_Source_View!$Z:$Z,0)),"")</f>
        <v/>
      </c>
      <c r="I487" s="2" t="str">
        <f aca="false">IFERROR(INDEX(Query_Source_View!$Q:$Q,MATCH(ROW()-14,Query_Source_View!$Z:$Z,0)),"")</f>
        <v/>
      </c>
      <c r="J487" s="2" t="str">
        <f aca="false">IFERROR(INDEX(Query_Source_View!$R:$R,MATCH(ROW()-14,Query_Source_View!$Z:$Z,0)),"")</f>
        <v/>
      </c>
      <c r="K487" s="2" t="str">
        <f aca="false">IFERROR(INDEX(Query_Source_View!$T:$T,MATCH(ROW()-14,Query_Source_View!$Z:$Z,0)),"")</f>
        <v/>
      </c>
      <c r="L487" s="2" t="str">
        <f aca="false">IFERROR(INDEX(Query_Source_View!$U:$U,MATCH(ROW()-14,Query_Source_View!$Z:$Z,0)),"")</f>
        <v/>
      </c>
      <c r="M487" s="2" t="str">
        <f aca="false">IFERROR(INDEX(Query_Source_View!$V:$V,MATCH(ROW()-14,Query_Source_View!$Z:$Z,0)),"")</f>
        <v/>
      </c>
      <c r="N487" s="2" t="str">
        <f aca="false">IFERROR(INDEX(Query_Source_View!$W:$W,MATCH(ROW()-14,Query_Source_View!$Z:$Z,0)),"")</f>
        <v/>
      </c>
      <c r="O487" s="2" t="str">
        <f aca="false">IFERROR(INDEX(Query_Source_View!$X:$X,MATCH(ROW()-14,Query_Source_View!$Z:$Z,0)),"")</f>
        <v/>
      </c>
    </row>
    <row r="488" customFormat="false" ht="15" hidden="false" customHeight="false" outlineLevel="0" collapsed="false">
      <c r="A488" s="2" t="str">
        <f aca="false">IFERROR(INDEX(Query_Source_View!$A:$A,MATCH(ROW()-14,Query_Source_View!$Z:$Z,0)),"")</f>
        <v/>
      </c>
      <c r="B488" s="2" t="str">
        <f aca="false">IFERROR(INDEX(Query_Source_View!$D:$D,MATCH(ROW()-14,Query_Source_View!$Z:$Z,0)),"")</f>
        <v/>
      </c>
      <c r="C488" s="2" t="str">
        <f aca="false">IFERROR(INDEX(Query_Source_View!$F:$F,MATCH(ROW()-14,Query_Source_View!$Z:$Z,0)),"")</f>
        <v/>
      </c>
      <c r="D488" s="2" t="str">
        <f aca="false">IFERROR(INDEX(Query_Source_View!$H:$H,MATCH(ROW()-14,Query_Source_View!$Z:$Z,0)),"")</f>
        <v/>
      </c>
      <c r="E488" s="2" t="str">
        <f aca="false">IFERROR(INDEX(Query_Source_View!$J:$J,MATCH(ROW()-14,Query_Source_View!$Z:$Z,0)),"")</f>
        <v/>
      </c>
      <c r="F488" s="2" t="str">
        <f aca="false">IFERROR(INDEX(Query_Source_View!$L:$L,MATCH(ROW()-14,Query_Source_View!$Z:$Z,0)),"")</f>
        <v/>
      </c>
      <c r="G488" s="2" t="str">
        <f aca="false">IFERROR(INDEX(Query_Source_View!$N:$N,MATCH(ROW()-14,Query_Source_View!$Z:$Z,0)),"")</f>
        <v/>
      </c>
      <c r="H488" s="2" t="str">
        <f aca="false">IFERROR(INDEX(Query_Source_View!$P:$P,MATCH(ROW()-14,Query_Source_View!$Z:$Z,0)),"")</f>
        <v/>
      </c>
      <c r="I488" s="2" t="str">
        <f aca="false">IFERROR(INDEX(Query_Source_View!$Q:$Q,MATCH(ROW()-14,Query_Source_View!$Z:$Z,0)),"")</f>
        <v/>
      </c>
      <c r="J488" s="2" t="str">
        <f aca="false">IFERROR(INDEX(Query_Source_View!$R:$R,MATCH(ROW()-14,Query_Source_View!$Z:$Z,0)),"")</f>
        <v/>
      </c>
      <c r="K488" s="2" t="str">
        <f aca="false">IFERROR(INDEX(Query_Source_View!$T:$T,MATCH(ROW()-14,Query_Source_View!$Z:$Z,0)),"")</f>
        <v/>
      </c>
      <c r="L488" s="2" t="str">
        <f aca="false">IFERROR(INDEX(Query_Source_View!$U:$U,MATCH(ROW()-14,Query_Source_View!$Z:$Z,0)),"")</f>
        <v/>
      </c>
      <c r="M488" s="2" t="str">
        <f aca="false">IFERROR(INDEX(Query_Source_View!$V:$V,MATCH(ROW()-14,Query_Source_View!$Z:$Z,0)),"")</f>
        <v/>
      </c>
      <c r="N488" s="2" t="str">
        <f aca="false">IFERROR(INDEX(Query_Source_View!$W:$W,MATCH(ROW()-14,Query_Source_View!$Z:$Z,0)),"")</f>
        <v/>
      </c>
      <c r="O488" s="2" t="str">
        <f aca="false">IFERROR(INDEX(Query_Source_View!$X:$X,MATCH(ROW()-14,Query_Source_View!$Z:$Z,0)),"")</f>
        <v/>
      </c>
    </row>
    <row r="489" customFormat="false" ht="15" hidden="false" customHeight="false" outlineLevel="0" collapsed="false">
      <c r="A489" s="2" t="str">
        <f aca="false">IFERROR(INDEX(Query_Source_View!$A:$A,MATCH(ROW()-14,Query_Source_View!$Z:$Z,0)),"")</f>
        <v/>
      </c>
      <c r="B489" s="2" t="str">
        <f aca="false">IFERROR(INDEX(Query_Source_View!$D:$D,MATCH(ROW()-14,Query_Source_View!$Z:$Z,0)),"")</f>
        <v/>
      </c>
      <c r="C489" s="2" t="str">
        <f aca="false">IFERROR(INDEX(Query_Source_View!$F:$F,MATCH(ROW()-14,Query_Source_View!$Z:$Z,0)),"")</f>
        <v/>
      </c>
      <c r="D489" s="2" t="str">
        <f aca="false">IFERROR(INDEX(Query_Source_View!$H:$H,MATCH(ROW()-14,Query_Source_View!$Z:$Z,0)),"")</f>
        <v/>
      </c>
      <c r="E489" s="2" t="str">
        <f aca="false">IFERROR(INDEX(Query_Source_View!$J:$J,MATCH(ROW()-14,Query_Source_View!$Z:$Z,0)),"")</f>
        <v/>
      </c>
      <c r="F489" s="2" t="str">
        <f aca="false">IFERROR(INDEX(Query_Source_View!$L:$L,MATCH(ROW()-14,Query_Source_View!$Z:$Z,0)),"")</f>
        <v/>
      </c>
      <c r="G489" s="2" t="str">
        <f aca="false">IFERROR(INDEX(Query_Source_View!$N:$N,MATCH(ROW()-14,Query_Source_View!$Z:$Z,0)),"")</f>
        <v/>
      </c>
      <c r="H489" s="2" t="str">
        <f aca="false">IFERROR(INDEX(Query_Source_View!$P:$P,MATCH(ROW()-14,Query_Source_View!$Z:$Z,0)),"")</f>
        <v/>
      </c>
      <c r="I489" s="2" t="str">
        <f aca="false">IFERROR(INDEX(Query_Source_View!$Q:$Q,MATCH(ROW()-14,Query_Source_View!$Z:$Z,0)),"")</f>
        <v/>
      </c>
      <c r="J489" s="2" t="str">
        <f aca="false">IFERROR(INDEX(Query_Source_View!$R:$R,MATCH(ROW()-14,Query_Source_View!$Z:$Z,0)),"")</f>
        <v/>
      </c>
      <c r="K489" s="2" t="str">
        <f aca="false">IFERROR(INDEX(Query_Source_View!$T:$T,MATCH(ROW()-14,Query_Source_View!$Z:$Z,0)),"")</f>
        <v/>
      </c>
      <c r="L489" s="2" t="str">
        <f aca="false">IFERROR(INDEX(Query_Source_View!$U:$U,MATCH(ROW()-14,Query_Source_View!$Z:$Z,0)),"")</f>
        <v/>
      </c>
      <c r="M489" s="2" t="str">
        <f aca="false">IFERROR(INDEX(Query_Source_View!$V:$V,MATCH(ROW()-14,Query_Source_View!$Z:$Z,0)),"")</f>
        <v/>
      </c>
      <c r="N489" s="2" t="str">
        <f aca="false">IFERROR(INDEX(Query_Source_View!$W:$W,MATCH(ROW()-14,Query_Source_View!$Z:$Z,0)),"")</f>
        <v/>
      </c>
      <c r="O489" s="2" t="str">
        <f aca="false">IFERROR(INDEX(Query_Source_View!$X:$X,MATCH(ROW()-14,Query_Source_View!$Z:$Z,0)),"")</f>
        <v/>
      </c>
    </row>
    <row r="490" customFormat="false" ht="15" hidden="false" customHeight="false" outlineLevel="0" collapsed="false">
      <c r="A490" s="2" t="str">
        <f aca="false">IFERROR(INDEX(Query_Source_View!$A:$A,MATCH(ROW()-14,Query_Source_View!$Z:$Z,0)),"")</f>
        <v/>
      </c>
      <c r="B490" s="2" t="str">
        <f aca="false">IFERROR(INDEX(Query_Source_View!$D:$D,MATCH(ROW()-14,Query_Source_View!$Z:$Z,0)),"")</f>
        <v/>
      </c>
      <c r="C490" s="2" t="str">
        <f aca="false">IFERROR(INDEX(Query_Source_View!$F:$F,MATCH(ROW()-14,Query_Source_View!$Z:$Z,0)),"")</f>
        <v/>
      </c>
      <c r="D490" s="2" t="str">
        <f aca="false">IFERROR(INDEX(Query_Source_View!$H:$H,MATCH(ROW()-14,Query_Source_View!$Z:$Z,0)),"")</f>
        <v/>
      </c>
      <c r="E490" s="2" t="str">
        <f aca="false">IFERROR(INDEX(Query_Source_View!$J:$J,MATCH(ROW()-14,Query_Source_View!$Z:$Z,0)),"")</f>
        <v/>
      </c>
      <c r="F490" s="2" t="str">
        <f aca="false">IFERROR(INDEX(Query_Source_View!$L:$L,MATCH(ROW()-14,Query_Source_View!$Z:$Z,0)),"")</f>
        <v/>
      </c>
      <c r="G490" s="2" t="str">
        <f aca="false">IFERROR(INDEX(Query_Source_View!$N:$N,MATCH(ROW()-14,Query_Source_View!$Z:$Z,0)),"")</f>
        <v/>
      </c>
      <c r="H490" s="2" t="str">
        <f aca="false">IFERROR(INDEX(Query_Source_View!$P:$P,MATCH(ROW()-14,Query_Source_View!$Z:$Z,0)),"")</f>
        <v/>
      </c>
      <c r="I490" s="2" t="str">
        <f aca="false">IFERROR(INDEX(Query_Source_View!$Q:$Q,MATCH(ROW()-14,Query_Source_View!$Z:$Z,0)),"")</f>
        <v/>
      </c>
      <c r="J490" s="2" t="str">
        <f aca="false">IFERROR(INDEX(Query_Source_View!$R:$R,MATCH(ROW()-14,Query_Source_View!$Z:$Z,0)),"")</f>
        <v/>
      </c>
      <c r="K490" s="2" t="str">
        <f aca="false">IFERROR(INDEX(Query_Source_View!$T:$T,MATCH(ROW()-14,Query_Source_View!$Z:$Z,0)),"")</f>
        <v/>
      </c>
      <c r="L490" s="2" t="str">
        <f aca="false">IFERROR(INDEX(Query_Source_View!$U:$U,MATCH(ROW()-14,Query_Source_View!$Z:$Z,0)),"")</f>
        <v/>
      </c>
      <c r="M490" s="2" t="str">
        <f aca="false">IFERROR(INDEX(Query_Source_View!$V:$V,MATCH(ROW()-14,Query_Source_View!$Z:$Z,0)),"")</f>
        <v/>
      </c>
      <c r="N490" s="2" t="str">
        <f aca="false">IFERROR(INDEX(Query_Source_View!$W:$W,MATCH(ROW()-14,Query_Source_View!$Z:$Z,0)),"")</f>
        <v/>
      </c>
      <c r="O490" s="2" t="str">
        <f aca="false">IFERROR(INDEX(Query_Source_View!$X:$X,MATCH(ROW()-14,Query_Source_View!$Z:$Z,0)),"")</f>
        <v/>
      </c>
    </row>
    <row r="491" customFormat="false" ht="15" hidden="false" customHeight="false" outlineLevel="0" collapsed="false">
      <c r="A491" s="2" t="str">
        <f aca="false">IFERROR(INDEX(Query_Source_View!$A:$A,MATCH(ROW()-14,Query_Source_View!$Z:$Z,0)),"")</f>
        <v/>
      </c>
      <c r="B491" s="2" t="str">
        <f aca="false">IFERROR(INDEX(Query_Source_View!$D:$D,MATCH(ROW()-14,Query_Source_View!$Z:$Z,0)),"")</f>
        <v/>
      </c>
      <c r="C491" s="2" t="str">
        <f aca="false">IFERROR(INDEX(Query_Source_View!$F:$F,MATCH(ROW()-14,Query_Source_View!$Z:$Z,0)),"")</f>
        <v/>
      </c>
      <c r="D491" s="2" t="str">
        <f aca="false">IFERROR(INDEX(Query_Source_View!$H:$H,MATCH(ROW()-14,Query_Source_View!$Z:$Z,0)),"")</f>
        <v/>
      </c>
      <c r="E491" s="2" t="str">
        <f aca="false">IFERROR(INDEX(Query_Source_View!$J:$J,MATCH(ROW()-14,Query_Source_View!$Z:$Z,0)),"")</f>
        <v/>
      </c>
      <c r="F491" s="2" t="str">
        <f aca="false">IFERROR(INDEX(Query_Source_View!$L:$L,MATCH(ROW()-14,Query_Source_View!$Z:$Z,0)),"")</f>
        <v/>
      </c>
      <c r="G491" s="2" t="str">
        <f aca="false">IFERROR(INDEX(Query_Source_View!$N:$N,MATCH(ROW()-14,Query_Source_View!$Z:$Z,0)),"")</f>
        <v/>
      </c>
      <c r="H491" s="2" t="str">
        <f aca="false">IFERROR(INDEX(Query_Source_View!$P:$P,MATCH(ROW()-14,Query_Source_View!$Z:$Z,0)),"")</f>
        <v/>
      </c>
      <c r="I491" s="2" t="str">
        <f aca="false">IFERROR(INDEX(Query_Source_View!$Q:$Q,MATCH(ROW()-14,Query_Source_View!$Z:$Z,0)),"")</f>
        <v/>
      </c>
      <c r="J491" s="2" t="str">
        <f aca="false">IFERROR(INDEX(Query_Source_View!$R:$R,MATCH(ROW()-14,Query_Source_View!$Z:$Z,0)),"")</f>
        <v/>
      </c>
      <c r="K491" s="2" t="str">
        <f aca="false">IFERROR(INDEX(Query_Source_View!$T:$T,MATCH(ROW()-14,Query_Source_View!$Z:$Z,0)),"")</f>
        <v/>
      </c>
      <c r="L491" s="2" t="str">
        <f aca="false">IFERROR(INDEX(Query_Source_View!$U:$U,MATCH(ROW()-14,Query_Source_View!$Z:$Z,0)),"")</f>
        <v/>
      </c>
      <c r="M491" s="2" t="str">
        <f aca="false">IFERROR(INDEX(Query_Source_View!$V:$V,MATCH(ROW()-14,Query_Source_View!$Z:$Z,0)),"")</f>
        <v/>
      </c>
      <c r="N491" s="2" t="str">
        <f aca="false">IFERROR(INDEX(Query_Source_View!$W:$W,MATCH(ROW()-14,Query_Source_View!$Z:$Z,0)),"")</f>
        <v/>
      </c>
      <c r="O491" s="2" t="str">
        <f aca="false">IFERROR(INDEX(Query_Source_View!$X:$X,MATCH(ROW()-14,Query_Source_View!$Z:$Z,0)),"")</f>
        <v/>
      </c>
    </row>
    <row r="492" customFormat="false" ht="15" hidden="false" customHeight="false" outlineLevel="0" collapsed="false">
      <c r="A492" s="2" t="str">
        <f aca="false">IFERROR(INDEX(Query_Source_View!$A:$A,MATCH(ROW()-14,Query_Source_View!$Z:$Z,0)),"")</f>
        <v/>
      </c>
      <c r="B492" s="2" t="str">
        <f aca="false">IFERROR(INDEX(Query_Source_View!$D:$D,MATCH(ROW()-14,Query_Source_View!$Z:$Z,0)),"")</f>
        <v/>
      </c>
      <c r="C492" s="2" t="str">
        <f aca="false">IFERROR(INDEX(Query_Source_View!$F:$F,MATCH(ROW()-14,Query_Source_View!$Z:$Z,0)),"")</f>
        <v/>
      </c>
      <c r="D492" s="2" t="str">
        <f aca="false">IFERROR(INDEX(Query_Source_View!$H:$H,MATCH(ROW()-14,Query_Source_View!$Z:$Z,0)),"")</f>
        <v/>
      </c>
      <c r="E492" s="2" t="str">
        <f aca="false">IFERROR(INDEX(Query_Source_View!$J:$J,MATCH(ROW()-14,Query_Source_View!$Z:$Z,0)),"")</f>
        <v/>
      </c>
      <c r="F492" s="2" t="str">
        <f aca="false">IFERROR(INDEX(Query_Source_View!$L:$L,MATCH(ROW()-14,Query_Source_View!$Z:$Z,0)),"")</f>
        <v/>
      </c>
      <c r="G492" s="2" t="str">
        <f aca="false">IFERROR(INDEX(Query_Source_View!$N:$N,MATCH(ROW()-14,Query_Source_View!$Z:$Z,0)),"")</f>
        <v/>
      </c>
      <c r="H492" s="2" t="str">
        <f aca="false">IFERROR(INDEX(Query_Source_View!$P:$P,MATCH(ROW()-14,Query_Source_View!$Z:$Z,0)),"")</f>
        <v/>
      </c>
      <c r="I492" s="2" t="str">
        <f aca="false">IFERROR(INDEX(Query_Source_View!$Q:$Q,MATCH(ROW()-14,Query_Source_View!$Z:$Z,0)),"")</f>
        <v/>
      </c>
      <c r="J492" s="2" t="str">
        <f aca="false">IFERROR(INDEX(Query_Source_View!$R:$R,MATCH(ROW()-14,Query_Source_View!$Z:$Z,0)),"")</f>
        <v/>
      </c>
      <c r="K492" s="2" t="str">
        <f aca="false">IFERROR(INDEX(Query_Source_View!$T:$T,MATCH(ROW()-14,Query_Source_View!$Z:$Z,0)),"")</f>
        <v/>
      </c>
      <c r="L492" s="2" t="str">
        <f aca="false">IFERROR(INDEX(Query_Source_View!$U:$U,MATCH(ROW()-14,Query_Source_View!$Z:$Z,0)),"")</f>
        <v/>
      </c>
      <c r="M492" s="2" t="str">
        <f aca="false">IFERROR(INDEX(Query_Source_View!$V:$V,MATCH(ROW()-14,Query_Source_View!$Z:$Z,0)),"")</f>
        <v/>
      </c>
      <c r="N492" s="2" t="str">
        <f aca="false">IFERROR(INDEX(Query_Source_View!$W:$W,MATCH(ROW()-14,Query_Source_View!$Z:$Z,0)),"")</f>
        <v/>
      </c>
      <c r="O492" s="2" t="str">
        <f aca="false">IFERROR(INDEX(Query_Source_View!$X:$X,MATCH(ROW()-14,Query_Source_View!$Z:$Z,0)),"")</f>
        <v/>
      </c>
    </row>
    <row r="493" customFormat="false" ht="15" hidden="false" customHeight="false" outlineLevel="0" collapsed="false">
      <c r="A493" s="2" t="str">
        <f aca="false">IFERROR(INDEX(Query_Source_View!$A:$A,MATCH(ROW()-14,Query_Source_View!$Z:$Z,0)),"")</f>
        <v/>
      </c>
      <c r="B493" s="2" t="str">
        <f aca="false">IFERROR(INDEX(Query_Source_View!$D:$D,MATCH(ROW()-14,Query_Source_View!$Z:$Z,0)),"")</f>
        <v/>
      </c>
      <c r="C493" s="2" t="str">
        <f aca="false">IFERROR(INDEX(Query_Source_View!$F:$F,MATCH(ROW()-14,Query_Source_View!$Z:$Z,0)),"")</f>
        <v/>
      </c>
      <c r="D493" s="2" t="str">
        <f aca="false">IFERROR(INDEX(Query_Source_View!$H:$H,MATCH(ROW()-14,Query_Source_View!$Z:$Z,0)),"")</f>
        <v/>
      </c>
      <c r="E493" s="2" t="str">
        <f aca="false">IFERROR(INDEX(Query_Source_View!$J:$J,MATCH(ROW()-14,Query_Source_View!$Z:$Z,0)),"")</f>
        <v/>
      </c>
      <c r="F493" s="2" t="str">
        <f aca="false">IFERROR(INDEX(Query_Source_View!$L:$L,MATCH(ROW()-14,Query_Source_View!$Z:$Z,0)),"")</f>
        <v/>
      </c>
      <c r="G493" s="2" t="str">
        <f aca="false">IFERROR(INDEX(Query_Source_View!$N:$N,MATCH(ROW()-14,Query_Source_View!$Z:$Z,0)),"")</f>
        <v/>
      </c>
      <c r="H493" s="2" t="str">
        <f aca="false">IFERROR(INDEX(Query_Source_View!$P:$P,MATCH(ROW()-14,Query_Source_View!$Z:$Z,0)),"")</f>
        <v/>
      </c>
      <c r="I493" s="2" t="str">
        <f aca="false">IFERROR(INDEX(Query_Source_View!$Q:$Q,MATCH(ROW()-14,Query_Source_View!$Z:$Z,0)),"")</f>
        <v/>
      </c>
      <c r="J493" s="2" t="str">
        <f aca="false">IFERROR(INDEX(Query_Source_View!$R:$R,MATCH(ROW()-14,Query_Source_View!$Z:$Z,0)),"")</f>
        <v/>
      </c>
      <c r="K493" s="2" t="str">
        <f aca="false">IFERROR(INDEX(Query_Source_View!$T:$T,MATCH(ROW()-14,Query_Source_View!$Z:$Z,0)),"")</f>
        <v/>
      </c>
      <c r="L493" s="2" t="str">
        <f aca="false">IFERROR(INDEX(Query_Source_View!$U:$U,MATCH(ROW()-14,Query_Source_View!$Z:$Z,0)),"")</f>
        <v/>
      </c>
      <c r="M493" s="2" t="str">
        <f aca="false">IFERROR(INDEX(Query_Source_View!$V:$V,MATCH(ROW()-14,Query_Source_View!$Z:$Z,0)),"")</f>
        <v/>
      </c>
      <c r="N493" s="2" t="str">
        <f aca="false">IFERROR(INDEX(Query_Source_View!$W:$W,MATCH(ROW()-14,Query_Source_View!$Z:$Z,0)),"")</f>
        <v/>
      </c>
      <c r="O493" s="2" t="str">
        <f aca="false">IFERROR(INDEX(Query_Source_View!$X:$X,MATCH(ROW()-14,Query_Source_View!$Z:$Z,0)),"")</f>
        <v/>
      </c>
    </row>
    <row r="494" customFormat="false" ht="15" hidden="false" customHeight="false" outlineLevel="0" collapsed="false">
      <c r="A494" s="2" t="str">
        <f aca="false">IFERROR(INDEX(Query_Source_View!$A:$A,MATCH(ROW()-14,Query_Source_View!$Z:$Z,0)),"")</f>
        <v/>
      </c>
      <c r="B494" s="2" t="str">
        <f aca="false">IFERROR(INDEX(Query_Source_View!$D:$D,MATCH(ROW()-14,Query_Source_View!$Z:$Z,0)),"")</f>
        <v/>
      </c>
      <c r="C494" s="2" t="str">
        <f aca="false">IFERROR(INDEX(Query_Source_View!$F:$F,MATCH(ROW()-14,Query_Source_View!$Z:$Z,0)),"")</f>
        <v/>
      </c>
      <c r="D494" s="2" t="str">
        <f aca="false">IFERROR(INDEX(Query_Source_View!$H:$H,MATCH(ROW()-14,Query_Source_View!$Z:$Z,0)),"")</f>
        <v/>
      </c>
      <c r="E494" s="2" t="str">
        <f aca="false">IFERROR(INDEX(Query_Source_View!$J:$J,MATCH(ROW()-14,Query_Source_View!$Z:$Z,0)),"")</f>
        <v/>
      </c>
      <c r="F494" s="2" t="str">
        <f aca="false">IFERROR(INDEX(Query_Source_View!$L:$L,MATCH(ROW()-14,Query_Source_View!$Z:$Z,0)),"")</f>
        <v/>
      </c>
      <c r="G494" s="2" t="str">
        <f aca="false">IFERROR(INDEX(Query_Source_View!$N:$N,MATCH(ROW()-14,Query_Source_View!$Z:$Z,0)),"")</f>
        <v/>
      </c>
      <c r="H494" s="2" t="str">
        <f aca="false">IFERROR(INDEX(Query_Source_View!$P:$P,MATCH(ROW()-14,Query_Source_View!$Z:$Z,0)),"")</f>
        <v/>
      </c>
      <c r="I494" s="2" t="str">
        <f aca="false">IFERROR(INDEX(Query_Source_View!$Q:$Q,MATCH(ROW()-14,Query_Source_View!$Z:$Z,0)),"")</f>
        <v/>
      </c>
      <c r="J494" s="2" t="str">
        <f aca="false">IFERROR(INDEX(Query_Source_View!$R:$R,MATCH(ROW()-14,Query_Source_View!$Z:$Z,0)),"")</f>
        <v/>
      </c>
      <c r="K494" s="2" t="str">
        <f aca="false">IFERROR(INDEX(Query_Source_View!$T:$T,MATCH(ROW()-14,Query_Source_View!$Z:$Z,0)),"")</f>
        <v/>
      </c>
      <c r="L494" s="2" t="str">
        <f aca="false">IFERROR(INDEX(Query_Source_View!$U:$U,MATCH(ROW()-14,Query_Source_View!$Z:$Z,0)),"")</f>
        <v/>
      </c>
      <c r="M494" s="2" t="str">
        <f aca="false">IFERROR(INDEX(Query_Source_View!$V:$V,MATCH(ROW()-14,Query_Source_View!$Z:$Z,0)),"")</f>
        <v/>
      </c>
      <c r="N494" s="2" t="str">
        <f aca="false">IFERROR(INDEX(Query_Source_View!$W:$W,MATCH(ROW()-14,Query_Source_View!$Z:$Z,0)),"")</f>
        <v/>
      </c>
      <c r="O494" s="2" t="str">
        <f aca="false">IFERROR(INDEX(Query_Source_View!$X:$X,MATCH(ROW()-14,Query_Source_View!$Z:$Z,0)),"")</f>
        <v/>
      </c>
    </row>
    <row r="495" customFormat="false" ht="15" hidden="false" customHeight="false" outlineLevel="0" collapsed="false">
      <c r="A495" s="2" t="str">
        <f aca="false">IFERROR(INDEX(Query_Source_View!$A:$A,MATCH(ROW()-14,Query_Source_View!$Z:$Z,0)),"")</f>
        <v/>
      </c>
      <c r="B495" s="2" t="str">
        <f aca="false">IFERROR(INDEX(Query_Source_View!$D:$D,MATCH(ROW()-14,Query_Source_View!$Z:$Z,0)),"")</f>
        <v/>
      </c>
      <c r="C495" s="2" t="str">
        <f aca="false">IFERROR(INDEX(Query_Source_View!$F:$F,MATCH(ROW()-14,Query_Source_View!$Z:$Z,0)),"")</f>
        <v/>
      </c>
      <c r="D495" s="2" t="str">
        <f aca="false">IFERROR(INDEX(Query_Source_View!$H:$H,MATCH(ROW()-14,Query_Source_View!$Z:$Z,0)),"")</f>
        <v/>
      </c>
      <c r="E495" s="2" t="str">
        <f aca="false">IFERROR(INDEX(Query_Source_View!$J:$J,MATCH(ROW()-14,Query_Source_View!$Z:$Z,0)),"")</f>
        <v/>
      </c>
      <c r="F495" s="2" t="str">
        <f aca="false">IFERROR(INDEX(Query_Source_View!$L:$L,MATCH(ROW()-14,Query_Source_View!$Z:$Z,0)),"")</f>
        <v/>
      </c>
      <c r="G495" s="2" t="str">
        <f aca="false">IFERROR(INDEX(Query_Source_View!$N:$N,MATCH(ROW()-14,Query_Source_View!$Z:$Z,0)),"")</f>
        <v/>
      </c>
      <c r="H495" s="2" t="str">
        <f aca="false">IFERROR(INDEX(Query_Source_View!$P:$P,MATCH(ROW()-14,Query_Source_View!$Z:$Z,0)),"")</f>
        <v/>
      </c>
      <c r="I495" s="2" t="str">
        <f aca="false">IFERROR(INDEX(Query_Source_View!$Q:$Q,MATCH(ROW()-14,Query_Source_View!$Z:$Z,0)),"")</f>
        <v/>
      </c>
      <c r="J495" s="2" t="str">
        <f aca="false">IFERROR(INDEX(Query_Source_View!$R:$R,MATCH(ROW()-14,Query_Source_View!$Z:$Z,0)),"")</f>
        <v/>
      </c>
      <c r="K495" s="2" t="str">
        <f aca="false">IFERROR(INDEX(Query_Source_View!$T:$T,MATCH(ROW()-14,Query_Source_View!$Z:$Z,0)),"")</f>
        <v/>
      </c>
      <c r="L495" s="2" t="str">
        <f aca="false">IFERROR(INDEX(Query_Source_View!$U:$U,MATCH(ROW()-14,Query_Source_View!$Z:$Z,0)),"")</f>
        <v/>
      </c>
      <c r="M495" s="2" t="str">
        <f aca="false">IFERROR(INDEX(Query_Source_View!$V:$V,MATCH(ROW()-14,Query_Source_View!$Z:$Z,0)),"")</f>
        <v/>
      </c>
      <c r="N495" s="2" t="str">
        <f aca="false">IFERROR(INDEX(Query_Source_View!$W:$W,MATCH(ROW()-14,Query_Source_View!$Z:$Z,0)),"")</f>
        <v/>
      </c>
      <c r="O495" s="2" t="str">
        <f aca="false">IFERROR(INDEX(Query_Source_View!$X:$X,MATCH(ROW()-14,Query_Source_View!$Z:$Z,0)),"")</f>
        <v/>
      </c>
    </row>
    <row r="496" customFormat="false" ht="15" hidden="false" customHeight="false" outlineLevel="0" collapsed="false">
      <c r="A496" s="2" t="str">
        <f aca="false">IFERROR(INDEX(Query_Source_View!$A:$A,MATCH(ROW()-14,Query_Source_View!$Z:$Z,0)),"")</f>
        <v/>
      </c>
      <c r="B496" s="2" t="str">
        <f aca="false">IFERROR(INDEX(Query_Source_View!$D:$D,MATCH(ROW()-14,Query_Source_View!$Z:$Z,0)),"")</f>
        <v/>
      </c>
      <c r="C496" s="2" t="str">
        <f aca="false">IFERROR(INDEX(Query_Source_View!$F:$F,MATCH(ROW()-14,Query_Source_View!$Z:$Z,0)),"")</f>
        <v/>
      </c>
      <c r="D496" s="2" t="str">
        <f aca="false">IFERROR(INDEX(Query_Source_View!$H:$H,MATCH(ROW()-14,Query_Source_View!$Z:$Z,0)),"")</f>
        <v/>
      </c>
      <c r="E496" s="2" t="str">
        <f aca="false">IFERROR(INDEX(Query_Source_View!$J:$J,MATCH(ROW()-14,Query_Source_View!$Z:$Z,0)),"")</f>
        <v/>
      </c>
      <c r="F496" s="2" t="str">
        <f aca="false">IFERROR(INDEX(Query_Source_View!$L:$L,MATCH(ROW()-14,Query_Source_View!$Z:$Z,0)),"")</f>
        <v/>
      </c>
      <c r="G496" s="2" t="str">
        <f aca="false">IFERROR(INDEX(Query_Source_View!$N:$N,MATCH(ROW()-14,Query_Source_View!$Z:$Z,0)),"")</f>
        <v/>
      </c>
      <c r="H496" s="2" t="str">
        <f aca="false">IFERROR(INDEX(Query_Source_View!$P:$P,MATCH(ROW()-14,Query_Source_View!$Z:$Z,0)),"")</f>
        <v/>
      </c>
      <c r="I496" s="2" t="str">
        <f aca="false">IFERROR(INDEX(Query_Source_View!$Q:$Q,MATCH(ROW()-14,Query_Source_View!$Z:$Z,0)),"")</f>
        <v/>
      </c>
      <c r="J496" s="2" t="str">
        <f aca="false">IFERROR(INDEX(Query_Source_View!$R:$R,MATCH(ROW()-14,Query_Source_View!$Z:$Z,0)),"")</f>
        <v/>
      </c>
      <c r="K496" s="2" t="str">
        <f aca="false">IFERROR(INDEX(Query_Source_View!$T:$T,MATCH(ROW()-14,Query_Source_View!$Z:$Z,0)),"")</f>
        <v/>
      </c>
      <c r="L496" s="2" t="str">
        <f aca="false">IFERROR(INDEX(Query_Source_View!$U:$U,MATCH(ROW()-14,Query_Source_View!$Z:$Z,0)),"")</f>
        <v/>
      </c>
      <c r="M496" s="2" t="str">
        <f aca="false">IFERROR(INDEX(Query_Source_View!$V:$V,MATCH(ROW()-14,Query_Source_View!$Z:$Z,0)),"")</f>
        <v/>
      </c>
      <c r="N496" s="2" t="str">
        <f aca="false">IFERROR(INDEX(Query_Source_View!$W:$W,MATCH(ROW()-14,Query_Source_View!$Z:$Z,0)),"")</f>
        <v/>
      </c>
      <c r="O496" s="2" t="str">
        <f aca="false">IFERROR(INDEX(Query_Source_View!$X:$X,MATCH(ROW()-14,Query_Source_View!$Z:$Z,0)),"")</f>
        <v/>
      </c>
    </row>
    <row r="497" customFormat="false" ht="15" hidden="false" customHeight="false" outlineLevel="0" collapsed="false">
      <c r="A497" s="2" t="str">
        <f aca="false">IFERROR(INDEX(Query_Source_View!$A:$A,MATCH(ROW()-14,Query_Source_View!$Z:$Z,0)),"")</f>
        <v/>
      </c>
      <c r="B497" s="2" t="str">
        <f aca="false">IFERROR(INDEX(Query_Source_View!$D:$D,MATCH(ROW()-14,Query_Source_View!$Z:$Z,0)),"")</f>
        <v/>
      </c>
      <c r="C497" s="2" t="str">
        <f aca="false">IFERROR(INDEX(Query_Source_View!$F:$F,MATCH(ROW()-14,Query_Source_View!$Z:$Z,0)),"")</f>
        <v/>
      </c>
      <c r="D497" s="2" t="str">
        <f aca="false">IFERROR(INDEX(Query_Source_View!$H:$H,MATCH(ROW()-14,Query_Source_View!$Z:$Z,0)),"")</f>
        <v/>
      </c>
      <c r="E497" s="2" t="str">
        <f aca="false">IFERROR(INDEX(Query_Source_View!$J:$J,MATCH(ROW()-14,Query_Source_View!$Z:$Z,0)),"")</f>
        <v/>
      </c>
      <c r="F497" s="2" t="str">
        <f aca="false">IFERROR(INDEX(Query_Source_View!$L:$L,MATCH(ROW()-14,Query_Source_View!$Z:$Z,0)),"")</f>
        <v/>
      </c>
      <c r="G497" s="2" t="str">
        <f aca="false">IFERROR(INDEX(Query_Source_View!$N:$N,MATCH(ROW()-14,Query_Source_View!$Z:$Z,0)),"")</f>
        <v/>
      </c>
      <c r="H497" s="2" t="str">
        <f aca="false">IFERROR(INDEX(Query_Source_View!$P:$P,MATCH(ROW()-14,Query_Source_View!$Z:$Z,0)),"")</f>
        <v/>
      </c>
      <c r="I497" s="2" t="str">
        <f aca="false">IFERROR(INDEX(Query_Source_View!$Q:$Q,MATCH(ROW()-14,Query_Source_View!$Z:$Z,0)),"")</f>
        <v/>
      </c>
      <c r="J497" s="2" t="str">
        <f aca="false">IFERROR(INDEX(Query_Source_View!$R:$R,MATCH(ROW()-14,Query_Source_View!$Z:$Z,0)),"")</f>
        <v/>
      </c>
      <c r="K497" s="2" t="str">
        <f aca="false">IFERROR(INDEX(Query_Source_View!$T:$T,MATCH(ROW()-14,Query_Source_View!$Z:$Z,0)),"")</f>
        <v/>
      </c>
      <c r="L497" s="2" t="str">
        <f aca="false">IFERROR(INDEX(Query_Source_View!$U:$U,MATCH(ROW()-14,Query_Source_View!$Z:$Z,0)),"")</f>
        <v/>
      </c>
      <c r="M497" s="2" t="str">
        <f aca="false">IFERROR(INDEX(Query_Source_View!$V:$V,MATCH(ROW()-14,Query_Source_View!$Z:$Z,0)),"")</f>
        <v/>
      </c>
      <c r="N497" s="2" t="str">
        <f aca="false">IFERROR(INDEX(Query_Source_View!$W:$W,MATCH(ROW()-14,Query_Source_View!$Z:$Z,0)),"")</f>
        <v/>
      </c>
      <c r="O497" s="2" t="str">
        <f aca="false">IFERROR(INDEX(Query_Source_View!$X:$X,MATCH(ROW()-14,Query_Source_View!$Z:$Z,0)),"")</f>
        <v/>
      </c>
    </row>
    <row r="498" customFormat="false" ht="15" hidden="false" customHeight="false" outlineLevel="0" collapsed="false">
      <c r="A498" s="2" t="str">
        <f aca="false">IFERROR(INDEX(Query_Source_View!$A:$A,MATCH(ROW()-14,Query_Source_View!$Z:$Z,0)),"")</f>
        <v/>
      </c>
      <c r="B498" s="2" t="str">
        <f aca="false">IFERROR(INDEX(Query_Source_View!$D:$D,MATCH(ROW()-14,Query_Source_View!$Z:$Z,0)),"")</f>
        <v/>
      </c>
      <c r="C498" s="2" t="str">
        <f aca="false">IFERROR(INDEX(Query_Source_View!$F:$F,MATCH(ROW()-14,Query_Source_View!$Z:$Z,0)),"")</f>
        <v/>
      </c>
      <c r="D498" s="2" t="str">
        <f aca="false">IFERROR(INDEX(Query_Source_View!$H:$H,MATCH(ROW()-14,Query_Source_View!$Z:$Z,0)),"")</f>
        <v/>
      </c>
      <c r="E498" s="2" t="str">
        <f aca="false">IFERROR(INDEX(Query_Source_View!$J:$J,MATCH(ROW()-14,Query_Source_View!$Z:$Z,0)),"")</f>
        <v/>
      </c>
      <c r="F498" s="2" t="str">
        <f aca="false">IFERROR(INDEX(Query_Source_View!$L:$L,MATCH(ROW()-14,Query_Source_View!$Z:$Z,0)),"")</f>
        <v/>
      </c>
      <c r="G498" s="2" t="str">
        <f aca="false">IFERROR(INDEX(Query_Source_View!$N:$N,MATCH(ROW()-14,Query_Source_View!$Z:$Z,0)),"")</f>
        <v/>
      </c>
      <c r="H498" s="2" t="str">
        <f aca="false">IFERROR(INDEX(Query_Source_View!$P:$P,MATCH(ROW()-14,Query_Source_View!$Z:$Z,0)),"")</f>
        <v/>
      </c>
      <c r="I498" s="2" t="str">
        <f aca="false">IFERROR(INDEX(Query_Source_View!$Q:$Q,MATCH(ROW()-14,Query_Source_View!$Z:$Z,0)),"")</f>
        <v/>
      </c>
      <c r="J498" s="2" t="str">
        <f aca="false">IFERROR(INDEX(Query_Source_View!$R:$R,MATCH(ROW()-14,Query_Source_View!$Z:$Z,0)),"")</f>
        <v/>
      </c>
      <c r="K498" s="2" t="str">
        <f aca="false">IFERROR(INDEX(Query_Source_View!$T:$T,MATCH(ROW()-14,Query_Source_View!$Z:$Z,0)),"")</f>
        <v/>
      </c>
      <c r="L498" s="2" t="str">
        <f aca="false">IFERROR(INDEX(Query_Source_View!$U:$U,MATCH(ROW()-14,Query_Source_View!$Z:$Z,0)),"")</f>
        <v/>
      </c>
      <c r="M498" s="2" t="str">
        <f aca="false">IFERROR(INDEX(Query_Source_View!$V:$V,MATCH(ROW()-14,Query_Source_View!$Z:$Z,0)),"")</f>
        <v/>
      </c>
      <c r="N498" s="2" t="str">
        <f aca="false">IFERROR(INDEX(Query_Source_View!$W:$W,MATCH(ROW()-14,Query_Source_View!$Z:$Z,0)),"")</f>
        <v/>
      </c>
      <c r="O498" s="2" t="str">
        <f aca="false">IFERROR(INDEX(Query_Source_View!$X:$X,MATCH(ROW()-14,Query_Source_View!$Z:$Z,0)),"")</f>
        <v/>
      </c>
    </row>
    <row r="499" customFormat="false" ht="15" hidden="false" customHeight="false" outlineLevel="0" collapsed="false">
      <c r="A499" s="2" t="str">
        <f aca="false">IFERROR(INDEX(Query_Source_View!$A:$A,MATCH(ROW()-14,Query_Source_View!$Z:$Z,0)),"")</f>
        <v/>
      </c>
      <c r="B499" s="2" t="str">
        <f aca="false">IFERROR(INDEX(Query_Source_View!$D:$D,MATCH(ROW()-14,Query_Source_View!$Z:$Z,0)),"")</f>
        <v/>
      </c>
      <c r="C499" s="2" t="str">
        <f aca="false">IFERROR(INDEX(Query_Source_View!$F:$F,MATCH(ROW()-14,Query_Source_View!$Z:$Z,0)),"")</f>
        <v/>
      </c>
      <c r="D499" s="2" t="str">
        <f aca="false">IFERROR(INDEX(Query_Source_View!$H:$H,MATCH(ROW()-14,Query_Source_View!$Z:$Z,0)),"")</f>
        <v/>
      </c>
      <c r="E499" s="2" t="str">
        <f aca="false">IFERROR(INDEX(Query_Source_View!$J:$J,MATCH(ROW()-14,Query_Source_View!$Z:$Z,0)),"")</f>
        <v/>
      </c>
      <c r="F499" s="2" t="str">
        <f aca="false">IFERROR(INDEX(Query_Source_View!$L:$L,MATCH(ROW()-14,Query_Source_View!$Z:$Z,0)),"")</f>
        <v/>
      </c>
      <c r="G499" s="2" t="str">
        <f aca="false">IFERROR(INDEX(Query_Source_View!$N:$N,MATCH(ROW()-14,Query_Source_View!$Z:$Z,0)),"")</f>
        <v/>
      </c>
      <c r="H499" s="2" t="str">
        <f aca="false">IFERROR(INDEX(Query_Source_View!$P:$P,MATCH(ROW()-14,Query_Source_View!$Z:$Z,0)),"")</f>
        <v/>
      </c>
      <c r="I499" s="2" t="str">
        <f aca="false">IFERROR(INDEX(Query_Source_View!$Q:$Q,MATCH(ROW()-14,Query_Source_View!$Z:$Z,0)),"")</f>
        <v/>
      </c>
      <c r="J499" s="2" t="str">
        <f aca="false">IFERROR(INDEX(Query_Source_View!$R:$R,MATCH(ROW()-14,Query_Source_View!$Z:$Z,0)),"")</f>
        <v/>
      </c>
      <c r="K499" s="2" t="str">
        <f aca="false">IFERROR(INDEX(Query_Source_View!$T:$T,MATCH(ROW()-14,Query_Source_View!$Z:$Z,0)),"")</f>
        <v/>
      </c>
      <c r="L499" s="2" t="str">
        <f aca="false">IFERROR(INDEX(Query_Source_View!$U:$U,MATCH(ROW()-14,Query_Source_View!$Z:$Z,0)),"")</f>
        <v/>
      </c>
      <c r="M499" s="2" t="str">
        <f aca="false">IFERROR(INDEX(Query_Source_View!$V:$V,MATCH(ROW()-14,Query_Source_View!$Z:$Z,0)),"")</f>
        <v/>
      </c>
      <c r="N499" s="2" t="str">
        <f aca="false">IFERROR(INDEX(Query_Source_View!$W:$W,MATCH(ROW()-14,Query_Source_View!$Z:$Z,0)),"")</f>
        <v/>
      </c>
      <c r="O499" s="2" t="str">
        <f aca="false">IFERROR(INDEX(Query_Source_View!$X:$X,MATCH(ROW()-14,Query_Source_View!$Z:$Z,0)),"")</f>
        <v/>
      </c>
    </row>
    <row r="500" customFormat="false" ht="15" hidden="false" customHeight="false" outlineLevel="0" collapsed="false">
      <c r="A500" s="2" t="str">
        <f aca="false">IFERROR(INDEX(Query_Source_View!$A:$A,MATCH(ROW()-14,Query_Source_View!$Z:$Z,0)),"")</f>
        <v/>
      </c>
      <c r="B500" s="2" t="str">
        <f aca="false">IFERROR(INDEX(Query_Source_View!$D:$D,MATCH(ROW()-14,Query_Source_View!$Z:$Z,0)),"")</f>
        <v/>
      </c>
      <c r="C500" s="2" t="str">
        <f aca="false">IFERROR(INDEX(Query_Source_View!$F:$F,MATCH(ROW()-14,Query_Source_View!$Z:$Z,0)),"")</f>
        <v/>
      </c>
      <c r="D500" s="2" t="str">
        <f aca="false">IFERROR(INDEX(Query_Source_View!$H:$H,MATCH(ROW()-14,Query_Source_View!$Z:$Z,0)),"")</f>
        <v/>
      </c>
      <c r="E500" s="2" t="str">
        <f aca="false">IFERROR(INDEX(Query_Source_View!$J:$J,MATCH(ROW()-14,Query_Source_View!$Z:$Z,0)),"")</f>
        <v/>
      </c>
      <c r="F500" s="2" t="str">
        <f aca="false">IFERROR(INDEX(Query_Source_View!$L:$L,MATCH(ROW()-14,Query_Source_View!$Z:$Z,0)),"")</f>
        <v/>
      </c>
      <c r="G500" s="2" t="str">
        <f aca="false">IFERROR(INDEX(Query_Source_View!$N:$N,MATCH(ROW()-14,Query_Source_View!$Z:$Z,0)),"")</f>
        <v/>
      </c>
      <c r="H500" s="2" t="str">
        <f aca="false">IFERROR(INDEX(Query_Source_View!$P:$P,MATCH(ROW()-14,Query_Source_View!$Z:$Z,0)),"")</f>
        <v/>
      </c>
      <c r="I500" s="2" t="str">
        <f aca="false">IFERROR(INDEX(Query_Source_View!$Q:$Q,MATCH(ROW()-14,Query_Source_View!$Z:$Z,0)),"")</f>
        <v/>
      </c>
      <c r="J500" s="2" t="str">
        <f aca="false">IFERROR(INDEX(Query_Source_View!$R:$R,MATCH(ROW()-14,Query_Source_View!$Z:$Z,0)),"")</f>
        <v/>
      </c>
      <c r="K500" s="2" t="str">
        <f aca="false">IFERROR(INDEX(Query_Source_View!$T:$T,MATCH(ROW()-14,Query_Source_View!$Z:$Z,0)),"")</f>
        <v/>
      </c>
      <c r="L500" s="2" t="str">
        <f aca="false">IFERROR(INDEX(Query_Source_View!$U:$U,MATCH(ROW()-14,Query_Source_View!$Z:$Z,0)),"")</f>
        <v/>
      </c>
      <c r="M500" s="2" t="str">
        <f aca="false">IFERROR(INDEX(Query_Source_View!$V:$V,MATCH(ROW()-14,Query_Source_View!$Z:$Z,0)),"")</f>
        <v/>
      </c>
      <c r="N500" s="2" t="str">
        <f aca="false">IFERROR(INDEX(Query_Source_View!$W:$W,MATCH(ROW()-14,Query_Source_View!$Z:$Z,0)),"")</f>
        <v/>
      </c>
      <c r="O500" s="2" t="str">
        <f aca="false">IFERROR(INDEX(Query_Source_View!$X:$X,MATCH(ROW()-14,Query_Source_View!$Z:$Z,0)),"")</f>
        <v/>
      </c>
    </row>
    <row r="501" customFormat="false" ht="15" hidden="false" customHeight="false" outlineLevel="0" collapsed="false">
      <c r="A501" s="2" t="str">
        <f aca="false">IFERROR(INDEX(Query_Source_View!$A:$A,MATCH(ROW()-14,Query_Source_View!$Z:$Z,0)),"")</f>
        <v/>
      </c>
      <c r="B501" s="2" t="str">
        <f aca="false">IFERROR(INDEX(Query_Source_View!$D:$D,MATCH(ROW()-14,Query_Source_View!$Z:$Z,0)),"")</f>
        <v/>
      </c>
      <c r="C501" s="2" t="str">
        <f aca="false">IFERROR(INDEX(Query_Source_View!$F:$F,MATCH(ROW()-14,Query_Source_View!$Z:$Z,0)),"")</f>
        <v/>
      </c>
      <c r="D501" s="2" t="str">
        <f aca="false">IFERROR(INDEX(Query_Source_View!$H:$H,MATCH(ROW()-14,Query_Source_View!$Z:$Z,0)),"")</f>
        <v/>
      </c>
      <c r="E501" s="2" t="str">
        <f aca="false">IFERROR(INDEX(Query_Source_View!$J:$J,MATCH(ROW()-14,Query_Source_View!$Z:$Z,0)),"")</f>
        <v/>
      </c>
      <c r="F501" s="2" t="str">
        <f aca="false">IFERROR(INDEX(Query_Source_View!$L:$L,MATCH(ROW()-14,Query_Source_View!$Z:$Z,0)),"")</f>
        <v/>
      </c>
      <c r="G501" s="2" t="str">
        <f aca="false">IFERROR(INDEX(Query_Source_View!$N:$N,MATCH(ROW()-14,Query_Source_View!$Z:$Z,0)),"")</f>
        <v/>
      </c>
      <c r="H501" s="2" t="str">
        <f aca="false">IFERROR(INDEX(Query_Source_View!$P:$P,MATCH(ROW()-14,Query_Source_View!$Z:$Z,0)),"")</f>
        <v/>
      </c>
      <c r="I501" s="2" t="str">
        <f aca="false">IFERROR(INDEX(Query_Source_View!$Q:$Q,MATCH(ROW()-14,Query_Source_View!$Z:$Z,0)),"")</f>
        <v/>
      </c>
      <c r="J501" s="2" t="str">
        <f aca="false">IFERROR(INDEX(Query_Source_View!$R:$R,MATCH(ROW()-14,Query_Source_View!$Z:$Z,0)),"")</f>
        <v/>
      </c>
      <c r="K501" s="2" t="str">
        <f aca="false">IFERROR(INDEX(Query_Source_View!$T:$T,MATCH(ROW()-14,Query_Source_View!$Z:$Z,0)),"")</f>
        <v/>
      </c>
      <c r="L501" s="2" t="str">
        <f aca="false">IFERROR(INDEX(Query_Source_View!$U:$U,MATCH(ROW()-14,Query_Source_View!$Z:$Z,0)),"")</f>
        <v/>
      </c>
      <c r="M501" s="2" t="str">
        <f aca="false">IFERROR(INDEX(Query_Source_View!$V:$V,MATCH(ROW()-14,Query_Source_View!$Z:$Z,0)),"")</f>
        <v/>
      </c>
      <c r="N501" s="2" t="str">
        <f aca="false">IFERROR(INDEX(Query_Source_View!$W:$W,MATCH(ROW()-14,Query_Source_View!$Z:$Z,0)),"")</f>
        <v/>
      </c>
      <c r="O501" s="2" t="str">
        <f aca="false">IFERROR(INDEX(Query_Source_View!$X:$X,MATCH(ROW()-14,Query_Source_View!$Z:$Z,0)),"")</f>
        <v/>
      </c>
    </row>
    <row r="502" customFormat="false" ht="15" hidden="false" customHeight="false" outlineLevel="0" collapsed="false">
      <c r="A502" s="2" t="str">
        <f aca="false">IFERROR(INDEX(Query_Source_View!$A:$A,MATCH(ROW()-14,Query_Source_View!$Z:$Z,0)),"")</f>
        <v/>
      </c>
      <c r="B502" s="2" t="str">
        <f aca="false">IFERROR(INDEX(Query_Source_View!$D:$D,MATCH(ROW()-14,Query_Source_View!$Z:$Z,0)),"")</f>
        <v/>
      </c>
      <c r="C502" s="2" t="str">
        <f aca="false">IFERROR(INDEX(Query_Source_View!$F:$F,MATCH(ROW()-14,Query_Source_View!$Z:$Z,0)),"")</f>
        <v/>
      </c>
      <c r="D502" s="2" t="str">
        <f aca="false">IFERROR(INDEX(Query_Source_View!$H:$H,MATCH(ROW()-14,Query_Source_View!$Z:$Z,0)),"")</f>
        <v/>
      </c>
      <c r="E502" s="2" t="str">
        <f aca="false">IFERROR(INDEX(Query_Source_View!$J:$J,MATCH(ROW()-14,Query_Source_View!$Z:$Z,0)),"")</f>
        <v/>
      </c>
      <c r="F502" s="2" t="str">
        <f aca="false">IFERROR(INDEX(Query_Source_View!$L:$L,MATCH(ROW()-14,Query_Source_View!$Z:$Z,0)),"")</f>
        <v/>
      </c>
      <c r="G502" s="2" t="str">
        <f aca="false">IFERROR(INDEX(Query_Source_View!$N:$N,MATCH(ROW()-14,Query_Source_View!$Z:$Z,0)),"")</f>
        <v/>
      </c>
      <c r="H502" s="2" t="str">
        <f aca="false">IFERROR(INDEX(Query_Source_View!$P:$P,MATCH(ROW()-14,Query_Source_View!$Z:$Z,0)),"")</f>
        <v/>
      </c>
      <c r="I502" s="2" t="str">
        <f aca="false">IFERROR(INDEX(Query_Source_View!$Q:$Q,MATCH(ROW()-14,Query_Source_View!$Z:$Z,0)),"")</f>
        <v/>
      </c>
      <c r="J502" s="2" t="str">
        <f aca="false">IFERROR(INDEX(Query_Source_View!$R:$R,MATCH(ROW()-14,Query_Source_View!$Z:$Z,0)),"")</f>
        <v/>
      </c>
      <c r="K502" s="2" t="str">
        <f aca="false">IFERROR(INDEX(Query_Source_View!$T:$T,MATCH(ROW()-14,Query_Source_View!$Z:$Z,0)),"")</f>
        <v/>
      </c>
      <c r="L502" s="2" t="str">
        <f aca="false">IFERROR(INDEX(Query_Source_View!$U:$U,MATCH(ROW()-14,Query_Source_View!$Z:$Z,0)),"")</f>
        <v/>
      </c>
      <c r="M502" s="2" t="str">
        <f aca="false">IFERROR(INDEX(Query_Source_View!$V:$V,MATCH(ROW()-14,Query_Source_View!$Z:$Z,0)),"")</f>
        <v/>
      </c>
      <c r="N502" s="2" t="str">
        <f aca="false">IFERROR(INDEX(Query_Source_View!$W:$W,MATCH(ROW()-14,Query_Source_View!$Z:$Z,0)),"")</f>
        <v/>
      </c>
      <c r="O502" s="2" t="str">
        <f aca="false">IFERROR(INDEX(Query_Source_View!$X:$X,MATCH(ROW()-14,Query_Source_View!$Z:$Z,0)),"")</f>
        <v/>
      </c>
    </row>
    <row r="503" customFormat="false" ht="15" hidden="false" customHeight="false" outlineLevel="0" collapsed="false">
      <c r="A503" s="2" t="str">
        <f aca="false">IFERROR(INDEX(Query_Source_View!$A:$A,MATCH(ROW()-14,Query_Source_View!$Z:$Z,0)),"")</f>
        <v/>
      </c>
      <c r="B503" s="2" t="str">
        <f aca="false">IFERROR(INDEX(Query_Source_View!$D:$D,MATCH(ROW()-14,Query_Source_View!$Z:$Z,0)),"")</f>
        <v/>
      </c>
      <c r="C503" s="2" t="str">
        <f aca="false">IFERROR(INDEX(Query_Source_View!$F:$F,MATCH(ROW()-14,Query_Source_View!$Z:$Z,0)),"")</f>
        <v/>
      </c>
      <c r="D503" s="2" t="str">
        <f aca="false">IFERROR(INDEX(Query_Source_View!$H:$H,MATCH(ROW()-14,Query_Source_View!$Z:$Z,0)),"")</f>
        <v/>
      </c>
      <c r="E503" s="2" t="str">
        <f aca="false">IFERROR(INDEX(Query_Source_View!$J:$J,MATCH(ROW()-14,Query_Source_View!$Z:$Z,0)),"")</f>
        <v/>
      </c>
      <c r="F503" s="2" t="str">
        <f aca="false">IFERROR(INDEX(Query_Source_View!$L:$L,MATCH(ROW()-14,Query_Source_View!$Z:$Z,0)),"")</f>
        <v/>
      </c>
      <c r="G503" s="2" t="str">
        <f aca="false">IFERROR(INDEX(Query_Source_View!$N:$N,MATCH(ROW()-14,Query_Source_View!$Z:$Z,0)),"")</f>
        <v/>
      </c>
      <c r="H503" s="2" t="str">
        <f aca="false">IFERROR(INDEX(Query_Source_View!$P:$P,MATCH(ROW()-14,Query_Source_View!$Z:$Z,0)),"")</f>
        <v/>
      </c>
      <c r="I503" s="2" t="str">
        <f aca="false">IFERROR(INDEX(Query_Source_View!$Q:$Q,MATCH(ROW()-14,Query_Source_View!$Z:$Z,0)),"")</f>
        <v/>
      </c>
      <c r="J503" s="2" t="str">
        <f aca="false">IFERROR(INDEX(Query_Source_View!$R:$R,MATCH(ROW()-14,Query_Source_View!$Z:$Z,0)),"")</f>
        <v/>
      </c>
      <c r="K503" s="2" t="str">
        <f aca="false">IFERROR(INDEX(Query_Source_View!$T:$T,MATCH(ROW()-14,Query_Source_View!$Z:$Z,0)),"")</f>
        <v/>
      </c>
      <c r="L503" s="2" t="str">
        <f aca="false">IFERROR(INDEX(Query_Source_View!$U:$U,MATCH(ROW()-14,Query_Source_View!$Z:$Z,0)),"")</f>
        <v/>
      </c>
      <c r="M503" s="2" t="str">
        <f aca="false">IFERROR(INDEX(Query_Source_View!$V:$V,MATCH(ROW()-14,Query_Source_View!$Z:$Z,0)),"")</f>
        <v/>
      </c>
      <c r="N503" s="2" t="str">
        <f aca="false">IFERROR(INDEX(Query_Source_View!$W:$W,MATCH(ROW()-14,Query_Source_View!$Z:$Z,0)),"")</f>
        <v/>
      </c>
      <c r="O503" s="2" t="str">
        <f aca="false">IFERROR(INDEX(Query_Source_View!$X:$X,MATCH(ROW()-14,Query_Source_View!$Z:$Z,0)),"")</f>
        <v/>
      </c>
    </row>
    <row r="504" customFormat="false" ht="15" hidden="false" customHeight="false" outlineLevel="0" collapsed="false">
      <c r="A504" s="2" t="str">
        <f aca="false">IFERROR(INDEX(Query_Source_View!$A:$A,MATCH(ROW()-14,Query_Source_View!$Z:$Z,0)),"")</f>
        <v/>
      </c>
      <c r="B504" s="2" t="str">
        <f aca="false">IFERROR(INDEX(Query_Source_View!$D:$D,MATCH(ROW()-14,Query_Source_View!$Z:$Z,0)),"")</f>
        <v/>
      </c>
      <c r="C504" s="2" t="str">
        <f aca="false">IFERROR(INDEX(Query_Source_View!$F:$F,MATCH(ROW()-14,Query_Source_View!$Z:$Z,0)),"")</f>
        <v/>
      </c>
      <c r="D504" s="2" t="str">
        <f aca="false">IFERROR(INDEX(Query_Source_View!$H:$H,MATCH(ROW()-14,Query_Source_View!$Z:$Z,0)),"")</f>
        <v/>
      </c>
      <c r="E504" s="2" t="str">
        <f aca="false">IFERROR(INDEX(Query_Source_View!$J:$J,MATCH(ROW()-14,Query_Source_View!$Z:$Z,0)),"")</f>
        <v/>
      </c>
      <c r="F504" s="2" t="str">
        <f aca="false">IFERROR(INDEX(Query_Source_View!$L:$L,MATCH(ROW()-14,Query_Source_View!$Z:$Z,0)),"")</f>
        <v/>
      </c>
      <c r="G504" s="2" t="str">
        <f aca="false">IFERROR(INDEX(Query_Source_View!$N:$N,MATCH(ROW()-14,Query_Source_View!$Z:$Z,0)),"")</f>
        <v/>
      </c>
      <c r="H504" s="2" t="str">
        <f aca="false">IFERROR(INDEX(Query_Source_View!$P:$P,MATCH(ROW()-14,Query_Source_View!$Z:$Z,0)),"")</f>
        <v/>
      </c>
      <c r="I504" s="2" t="str">
        <f aca="false">IFERROR(INDEX(Query_Source_View!$Q:$Q,MATCH(ROW()-14,Query_Source_View!$Z:$Z,0)),"")</f>
        <v/>
      </c>
      <c r="J504" s="2" t="str">
        <f aca="false">IFERROR(INDEX(Query_Source_View!$R:$R,MATCH(ROW()-14,Query_Source_View!$Z:$Z,0)),"")</f>
        <v/>
      </c>
      <c r="K504" s="2" t="str">
        <f aca="false">IFERROR(INDEX(Query_Source_View!$T:$T,MATCH(ROW()-14,Query_Source_View!$Z:$Z,0)),"")</f>
        <v/>
      </c>
      <c r="L504" s="2" t="str">
        <f aca="false">IFERROR(INDEX(Query_Source_View!$U:$U,MATCH(ROW()-14,Query_Source_View!$Z:$Z,0)),"")</f>
        <v/>
      </c>
      <c r="M504" s="2" t="str">
        <f aca="false">IFERROR(INDEX(Query_Source_View!$V:$V,MATCH(ROW()-14,Query_Source_View!$Z:$Z,0)),"")</f>
        <v/>
      </c>
      <c r="N504" s="2" t="str">
        <f aca="false">IFERROR(INDEX(Query_Source_View!$W:$W,MATCH(ROW()-14,Query_Source_View!$Z:$Z,0)),"")</f>
        <v/>
      </c>
      <c r="O504" s="2" t="str">
        <f aca="false">IFERROR(INDEX(Query_Source_View!$X:$X,MATCH(ROW()-14,Query_Source_View!$Z:$Z,0)),"")</f>
        <v/>
      </c>
    </row>
    <row r="505" customFormat="false" ht="15" hidden="false" customHeight="false" outlineLevel="0" collapsed="false">
      <c r="A505" s="2" t="str">
        <f aca="false">IFERROR(INDEX(Query_Source_View!$A:$A,MATCH(ROW()-14,Query_Source_View!$Z:$Z,0)),"")</f>
        <v/>
      </c>
      <c r="B505" s="2" t="str">
        <f aca="false">IFERROR(INDEX(Query_Source_View!$D:$D,MATCH(ROW()-14,Query_Source_View!$Z:$Z,0)),"")</f>
        <v/>
      </c>
      <c r="C505" s="2" t="str">
        <f aca="false">IFERROR(INDEX(Query_Source_View!$F:$F,MATCH(ROW()-14,Query_Source_View!$Z:$Z,0)),"")</f>
        <v/>
      </c>
      <c r="D505" s="2" t="str">
        <f aca="false">IFERROR(INDEX(Query_Source_View!$H:$H,MATCH(ROW()-14,Query_Source_View!$Z:$Z,0)),"")</f>
        <v/>
      </c>
      <c r="E505" s="2" t="str">
        <f aca="false">IFERROR(INDEX(Query_Source_View!$J:$J,MATCH(ROW()-14,Query_Source_View!$Z:$Z,0)),"")</f>
        <v/>
      </c>
      <c r="F505" s="2" t="str">
        <f aca="false">IFERROR(INDEX(Query_Source_View!$L:$L,MATCH(ROW()-14,Query_Source_View!$Z:$Z,0)),"")</f>
        <v/>
      </c>
      <c r="G505" s="2" t="str">
        <f aca="false">IFERROR(INDEX(Query_Source_View!$N:$N,MATCH(ROW()-14,Query_Source_View!$Z:$Z,0)),"")</f>
        <v/>
      </c>
      <c r="H505" s="2" t="str">
        <f aca="false">IFERROR(INDEX(Query_Source_View!$P:$P,MATCH(ROW()-14,Query_Source_View!$Z:$Z,0)),"")</f>
        <v/>
      </c>
      <c r="I505" s="2" t="str">
        <f aca="false">IFERROR(INDEX(Query_Source_View!$Q:$Q,MATCH(ROW()-14,Query_Source_View!$Z:$Z,0)),"")</f>
        <v/>
      </c>
      <c r="J505" s="2" t="str">
        <f aca="false">IFERROR(INDEX(Query_Source_View!$R:$R,MATCH(ROW()-14,Query_Source_View!$Z:$Z,0)),"")</f>
        <v/>
      </c>
      <c r="K505" s="2" t="str">
        <f aca="false">IFERROR(INDEX(Query_Source_View!$T:$T,MATCH(ROW()-14,Query_Source_View!$Z:$Z,0)),"")</f>
        <v/>
      </c>
      <c r="L505" s="2" t="str">
        <f aca="false">IFERROR(INDEX(Query_Source_View!$U:$U,MATCH(ROW()-14,Query_Source_View!$Z:$Z,0)),"")</f>
        <v/>
      </c>
      <c r="M505" s="2" t="str">
        <f aca="false">IFERROR(INDEX(Query_Source_View!$V:$V,MATCH(ROW()-14,Query_Source_View!$Z:$Z,0)),"")</f>
        <v/>
      </c>
      <c r="N505" s="2" t="str">
        <f aca="false">IFERROR(INDEX(Query_Source_View!$W:$W,MATCH(ROW()-14,Query_Source_View!$Z:$Z,0)),"")</f>
        <v/>
      </c>
      <c r="O505" s="2" t="str">
        <f aca="false">IFERROR(INDEX(Query_Source_View!$X:$X,MATCH(ROW()-14,Query_Source_View!$Z:$Z,0)),"")</f>
        <v/>
      </c>
    </row>
    <row r="506" customFormat="false" ht="15" hidden="false" customHeight="false" outlineLevel="0" collapsed="false">
      <c r="A506" s="2" t="str">
        <f aca="false">IFERROR(INDEX(Query_Source_View!$A:$A,MATCH(ROW()-14,Query_Source_View!$Z:$Z,0)),"")</f>
        <v/>
      </c>
      <c r="B506" s="2" t="str">
        <f aca="false">IFERROR(INDEX(Query_Source_View!$D:$D,MATCH(ROW()-14,Query_Source_View!$Z:$Z,0)),"")</f>
        <v/>
      </c>
      <c r="C506" s="2" t="str">
        <f aca="false">IFERROR(INDEX(Query_Source_View!$F:$F,MATCH(ROW()-14,Query_Source_View!$Z:$Z,0)),"")</f>
        <v/>
      </c>
      <c r="D506" s="2" t="str">
        <f aca="false">IFERROR(INDEX(Query_Source_View!$H:$H,MATCH(ROW()-14,Query_Source_View!$Z:$Z,0)),"")</f>
        <v/>
      </c>
      <c r="E506" s="2" t="str">
        <f aca="false">IFERROR(INDEX(Query_Source_View!$J:$J,MATCH(ROW()-14,Query_Source_View!$Z:$Z,0)),"")</f>
        <v/>
      </c>
      <c r="F506" s="2" t="str">
        <f aca="false">IFERROR(INDEX(Query_Source_View!$L:$L,MATCH(ROW()-14,Query_Source_View!$Z:$Z,0)),"")</f>
        <v/>
      </c>
      <c r="G506" s="2" t="str">
        <f aca="false">IFERROR(INDEX(Query_Source_View!$N:$N,MATCH(ROW()-14,Query_Source_View!$Z:$Z,0)),"")</f>
        <v/>
      </c>
      <c r="H506" s="2" t="str">
        <f aca="false">IFERROR(INDEX(Query_Source_View!$P:$P,MATCH(ROW()-14,Query_Source_View!$Z:$Z,0)),"")</f>
        <v/>
      </c>
      <c r="I506" s="2" t="str">
        <f aca="false">IFERROR(INDEX(Query_Source_View!$Q:$Q,MATCH(ROW()-14,Query_Source_View!$Z:$Z,0)),"")</f>
        <v/>
      </c>
      <c r="J506" s="2" t="str">
        <f aca="false">IFERROR(INDEX(Query_Source_View!$R:$R,MATCH(ROW()-14,Query_Source_View!$Z:$Z,0)),"")</f>
        <v/>
      </c>
      <c r="K506" s="2" t="str">
        <f aca="false">IFERROR(INDEX(Query_Source_View!$T:$T,MATCH(ROW()-14,Query_Source_View!$Z:$Z,0)),"")</f>
        <v/>
      </c>
      <c r="L506" s="2" t="str">
        <f aca="false">IFERROR(INDEX(Query_Source_View!$U:$U,MATCH(ROW()-14,Query_Source_View!$Z:$Z,0)),"")</f>
        <v/>
      </c>
      <c r="M506" s="2" t="str">
        <f aca="false">IFERROR(INDEX(Query_Source_View!$V:$V,MATCH(ROW()-14,Query_Source_View!$Z:$Z,0)),"")</f>
        <v/>
      </c>
      <c r="N506" s="2" t="str">
        <f aca="false">IFERROR(INDEX(Query_Source_View!$W:$W,MATCH(ROW()-14,Query_Source_View!$Z:$Z,0)),"")</f>
        <v/>
      </c>
      <c r="O506" s="2" t="str">
        <f aca="false">IFERROR(INDEX(Query_Source_View!$X:$X,MATCH(ROW()-14,Query_Source_View!$Z:$Z,0)),"")</f>
        <v/>
      </c>
    </row>
    <row r="507" customFormat="false" ht="15" hidden="false" customHeight="false" outlineLevel="0" collapsed="false">
      <c r="A507" s="2" t="str">
        <f aca="false">IFERROR(INDEX(Query_Source_View!$A:$A,MATCH(ROW()-14,Query_Source_View!$Z:$Z,0)),"")</f>
        <v/>
      </c>
      <c r="B507" s="2" t="str">
        <f aca="false">IFERROR(INDEX(Query_Source_View!$D:$D,MATCH(ROW()-14,Query_Source_View!$Z:$Z,0)),"")</f>
        <v/>
      </c>
      <c r="C507" s="2" t="str">
        <f aca="false">IFERROR(INDEX(Query_Source_View!$F:$F,MATCH(ROW()-14,Query_Source_View!$Z:$Z,0)),"")</f>
        <v/>
      </c>
      <c r="D507" s="2" t="str">
        <f aca="false">IFERROR(INDEX(Query_Source_View!$H:$H,MATCH(ROW()-14,Query_Source_View!$Z:$Z,0)),"")</f>
        <v/>
      </c>
      <c r="E507" s="2" t="str">
        <f aca="false">IFERROR(INDEX(Query_Source_View!$J:$J,MATCH(ROW()-14,Query_Source_View!$Z:$Z,0)),"")</f>
        <v/>
      </c>
      <c r="F507" s="2" t="str">
        <f aca="false">IFERROR(INDEX(Query_Source_View!$L:$L,MATCH(ROW()-14,Query_Source_View!$Z:$Z,0)),"")</f>
        <v/>
      </c>
      <c r="G507" s="2" t="str">
        <f aca="false">IFERROR(INDEX(Query_Source_View!$N:$N,MATCH(ROW()-14,Query_Source_View!$Z:$Z,0)),"")</f>
        <v/>
      </c>
      <c r="H507" s="2" t="str">
        <f aca="false">IFERROR(INDEX(Query_Source_View!$P:$P,MATCH(ROW()-14,Query_Source_View!$Z:$Z,0)),"")</f>
        <v/>
      </c>
      <c r="I507" s="2" t="str">
        <f aca="false">IFERROR(INDEX(Query_Source_View!$Q:$Q,MATCH(ROW()-14,Query_Source_View!$Z:$Z,0)),"")</f>
        <v/>
      </c>
      <c r="J507" s="2" t="str">
        <f aca="false">IFERROR(INDEX(Query_Source_View!$R:$R,MATCH(ROW()-14,Query_Source_View!$Z:$Z,0)),"")</f>
        <v/>
      </c>
      <c r="K507" s="2" t="str">
        <f aca="false">IFERROR(INDEX(Query_Source_View!$T:$T,MATCH(ROW()-14,Query_Source_View!$Z:$Z,0)),"")</f>
        <v/>
      </c>
      <c r="L507" s="2" t="str">
        <f aca="false">IFERROR(INDEX(Query_Source_View!$U:$U,MATCH(ROW()-14,Query_Source_View!$Z:$Z,0)),"")</f>
        <v/>
      </c>
      <c r="M507" s="2" t="str">
        <f aca="false">IFERROR(INDEX(Query_Source_View!$V:$V,MATCH(ROW()-14,Query_Source_View!$Z:$Z,0)),"")</f>
        <v/>
      </c>
      <c r="N507" s="2" t="str">
        <f aca="false">IFERROR(INDEX(Query_Source_View!$W:$W,MATCH(ROW()-14,Query_Source_View!$Z:$Z,0)),"")</f>
        <v/>
      </c>
      <c r="O507" s="2" t="str">
        <f aca="false">IFERROR(INDEX(Query_Source_View!$X:$X,MATCH(ROW()-14,Query_Source_View!$Z:$Z,0)),"")</f>
        <v/>
      </c>
    </row>
    <row r="508" customFormat="false" ht="15" hidden="false" customHeight="false" outlineLevel="0" collapsed="false">
      <c r="A508" s="2" t="str">
        <f aca="false">IFERROR(INDEX(Query_Source_View!$A:$A,MATCH(ROW()-14,Query_Source_View!$Z:$Z,0)),"")</f>
        <v/>
      </c>
      <c r="B508" s="2" t="str">
        <f aca="false">IFERROR(INDEX(Query_Source_View!$D:$D,MATCH(ROW()-14,Query_Source_View!$Z:$Z,0)),"")</f>
        <v/>
      </c>
      <c r="C508" s="2" t="str">
        <f aca="false">IFERROR(INDEX(Query_Source_View!$F:$F,MATCH(ROW()-14,Query_Source_View!$Z:$Z,0)),"")</f>
        <v/>
      </c>
      <c r="D508" s="2" t="str">
        <f aca="false">IFERROR(INDEX(Query_Source_View!$H:$H,MATCH(ROW()-14,Query_Source_View!$Z:$Z,0)),"")</f>
        <v/>
      </c>
      <c r="E508" s="2" t="str">
        <f aca="false">IFERROR(INDEX(Query_Source_View!$J:$J,MATCH(ROW()-14,Query_Source_View!$Z:$Z,0)),"")</f>
        <v/>
      </c>
      <c r="F508" s="2" t="str">
        <f aca="false">IFERROR(INDEX(Query_Source_View!$L:$L,MATCH(ROW()-14,Query_Source_View!$Z:$Z,0)),"")</f>
        <v/>
      </c>
      <c r="G508" s="2" t="str">
        <f aca="false">IFERROR(INDEX(Query_Source_View!$N:$N,MATCH(ROW()-14,Query_Source_View!$Z:$Z,0)),"")</f>
        <v/>
      </c>
      <c r="H508" s="2" t="str">
        <f aca="false">IFERROR(INDEX(Query_Source_View!$P:$P,MATCH(ROW()-14,Query_Source_View!$Z:$Z,0)),"")</f>
        <v/>
      </c>
      <c r="I508" s="2" t="str">
        <f aca="false">IFERROR(INDEX(Query_Source_View!$Q:$Q,MATCH(ROW()-14,Query_Source_View!$Z:$Z,0)),"")</f>
        <v/>
      </c>
      <c r="J508" s="2" t="str">
        <f aca="false">IFERROR(INDEX(Query_Source_View!$R:$R,MATCH(ROW()-14,Query_Source_View!$Z:$Z,0)),"")</f>
        <v/>
      </c>
      <c r="K508" s="2" t="str">
        <f aca="false">IFERROR(INDEX(Query_Source_View!$T:$T,MATCH(ROW()-14,Query_Source_View!$Z:$Z,0)),"")</f>
        <v/>
      </c>
      <c r="L508" s="2" t="str">
        <f aca="false">IFERROR(INDEX(Query_Source_View!$U:$U,MATCH(ROW()-14,Query_Source_View!$Z:$Z,0)),"")</f>
        <v/>
      </c>
      <c r="M508" s="2" t="str">
        <f aca="false">IFERROR(INDEX(Query_Source_View!$V:$V,MATCH(ROW()-14,Query_Source_View!$Z:$Z,0)),"")</f>
        <v/>
      </c>
      <c r="N508" s="2" t="str">
        <f aca="false">IFERROR(INDEX(Query_Source_View!$W:$W,MATCH(ROW()-14,Query_Source_View!$Z:$Z,0)),"")</f>
        <v/>
      </c>
      <c r="O508" s="2" t="str">
        <f aca="false">IFERROR(INDEX(Query_Source_View!$X:$X,MATCH(ROW()-14,Query_Source_View!$Z:$Z,0)),"")</f>
        <v/>
      </c>
    </row>
    <row r="509" customFormat="false" ht="15" hidden="false" customHeight="false" outlineLevel="0" collapsed="false">
      <c r="A509" s="2" t="str">
        <f aca="false">IFERROR(INDEX(Query_Source_View!$A:$A,MATCH(ROW()-14,Query_Source_View!$Z:$Z,0)),"")</f>
        <v/>
      </c>
      <c r="B509" s="2" t="str">
        <f aca="false">IFERROR(INDEX(Query_Source_View!$D:$D,MATCH(ROW()-14,Query_Source_View!$Z:$Z,0)),"")</f>
        <v/>
      </c>
      <c r="C509" s="2" t="str">
        <f aca="false">IFERROR(INDEX(Query_Source_View!$F:$F,MATCH(ROW()-14,Query_Source_View!$Z:$Z,0)),"")</f>
        <v/>
      </c>
      <c r="D509" s="2" t="str">
        <f aca="false">IFERROR(INDEX(Query_Source_View!$H:$H,MATCH(ROW()-14,Query_Source_View!$Z:$Z,0)),"")</f>
        <v/>
      </c>
      <c r="E509" s="2" t="str">
        <f aca="false">IFERROR(INDEX(Query_Source_View!$J:$J,MATCH(ROW()-14,Query_Source_View!$Z:$Z,0)),"")</f>
        <v/>
      </c>
      <c r="F509" s="2" t="str">
        <f aca="false">IFERROR(INDEX(Query_Source_View!$L:$L,MATCH(ROW()-14,Query_Source_View!$Z:$Z,0)),"")</f>
        <v/>
      </c>
      <c r="G509" s="2" t="str">
        <f aca="false">IFERROR(INDEX(Query_Source_View!$N:$N,MATCH(ROW()-14,Query_Source_View!$Z:$Z,0)),"")</f>
        <v/>
      </c>
      <c r="H509" s="2" t="str">
        <f aca="false">IFERROR(INDEX(Query_Source_View!$P:$P,MATCH(ROW()-14,Query_Source_View!$Z:$Z,0)),"")</f>
        <v/>
      </c>
      <c r="I509" s="2" t="str">
        <f aca="false">IFERROR(INDEX(Query_Source_View!$Q:$Q,MATCH(ROW()-14,Query_Source_View!$Z:$Z,0)),"")</f>
        <v/>
      </c>
      <c r="J509" s="2" t="str">
        <f aca="false">IFERROR(INDEX(Query_Source_View!$R:$R,MATCH(ROW()-14,Query_Source_View!$Z:$Z,0)),"")</f>
        <v/>
      </c>
      <c r="K509" s="2" t="str">
        <f aca="false">IFERROR(INDEX(Query_Source_View!$T:$T,MATCH(ROW()-14,Query_Source_View!$Z:$Z,0)),"")</f>
        <v/>
      </c>
      <c r="L509" s="2" t="str">
        <f aca="false">IFERROR(INDEX(Query_Source_View!$U:$U,MATCH(ROW()-14,Query_Source_View!$Z:$Z,0)),"")</f>
        <v/>
      </c>
      <c r="M509" s="2" t="str">
        <f aca="false">IFERROR(INDEX(Query_Source_View!$V:$V,MATCH(ROW()-14,Query_Source_View!$Z:$Z,0)),"")</f>
        <v/>
      </c>
      <c r="N509" s="2" t="str">
        <f aca="false">IFERROR(INDEX(Query_Source_View!$W:$W,MATCH(ROW()-14,Query_Source_View!$Z:$Z,0)),"")</f>
        <v/>
      </c>
      <c r="O509" s="2" t="str">
        <f aca="false">IFERROR(INDEX(Query_Source_View!$X:$X,MATCH(ROW()-14,Query_Source_View!$Z:$Z,0)),"")</f>
        <v/>
      </c>
    </row>
    <row r="510" customFormat="false" ht="15" hidden="false" customHeight="false" outlineLevel="0" collapsed="false">
      <c r="A510" s="2" t="str">
        <f aca="false">IFERROR(INDEX(Query_Source_View!$A:$A,MATCH(ROW()-14,Query_Source_View!$Z:$Z,0)),"")</f>
        <v/>
      </c>
      <c r="B510" s="2" t="str">
        <f aca="false">IFERROR(INDEX(Query_Source_View!$D:$D,MATCH(ROW()-14,Query_Source_View!$Z:$Z,0)),"")</f>
        <v/>
      </c>
      <c r="C510" s="2" t="str">
        <f aca="false">IFERROR(INDEX(Query_Source_View!$F:$F,MATCH(ROW()-14,Query_Source_View!$Z:$Z,0)),"")</f>
        <v/>
      </c>
      <c r="D510" s="2" t="str">
        <f aca="false">IFERROR(INDEX(Query_Source_View!$H:$H,MATCH(ROW()-14,Query_Source_View!$Z:$Z,0)),"")</f>
        <v/>
      </c>
      <c r="E510" s="2" t="str">
        <f aca="false">IFERROR(INDEX(Query_Source_View!$J:$J,MATCH(ROW()-14,Query_Source_View!$Z:$Z,0)),"")</f>
        <v/>
      </c>
      <c r="F510" s="2" t="str">
        <f aca="false">IFERROR(INDEX(Query_Source_View!$L:$L,MATCH(ROW()-14,Query_Source_View!$Z:$Z,0)),"")</f>
        <v/>
      </c>
      <c r="G510" s="2" t="str">
        <f aca="false">IFERROR(INDEX(Query_Source_View!$N:$N,MATCH(ROW()-14,Query_Source_View!$Z:$Z,0)),"")</f>
        <v/>
      </c>
      <c r="H510" s="2" t="str">
        <f aca="false">IFERROR(INDEX(Query_Source_View!$P:$P,MATCH(ROW()-14,Query_Source_View!$Z:$Z,0)),"")</f>
        <v/>
      </c>
      <c r="I510" s="2" t="str">
        <f aca="false">IFERROR(INDEX(Query_Source_View!$Q:$Q,MATCH(ROW()-14,Query_Source_View!$Z:$Z,0)),"")</f>
        <v/>
      </c>
      <c r="J510" s="2" t="str">
        <f aca="false">IFERROR(INDEX(Query_Source_View!$R:$R,MATCH(ROW()-14,Query_Source_View!$Z:$Z,0)),"")</f>
        <v/>
      </c>
      <c r="K510" s="2" t="str">
        <f aca="false">IFERROR(INDEX(Query_Source_View!$T:$T,MATCH(ROW()-14,Query_Source_View!$Z:$Z,0)),"")</f>
        <v/>
      </c>
      <c r="L510" s="2" t="str">
        <f aca="false">IFERROR(INDEX(Query_Source_View!$U:$U,MATCH(ROW()-14,Query_Source_View!$Z:$Z,0)),"")</f>
        <v/>
      </c>
      <c r="M510" s="2" t="str">
        <f aca="false">IFERROR(INDEX(Query_Source_View!$V:$V,MATCH(ROW()-14,Query_Source_View!$Z:$Z,0)),"")</f>
        <v/>
      </c>
      <c r="N510" s="2" t="str">
        <f aca="false">IFERROR(INDEX(Query_Source_View!$W:$W,MATCH(ROW()-14,Query_Source_View!$Z:$Z,0)),"")</f>
        <v/>
      </c>
      <c r="O510" s="2" t="str">
        <f aca="false">IFERROR(INDEX(Query_Source_View!$X:$X,MATCH(ROW()-14,Query_Source_View!$Z:$Z,0)),"")</f>
        <v/>
      </c>
    </row>
    <row r="511" customFormat="false" ht="15" hidden="false" customHeight="false" outlineLevel="0" collapsed="false">
      <c r="A511" s="2" t="str">
        <f aca="false">IFERROR(INDEX(Query_Source_View!$A:$A,MATCH(ROW()-14,Query_Source_View!$Z:$Z,0)),"")</f>
        <v/>
      </c>
      <c r="B511" s="2" t="str">
        <f aca="false">IFERROR(INDEX(Query_Source_View!$D:$D,MATCH(ROW()-14,Query_Source_View!$Z:$Z,0)),"")</f>
        <v/>
      </c>
      <c r="C511" s="2" t="str">
        <f aca="false">IFERROR(INDEX(Query_Source_View!$F:$F,MATCH(ROW()-14,Query_Source_View!$Z:$Z,0)),"")</f>
        <v/>
      </c>
      <c r="D511" s="2" t="str">
        <f aca="false">IFERROR(INDEX(Query_Source_View!$H:$H,MATCH(ROW()-14,Query_Source_View!$Z:$Z,0)),"")</f>
        <v/>
      </c>
      <c r="E511" s="2" t="str">
        <f aca="false">IFERROR(INDEX(Query_Source_View!$J:$J,MATCH(ROW()-14,Query_Source_View!$Z:$Z,0)),"")</f>
        <v/>
      </c>
      <c r="F511" s="2" t="str">
        <f aca="false">IFERROR(INDEX(Query_Source_View!$L:$L,MATCH(ROW()-14,Query_Source_View!$Z:$Z,0)),"")</f>
        <v/>
      </c>
      <c r="G511" s="2" t="str">
        <f aca="false">IFERROR(INDEX(Query_Source_View!$N:$N,MATCH(ROW()-14,Query_Source_View!$Z:$Z,0)),"")</f>
        <v/>
      </c>
      <c r="H511" s="2" t="str">
        <f aca="false">IFERROR(INDEX(Query_Source_View!$P:$P,MATCH(ROW()-14,Query_Source_View!$Z:$Z,0)),"")</f>
        <v/>
      </c>
      <c r="I511" s="2" t="str">
        <f aca="false">IFERROR(INDEX(Query_Source_View!$Q:$Q,MATCH(ROW()-14,Query_Source_View!$Z:$Z,0)),"")</f>
        <v/>
      </c>
      <c r="J511" s="2" t="str">
        <f aca="false">IFERROR(INDEX(Query_Source_View!$R:$R,MATCH(ROW()-14,Query_Source_View!$Z:$Z,0)),"")</f>
        <v/>
      </c>
      <c r="K511" s="2" t="str">
        <f aca="false">IFERROR(INDEX(Query_Source_View!$T:$T,MATCH(ROW()-14,Query_Source_View!$Z:$Z,0)),"")</f>
        <v/>
      </c>
      <c r="L511" s="2" t="str">
        <f aca="false">IFERROR(INDEX(Query_Source_View!$U:$U,MATCH(ROW()-14,Query_Source_View!$Z:$Z,0)),"")</f>
        <v/>
      </c>
      <c r="M511" s="2" t="str">
        <f aca="false">IFERROR(INDEX(Query_Source_View!$V:$V,MATCH(ROW()-14,Query_Source_View!$Z:$Z,0)),"")</f>
        <v/>
      </c>
      <c r="N511" s="2" t="str">
        <f aca="false">IFERROR(INDEX(Query_Source_View!$W:$W,MATCH(ROW()-14,Query_Source_View!$Z:$Z,0)),"")</f>
        <v/>
      </c>
      <c r="O511" s="2" t="str">
        <f aca="false">IFERROR(INDEX(Query_Source_View!$X:$X,MATCH(ROW()-14,Query_Source_View!$Z:$Z,0)),"")</f>
        <v/>
      </c>
    </row>
    <row r="512" customFormat="false" ht="15" hidden="false" customHeight="false" outlineLevel="0" collapsed="false">
      <c r="A512" s="2" t="str">
        <f aca="false">IFERROR(INDEX(Query_Source_View!$A:$A,MATCH(ROW()-14,Query_Source_View!$Z:$Z,0)),"")</f>
        <v/>
      </c>
      <c r="B512" s="2" t="str">
        <f aca="false">IFERROR(INDEX(Query_Source_View!$D:$D,MATCH(ROW()-14,Query_Source_View!$Z:$Z,0)),"")</f>
        <v/>
      </c>
      <c r="C512" s="2" t="str">
        <f aca="false">IFERROR(INDEX(Query_Source_View!$F:$F,MATCH(ROW()-14,Query_Source_View!$Z:$Z,0)),"")</f>
        <v/>
      </c>
      <c r="D512" s="2" t="str">
        <f aca="false">IFERROR(INDEX(Query_Source_View!$H:$H,MATCH(ROW()-14,Query_Source_View!$Z:$Z,0)),"")</f>
        <v/>
      </c>
      <c r="E512" s="2" t="str">
        <f aca="false">IFERROR(INDEX(Query_Source_View!$J:$J,MATCH(ROW()-14,Query_Source_View!$Z:$Z,0)),"")</f>
        <v/>
      </c>
      <c r="F512" s="2" t="str">
        <f aca="false">IFERROR(INDEX(Query_Source_View!$L:$L,MATCH(ROW()-14,Query_Source_View!$Z:$Z,0)),"")</f>
        <v/>
      </c>
      <c r="G512" s="2" t="str">
        <f aca="false">IFERROR(INDEX(Query_Source_View!$N:$N,MATCH(ROW()-14,Query_Source_View!$Z:$Z,0)),"")</f>
        <v/>
      </c>
      <c r="H512" s="2" t="str">
        <f aca="false">IFERROR(INDEX(Query_Source_View!$P:$P,MATCH(ROW()-14,Query_Source_View!$Z:$Z,0)),"")</f>
        <v/>
      </c>
      <c r="I512" s="2" t="str">
        <f aca="false">IFERROR(INDEX(Query_Source_View!$Q:$Q,MATCH(ROW()-14,Query_Source_View!$Z:$Z,0)),"")</f>
        <v/>
      </c>
      <c r="J512" s="2" t="str">
        <f aca="false">IFERROR(INDEX(Query_Source_View!$R:$R,MATCH(ROW()-14,Query_Source_View!$Z:$Z,0)),"")</f>
        <v/>
      </c>
      <c r="K512" s="2" t="str">
        <f aca="false">IFERROR(INDEX(Query_Source_View!$T:$T,MATCH(ROW()-14,Query_Source_View!$Z:$Z,0)),"")</f>
        <v/>
      </c>
      <c r="L512" s="2" t="str">
        <f aca="false">IFERROR(INDEX(Query_Source_View!$U:$U,MATCH(ROW()-14,Query_Source_View!$Z:$Z,0)),"")</f>
        <v/>
      </c>
      <c r="M512" s="2" t="str">
        <f aca="false">IFERROR(INDEX(Query_Source_View!$V:$V,MATCH(ROW()-14,Query_Source_View!$Z:$Z,0)),"")</f>
        <v/>
      </c>
      <c r="N512" s="2" t="str">
        <f aca="false">IFERROR(INDEX(Query_Source_View!$W:$W,MATCH(ROW()-14,Query_Source_View!$Z:$Z,0)),"")</f>
        <v/>
      </c>
      <c r="O512" s="2" t="str">
        <f aca="false">IFERROR(INDEX(Query_Source_View!$X:$X,MATCH(ROW()-14,Query_Source_View!$Z:$Z,0)),"")</f>
        <v/>
      </c>
    </row>
    <row r="513" customFormat="false" ht="15" hidden="false" customHeight="false" outlineLevel="0" collapsed="false">
      <c r="A513" s="2" t="str">
        <f aca="false">IFERROR(INDEX(Query_Source_View!$A:$A,MATCH(ROW()-14,Query_Source_View!$Z:$Z,0)),"")</f>
        <v/>
      </c>
      <c r="B513" s="2" t="str">
        <f aca="false">IFERROR(INDEX(Query_Source_View!$D:$D,MATCH(ROW()-14,Query_Source_View!$Z:$Z,0)),"")</f>
        <v/>
      </c>
      <c r="C513" s="2" t="str">
        <f aca="false">IFERROR(INDEX(Query_Source_View!$F:$F,MATCH(ROW()-14,Query_Source_View!$Z:$Z,0)),"")</f>
        <v/>
      </c>
      <c r="D513" s="2" t="str">
        <f aca="false">IFERROR(INDEX(Query_Source_View!$H:$H,MATCH(ROW()-14,Query_Source_View!$Z:$Z,0)),"")</f>
        <v/>
      </c>
      <c r="E513" s="2" t="str">
        <f aca="false">IFERROR(INDEX(Query_Source_View!$J:$J,MATCH(ROW()-14,Query_Source_View!$Z:$Z,0)),"")</f>
        <v/>
      </c>
      <c r="F513" s="2" t="str">
        <f aca="false">IFERROR(INDEX(Query_Source_View!$L:$L,MATCH(ROW()-14,Query_Source_View!$Z:$Z,0)),"")</f>
        <v/>
      </c>
      <c r="G513" s="2" t="str">
        <f aca="false">IFERROR(INDEX(Query_Source_View!$N:$N,MATCH(ROW()-14,Query_Source_View!$Z:$Z,0)),"")</f>
        <v/>
      </c>
      <c r="H513" s="2" t="str">
        <f aca="false">IFERROR(INDEX(Query_Source_View!$P:$P,MATCH(ROW()-14,Query_Source_View!$Z:$Z,0)),"")</f>
        <v/>
      </c>
      <c r="I513" s="2" t="str">
        <f aca="false">IFERROR(INDEX(Query_Source_View!$Q:$Q,MATCH(ROW()-14,Query_Source_View!$Z:$Z,0)),"")</f>
        <v/>
      </c>
      <c r="J513" s="2" t="str">
        <f aca="false">IFERROR(INDEX(Query_Source_View!$R:$R,MATCH(ROW()-14,Query_Source_View!$Z:$Z,0)),"")</f>
        <v/>
      </c>
      <c r="K513" s="2" t="str">
        <f aca="false">IFERROR(INDEX(Query_Source_View!$T:$T,MATCH(ROW()-14,Query_Source_View!$Z:$Z,0)),"")</f>
        <v/>
      </c>
      <c r="L513" s="2" t="str">
        <f aca="false">IFERROR(INDEX(Query_Source_View!$U:$U,MATCH(ROW()-14,Query_Source_View!$Z:$Z,0)),"")</f>
        <v/>
      </c>
      <c r="M513" s="2" t="str">
        <f aca="false">IFERROR(INDEX(Query_Source_View!$V:$V,MATCH(ROW()-14,Query_Source_View!$Z:$Z,0)),"")</f>
        <v/>
      </c>
      <c r="N513" s="2" t="str">
        <f aca="false">IFERROR(INDEX(Query_Source_View!$W:$W,MATCH(ROW()-14,Query_Source_View!$Z:$Z,0)),"")</f>
        <v/>
      </c>
      <c r="O513" s="2" t="str">
        <f aca="false">IFERROR(INDEX(Query_Source_View!$X:$X,MATCH(ROW()-14,Query_Source_View!$Z:$Z,0)),"")</f>
        <v/>
      </c>
    </row>
    <row r="514" customFormat="false" ht="15" hidden="false" customHeight="false" outlineLevel="0" collapsed="false">
      <c r="A514" s="2" t="str">
        <f aca="false">IFERROR(INDEX(Query_Source_View!$A:$A,MATCH(ROW()-14,Query_Source_View!$Z:$Z,0)),"")</f>
        <v/>
      </c>
      <c r="B514" s="2" t="str">
        <f aca="false">IFERROR(INDEX(Query_Source_View!$D:$D,MATCH(ROW()-14,Query_Source_View!$Z:$Z,0)),"")</f>
        <v/>
      </c>
      <c r="C514" s="2" t="str">
        <f aca="false">IFERROR(INDEX(Query_Source_View!$F:$F,MATCH(ROW()-14,Query_Source_View!$Z:$Z,0)),"")</f>
        <v/>
      </c>
      <c r="D514" s="2" t="str">
        <f aca="false">IFERROR(INDEX(Query_Source_View!$H:$H,MATCH(ROW()-14,Query_Source_View!$Z:$Z,0)),"")</f>
        <v/>
      </c>
      <c r="E514" s="2" t="str">
        <f aca="false">IFERROR(INDEX(Query_Source_View!$J:$J,MATCH(ROW()-14,Query_Source_View!$Z:$Z,0)),"")</f>
        <v/>
      </c>
      <c r="F514" s="2" t="str">
        <f aca="false">IFERROR(INDEX(Query_Source_View!$L:$L,MATCH(ROW()-14,Query_Source_View!$Z:$Z,0)),"")</f>
        <v/>
      </c>
      <c r="G514" s="2" t="str">
        <f aca="false">IFERROR(INDEX(Query_Source_View!$N:$N,MATCH(ROW()-14,Query_Source_View!$Z:$Z,0)),"")</f>
        <v/>
      </c>
      <c r="H514" s="2" t="str">
        <f aca="false">IFERROR(INDEX(Query_Source_View!$P:$P,MATCH(ROW()-14,Query_Source_View!$Z:$Z,0)),"")</f>
        <v/>
      </c>
      <c r="I514" s="2" t="str">
        <f aca="false">IFERROR(INDEX(Query_Source_View!$Q:$Q,MATCH(ROW()-14,Query_Source_View!$Z:$Z,0)),"")</f>
        <v/>
      </c>
      <c r="J514" s="2" t="str">
        <f aca="false">IFERROR(INDEX(Query_Source_View!$R:$R,MATCH(ROW()-14,Query_Source_View!$Z:$Z,0)),"")</f>
        <v/>
      </c>
      <c r="K514" s="2" t="str">
        <f aca="false">IFERROR(INDEX(Query_Source_View!$T:$T,MATCH(ROW()-14,Query_Source_View!$Z:$Z,0)),"")</f>
        <v/>
      </c>
      <c r="L514" s="2" t="str">
        <f aca="false">IFERROR(INDEX(Query_Source_View!$U:$U,MATCH(ROW()-14,Query_Source_View!$Z:$Z,0)),"")</f>
        <v/>
      </c>
      <c r="M514" s="2" t="str">
        <f aca="false">IFERROR(INDEX(Query_Source_View!$V:$V,MATCH(ROW()-14,Query_Source_View!$Z:$Z,0)),"")</f>
        <v/>
      </c>
      <c r="N514" s="2" t="str">
        <f aca="false">IFERROR(INDEX(Query_Source_View!$W:$W,MATCH(ROW()-14,Query_Source_View!$Z:$Z,0)),"")</f>
        <v/>
      </c>
      <c r="O514" s="2" t="str">
        <f aca="false">IFERROR(INDEX(Query_Source_View!$X:$X,MATCH(ROW()-14,Query_Source_View!$Z:$Z,0)),"")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24"/>
  </cols>
  <sheetData>
    <row r="1" customFormat="false" ht="15" hidden="false" customHeight="false" outlineLevel="0" collapsed="false">
      <c r="A1" s="3" t="s">
        <v>5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customFormat="false" ht="15" hidden="false" customHeight="false" outlineLevel="0" collapsed="false">
      <c r="A2" s="2" t="s">
        <v>6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</row>
    <row r="4" customFormat="false" ht="15" hidden="false" customHeight="false" outlineLevel="0" collapsed="false">
      <c r="A4" s="2"/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</row>
    <row r="5" customFormat="false" ht="15" hidden="false" customHeight="false" outlineLevel="0" collapsed="false">
      <c r="A5" s="2"/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</row>
    <row r="6" customFormat="false" ht="15" hidden="false" customHeight="false" outlineLevel="0" collapsed="false">
      <c r="A6" s="2"/>
      <c r="B6" s="2"/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</row>
    <row r="7" customFormat="false" ht="15" hidden="false" customHeight="false" outlineLevel="0" collapsed="false">
      <c r="A7" s="2"/>
      <c r="B7" s="2"/>
      <c r="C7" s="2"/>
      <c r="D7" s="2" t="s">
        <v>62</v>
      </c>
      <c r="E7" s="2" t="s">
        <v>63</v>
      </c>
      <c r="F7" s="2"/>
      <c r="G7" s="2" t="s">
        <v>64</v>
      </c>
      <c r="H7" s="2"/>
    </row>
    <row r="8" customFormat="false" ht="15" hidden="false" customHeight="false" outlineLevel="0" collapsed="false">
      <c r="A8" s="2"/>
      <c r="B8" s="2"/>
      <c r="C8" s="2"/>
      <c r="D8" s="2" t="s">
        <v>65</v>
      </c>
      <c r="E8" s="2" t="s">
        <v>66</v>
      </c>
      <c r="F8" s="2"/>
      <c r="G8" s="2" t="s">
        <v>67</v>
      </c>
      <c r="H8" s="2"/>
    </row>
    <row r="9" customFormat="false" ht="15" hidden="false" customHeight="false" outlineLevel="0" collapsed="false">
      <c r="A9" s="2"/>
      <c r="B9" s="2"/>
      <c r="C9" s="2"/>
      <c r="D9" s="2" t="s">
        <v>68</v>
      </c>
      <c r="E9" s="2" t="s">
        <v>69</v>
      </c>
      <c r="F9" s="2"/>
      <c r="G9" s="2"/>
      <c r="H9" s="2"/>
    </row>
    <row r="10" customFormat="false" ht="15" hidden="false" customHeight="false" outlineLevel="0" collapsed="false">
      <c r="A10" s="2"/>
      <c r="B10" s="2"/>
      <c r="C10" s="2"/>
      <c r="D10" s="2" t="s">
        <v>70</v>
      </c>
      <c r="E10" s="2" t="s">
        <v>71</v>
      </c>
      <c r="F10" s="2"/>
      <c r="G10" s="2"/>
      <c r="H10" s="2"/>
    </row>
    <row r="11" customFormat="false" ht="15" hidden="false" customHeight="false" outlineLevel="0" collapsed="false">
      <c r="A11" s="2"/>
      <c r="B11" s="2"/>
      <c r="C11" s="2"/>
      <c r="D11" s="2" t="s">
        <v>72</v>
      </c>
      <c r="E11" s="2" t="s">
        <v>73</v>
      </c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 t="s">
        <v>74</v>
      </c>
      <c r="E12" s="2" t="s">
        <v>75</v>
      </c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 t="s">
        <v>76</v>
      </c>
      <c r="E13" s="2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 t="s">
        <v>77</v>
      </c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 t="s">
        <v>78</v>
      </c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 t="s">
        <v>79</v>
      </c>
      <c r="E16" s="2"/>
      <c r="F16" s="2"/>
      <c r="G16" s="2"/>
      <c r="H16" s="2"/>
    </row>
    <row r="17" customFormat="false" ht="15" hidden="false" customHeight="false" outlineLevel="0" collapsed="false">
      <c r="A17" s="2"/>
      <c r="B17" s="2"/>
      <c r="C17" s="2"/>
      <c r="D17" s="2" t="s">
        <v>80</v>
      </c>
      <c r="E17" s="2"/>
      <c r="F17" s="2"/>
      <c r="G17" s="2"/>
      <c r="H17" s="2"/>
    </row>
    <row r="18" customFormat="false" ht="15" hidden="false" customHeight="false" outlineLevel="0" collapsed="false">
      <c r="A18" s="2"/>
      <c r="B18" s="2"/>
      <c r="C18" s="2"/>
      <c r="D18" s="2" t="s">
        <v>81</v>
      </c>
      <c r="E18" s="2"/>
      <c r="F18" s="2"/>
      <c r="G18" s="2"/>
      <c r="H18" s="2"/>
    </row>
    <row r="19" customFormat="false" ht="15" hidden="false" customHeight="false" outlineLevel="0" collapsed="false">
      <c r="A19" s="2"/>
      <c r="B19" s="2"/>
      <c r="C19" s="2"/>
      <c r="D19" s="2" t="s">
        <v>82</v>
      </c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 t="s">
        <v>83</v>
      </c>
      <c r="E20" s="2"/>
      <c r="F20" s="2"/>
      <c r="G20" s="2"/>
      <c r="H20" s="2"/>
    </row>
    <row r="21" customFormat="false" ht="15" hidden="false" customHeight="false" outlineLevel="0" collapsed="false">
      <c r="A21" s="2"/>
      <c r="B21" s="2"/>
      <c r="C21" s="2"/>
      <c r="D21" s="2" t="s">
        <v>84</v>
      </c>
      <c r="E21" s="2"/>
      <c r="F21" s="2"/>
      <c r="G21" s="2"/>
      <c r="H21" s="2"/>
    </row>
    <row r="22" customFormat="false" ht="15" hidden="false" customHeight="false" outlineLevel="0" collapsed="false">
      <c r="A22" s="2"/>
      <c r="B22" s="2"/>
      <c r="C22" s="2"/>
      <c r="D22" s="2" t="s">
        <v>85</v>
      </c>
      <c r="E22" s="2"/>
      <c r="F22" s="2"/>
      <c r="G22" s="2"/>
      <c r="H22" s="2"/>
    </row>
    <row r="23" customFormat="false" ht="15" hidden="false" customHeight="false" outlineLevel="0" collapsed="false">
      <c r="A23" s="2"/>
      <c r="B23" s="2"/>
      <c r="C23" s="2"/>
      <c r="D23" s="2" t="s">
        <v>86</v>
      </c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 t="s">
        <v>87</v>
      </c>
      <c r="E24" s="2"/>
      <c r="F24" s="2"/>
      <c r="G24" s="2"/>
      <c r="H24" s="2"/>
    </row>
    <row r="25" customFormat="false" ht="15" hidden="false" customHeight="false" outlineLevel="0" collapsed="false">
      <c r="A25" s="2"/>
      <c r="B25" s="2"/>
      <c r="C25" s="2"/>
      <c r="D25" s="2" t="s">
        <v>88</v>
      </c>
      <c r="E25" s="2"/>
      <c r="F25" s="2"/>
      <c r="G25" s="2"/>
      <c r="H25" s="2"/>
    </row>
    <row r="26" customFormat="false" ht="15" hidden="false" customHeight="false" outlineLevel="0" collapsed="false">
      <c r="A26" s="2"/>
      <c r="B26" s="2"/>
      <c r="C26" s="2"/>
      <c r="D26" s="2" t="s">
        <v>89</v>
      </c>
      <c r="E26" s="2"/>
      <c r="F26" s="2"/>
      <c r="G26" s="2"/>
      <c r="H26" s="2"/>
    </row>
    <row r="27" customFormat="false" ht="15" hidden="false" customHeight="false" outlineLevel="0" collapsed="false">
      <c r="A27" s="2"/>
      <c r="B27" s="2"/>
      <c r="C27" s="2"/>
      <c r="D27" s="2" t="s">
        <v>90</v>
      </c>
      <c r="E27" s="2"/>
      <c r="F27" s="2"/>
      <c r="G27" s="2"/>
      <c r="H27" s="2"/>
    </row>
    <row r="28" customFormat="false" ht="15" hidden="false" customHeight="false" outlineLevel="0" collapsed="false">
      <c r="A28" s="2"/>
      <c r="B28" s="2"/>
      <c r="C28" s="2"/>
      <c r="D28" s="2" t="s">
        <v>91</v>
      </c>
      <c r="E28" s="2"/>
      <c r="F28" s="2"/>
      <c r="G28" s="2"/>
      <c r="H28" s="2"/>
    </row>
    <row r="29" customFormat="false" ht="15" hidden="false" customHeight="false" outlineLevel="0" collapsed="false">
      <c r="A29" s="2"/>
      <c r="B29" s="2"/>
      <c r="C29" s="2"/>
      <c r="D29" s="2" t="s">
        <v>92</v>
      </c>
      <c r="E29" s="2"/>
      <c r="F29" s="2"/>
      <c r="G29" s="2"/>
      <c r="H29" s="2"/>
    </row>
    <row r="30" customFormat="false" ht="15" hidden="false" customHeight="false" outlineLevel="0" collapsed="false">
      <c r="A30" s="2"/>
      <c r="B30" s="2"/>
      <c r="C30" s="2"/>
      <c r="D30" s="2" t="s">
        <v>93</v>
      </c>
      <c r="E30" s="2"/>
      <c r="F30" s="2"/>
      <c r="G30" s="2"/>
      <c r="H30" s="2"/>
    </row>
    <row r="31" customFormat="false" ht="15" hidden="false" customHeight="false" outlineLevel="0" collapsed="false">
      <c r="A31" s="2"/>
      <c r="B31" s="2"/>
      <c r="C31" s="2"/>
      <c r="D31" s="2" t="s">
        <v>94</v>
      </c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 t="s">
        <v>95</v>
      </c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  <c r="C33" s="2"/>
      <c r="D33" s="2" t="s">
        <v>96</v>
      </c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 t="s">
        <v>97</v>
      </c>
      <c r="E34" s="2"/>
      <c r="F34" s="2"/>
      <c r="G34" s="2"/>
      <c r="H34" s="2"/>
    </row>
    <row r="35" customFormat="false" ht="15" hidden="false" customHeight="false" outlineLevel="0" collapsed="false">
      <c r="A35" s="2"/>
      <c r="B35" s="2"/>
      <c r="C35" s="2"/>
      <c r="D35" s="2" t="s">
        <v>98</v>
      </c>
      <c r="E35" s="2"/>
      <c r="F35" s="2"/>
      <c r="G35" s="2"/>
      <c r="H35" s="2"/>
    </row>
    <row r="36" customFormat="false" ht="15" hidden="false" customHeight="false" outlineLevel="0" collapsed="false">
      <c r="A36" s="2"/>
      <c r="B36" s="2"/>
      <c r="C36" s="2"/>
      <c r="D36" s="2" t="s">
        <v>99</v>
      </c>
      <c r="E36" s="2"/>
      <c r="F36" s="2"/>
      <c r="G36" s="2"/>
      <c r="H36" s="2"/>
    </row>
    <row r="37" customFormat="false" ht="15" hidden="false" customHeight="false" outlineLevel="0" collapsed="false">
      <c r="A37" s="2"/>
      <c r="B37" s="2"/>
      <c r="C37" s="2"/>
      <c r="D37" s="2" t="s">
        <v>100</v>
      </c>
      <c r="E37" s="2"/>
      <c r="F37" s="2"/>
      <c r="G37" s="2"/>
      <c r="H37" s="2"/>
    </row>
    <row r="38" customFormat="false" ht="15" hidden="false" customHeight="false" outlineLevel="0" collapsed="false">
      <c r="A38" s="2"/>
      <c r="B38" s="2"/>
      <c r="C38" s="2"/>
      <c r="D38" s="2" t="s">
        <v>101</v>
      </c>
      <c r="E38" s="2"/>
      <c r="F38" s="2"/>
      <c r="G38" s="2"/>
      <c r="H38" s="2"/>
    </row>
    <row r="39" customFormat="false" ht="15" hidden="false" customHeight="false" outlineLevel="0" collapsed="false">
      <c r="A39" s="2"/>
      <c r="B39" s="2"/>
      <c r="C39" s="2"/>
      <c r="D39" s="2" t="s">
        <v>102</v>
      </c>
      <c r="E39" s="2"/>
      <c r="F39" s="2"/>
      <c r="G39" s="2"/>
      <c r="H39" s="2"/>
    </row>
    <row r="40" customFormat="false" ht="15" hidden="false" customHeight="false" outlineLevel="0" collapsed="false">
      <c r="A40" s="2"/>
      <c r="B40" s="2"/>
      <c r="C40" s="2"/>
      <c r="D40" s="2" t="s">
        <v>103</v>
      </c>
      <c r="E40" s="2"/>
      <c r="F40" s="2"/>
      <c r="G40" s="2"/>
      <c r="H40" s="2"/>
    </row>
    <row r="41" customFormat="false" ht="15" hidden="false" customHeight="false" outlineLevel="0" collapsed="false">
      <c r="A41" s="2"/>
      <c r="B41" s="2"/>
      <c r="C41" s="2"/>
      <c r="D41" s="2" t="s">
        <v>104</v>
      </c>
      <c r="E41" s="2"/>
      <c r="F41" s="2"/>
      <c r="G41" s="2"/>
      <c r="H41" s="2"/>
    </row>
    <row r="42" customFormat="false" ht="15" hidden="false" customHeight="false" outlineLevel="0" collapsed="false">
      <c r="A42" s="2"/>
      <c r="B42" s="2"/>
      <c r="C42" s="2"/>
      <c r="D42" s="2" t="s">
        <v>105</v>
      </c>
      <c r="E42" s="2"/>
      <c r="F42" s="2"/>
      <c r="G42" s="2"/>
      <c r="H42" s="2"/>
    </row>
    <row r="43" customFormat="false" ht="15" hidden="false" customHeight="false" outlineLevel="0" collapsed="false">
      <c r="A43" s="2"/>
      <c r="B43" s="2"/>
      <c r="C43" s="2"/>
      <c r="D43" s="2" t="s">
        <v>106</v>
      </c>
      <c r="E43" s="2"/>
      <c r="F43" s="2"/>
      <c r="G43" s="2"/>
      <c r="H43" s="2"/>
    </row>
    <row r="44" customFormat="false" ht="15" hidden="false" customHeight="false" outlineLevel="0" collapsed="false">
      <c r="A44" s="2"/>
      <c r="B44" s="2"/>
      <c r="C44" s="2"/>
      <c r="D44" s="2" t="s">
        <v>107</v>
      </c>
      <c r="E44" s="2"/>
      <c r="F44" s="2"/>
      <c r="G44" s="2"/>
      <c r="H44" s="2"/>
    </row>
    <row r="45" customFormat="false" ht="15" hidden="false" customHeight="false" outlineLevel="0" collapsed="false">
      <c r="A45" s="2"/>
      <c r="B45" s="2"/>
      <c r="C45" s="2"/>
      <c r="D45" s="2" t="s">
        <v>108</v>
      </c>
      <c r="E45" s="2"/>
      <c r="F45" s="2"/>
      <c r="G45" s="2"/>
      <c r="H45" s="2"/>
    </row>
    <row r="46" customFormat="false" ht="15" hidden="false" customHeight="false" outlineLevel="0" collapsed="false">
      <c r="A46" s="2"/>
      <c r="B46" s="2"/>
      <c r="C46" s="2"/>
      <c r="D46" s="2" t="s">
        <v>109</v>
      </c>
      <c r="E46" s="2"/>
      <c r="F46" s="2"/>
      <c r="G46" s="2"/>
      <c r="H46" s="2"/>
    </row>
    <row r="47" customFormat="false" ht="15" hidden="false" customHeight="false" outlineLevel="0" collapsed="false">
      <c r="A47" s="2"/>
      <c r="B47" s="2"/>
      <c r="C47" s="2"/>
      <c r="D47" s="2" t="s">
        <v>110</v>
      </c>
      <c r="E47" s="2"/>
      <c r="F47" s="2"/>
      <c r="G47" s="2"/>
      <c r="H47" s="2"/>
    </row>
    <row r="48" customFormat="false" ht="15" hidden="false" customHeight="false" outlineLevel="0" collapsed="false">
      <c r="A48" s="2"/>
      <c r="B48" s="2"/>
      <c r="C48" s="2"/>
      <c r="D48" s="2" t="s">
        <v>111</v>
      </c>
      <c r="E48" s="2"/>
      <c r="F48" s="2"/>
      <c r="G48" s="2"/>
      <c r="H48" s="2"/>
    </row>
    <row r="49" customFormat="false" ht="15" hidden="false" customHeight="false" outlineLevel="0" collapsed="false">
      <c r="A49" s="2"/>
      <c r="B49" s="2"/>
      <c r="C49" s="2"/>
      <c r="D49" s="2" t="s">
        <v>112</v>
      </c>
      <c r="E49" s="2"/>
      <c r="F49" s="2"/>
      <c r="G49" s="2"/>
      <c r="H49" s="2"/>
    </row>
    <row r="50" customFormat="false" ht="15" hidden="false" customHeight="false" outlineLevel="0" collapsed="false">
      <c r="A50" s="2"/>
      <c r="B50" s="2"/>
      <c r="C50" s="2"/>
      <c r="D50" s="2" t="s">
        <v>113</v>
      </c>
      <c r="E50" s="2"/>
      <c r="F50" s="2"/>
      <c r="G50" s="2"/>
      <c r="H50" s="2"/>
    </row>
    <row r="51" customFormat="false" ht="15" hidden="false" customHeight="false" outlineLevel="0" collapsed="false">
      <c r="A51" s="2"/>
      <c r="B51" s="2"/>
      <c r="C51" s="2"/>
      <c r="D51" s="2" t="s">
        <v>114</v>
      </c>
      <c r="E51" s="2"/>
      <c r="F51" s="2"/>
      <c r="G51" s="2"/>
      <c r="H51" s="2"/>
    </row>
    <row r="52" customFormat="false" ht="15" hidden="false" customHeight="false" outlineLevel="0" collapsed="false">
      <c r="A52" s="2"/>
      <c r="B52" s="2"/>
      <c r="C52" s="2"/>
      <c r="D52" s="2" t="s">
        <v>115</v>
      </c>
      <c r="E52" s="2"/>
      <c r="F52" s="2"/>
      <c r="G52" s="2"/>
      <c r="H52" s="2"/>
    </row>
    <row r="53" customFormat="false" ht="15" hidden="false" customHeight="false" outlineLevel="0" collapsed="false">
      <c r="A53" s="2"/>
      <c r="B53" s="2"/>
      <c r="C53" s="2"/>
      <c r="D53" s="2" t="s">
        <v>116</v>
      </c>
      <c r="E53" s="2"/>
      <c r="F53" s="2"/>
      <c r="G53" s="2"/>
      <c r="H53" s="2"/>
    </row>
    <row r="54" customFormat="false" ht="15" hidden="false" customHeight="false" outlineLevel="0" collapsed="false">
      <c r="A54" s="2"/>
      <c r="B54" s="2"/>
      <c r="C54" s="2"/>
      <c r="D54" s="2" t="s">
        <v>117</v>
      </c>
      <c r="E54" s="2"/>
      <c r="F54" s="2"/>
      <c r="G54" s="2"/>
      <c r="H54" s="2"/>
    </row>
    <row r="55" customFormat="false" ht="15" hidden="false" customHeight="false" outlineLevel="0" collapsed="false">
      <c r="A55" s="2"/>
      <c r="B55" s="2"/>
      <c r="C55" s="2"/>
      <c r="D55" s="2" t="s">
        <v>118</v>
      </c>
      <c r="E55" s="2"/>
      <c r="F55" s="2"/>
      <c r="G55" s="2"/>
      <c r="H55" s="2"/>
    </row>
    <row r="56" customFormat="false" ht="15" hidden="false" customHeight="false" outlineLevel="0" collapsed="false">
      <c r="A56" s="2"/>
      <c r="B56" s="2"/>
      <c r="C56" s="2"/>
      <c r="D56" s="2" t="s">
        <v>119</v>
      </c>
      <c r="E56" s="2"/>
      <c r="F56" s="2"/>
      <c r="G56" s="2"/>
      <c r="H56" s="2"/>
    </row>
    <row r="57" customFormat="false" ht="15" hidden="false" customHeight="false" outlineLevel="0" collapsed="false">
      <c r="A57" s="2"/>
      <c r="B57" s="2"/>
      <c r="C57" s="2"/>
      <c r="D57" s="2" t="s">
        <v>120</v>
      </c>
      <c r="E57" s="2"/>
      <c r="F57" s="2"/>
      <c r="G57" s="2"/>
      <c r="H57" s="2"/>
    </row>
    <row r="58" customFormat="false" ht="15" hidden="false" customHeight="false" outlineLevel="0" collapsed="false">
      <c r="A58" s="2"/>
      <c r="B58" s="2"/>
      <c r="C58" s="2"/>
      <c r="D58" s="2" t="s">
        <v>121</v>
      </c>
      <c r="E58" s="2"/>
      <c r="F58" s="2"/>
      <c r="G58" s="2"/>
      <c r="H58" s="2"/>
    </row>
    <row r="59" customFormat="false" ht="15" hidden="false" customHeight="false" outlineLevel="0" collapsed="false">
      <c r="A59" s="2"/>
      <c r="B59" s="2"/>
      <c r="C59" s="2"/>
      <c r="D59" s="2" t="s">
        <v>122</v>
      </c>
      <c r="E59" s="2"/>
      <c r="F59" s="2"/>
      <c r="G59" s="2"/>
      <c r="H59" s="2"/>
    </row>
    <row r="60" customFormat="false" ht="15" hidden="false" customHeight="false" outlineLevel="0" collapsed="false">
      <c r="A60" s="2"/>
      <c r="B60" s="2"/>
      <c r="C60" s="2"/>
      <c r="D60" s="2" t="s">
        <v>123</v>
      </c>
      <c r="E60" s="2"/>
      <c r="F60" s="2"/>
      <c r="G60" s="2"/>
      <c r="H60" s="2"/>
    </row>
    <row r="61" customFormat="false" ht="15" hidden="false" customHeight="false" outlineLevel="0" collapsed="false">
      <c r="A61" s="2"/>
      <c r="B61" s="2"/>
      <c r="C61" s="2"/>
      <c r="D61" s="2" t="s">
        <v>124</v>
      </c>
      <c r="E61" s="2"/>
      <c r="F61" s="2"/>
      <c r="G61" s="2"/>
      <c r="H61" s="2"/>
    </row>
    <row r="62" customFormat="false" ht="15" hidden="false" customHeight="false" outlineLevel="0" collapsed="false">
      <c r="A62" s="2"/>
      <c r="B62" s="2"/>
      <c r="C62" s="2"/>
      <c r="D62" s="2" t="s">
        <v>125</v>
      </c>
      <c r="E62" s="2"/>
      <c r="F62" s="2"/>
      <c r="G62" s="2"/>
      <c r="H62" s="2"/>
    </row>
    <row r="63" customFormat="false" ht="15" hidden="false" customHeight="false" outlineLevel="0" collapsed="false">
      <c r="A63" s="2"/>
      <c r="B63" s="2"/>
      <c r="C63" s="2"/>
      <c r="D63" s="2" t="s">
        <v>126</v>
      </c>
      <c r="E63" s="2"/>
      <c r="F63" s="2"/>
      <c r="G63" s="2"/>
      <c r="H63" s="2"/>
    </row>
    <row r="64" customFormat="false" ht="15" hidden="false" customHeight="false" outlineLevel="0" collapsed="false">
      <c r="A64" s="2"/>
      <c r="B64" s="2"/>
      <c r="C64" s="2"/>
      <c r="D64" s="2" t="s">
        <v>127</v>
      </c>
      <c r="E64" s="2"/>
      <c r="F64" s="2"/>
      <c r="G64" s="2"/>
      <c r="H64" s="2"/>
    </row>
    <row r="65" customFormat="false" ht="15" hidden="false" customHeight="false" outlineLevel="0" collapsed="false">
      <c r="A65" s="2"/>
      <c r="B65" s="2"/>
      <c r="C65" s="2"/>
      <c r="D65" s="2" t="s">
        <v>128</v>
      </c>
      <c r="E65" s="2"/>
      <c r="F65" s="2"/>
      <c r="G65" s="2"/>
      <c r="H65" s="2"/>
    </row>
    <row r="66" customFormat="false" ht="15" hidden="false" customHeight="false" outlineLevel="0" collapsed="false">
      <c r="A66" s="2"/>
      <c r="B66" s="2"/>
      <c r="C66" s="2"/>
      <c r="D66" s="2" t="s">
        <v>129</v>
      </c>
      <c r="E66" s="2"/>
      <c r="F66" s="2"/>
      <c r="G66" s="2"/>
      <c r="H66" s="2"/>
    </row>
    <row r="67" customFormat="false" ht="15" hidden="false" customHeight="false" outlineLevel="0" collapsed="false">
      <c r="A67" s="2"/>
      <c r="B67" s="2"/>
      <c r="C67" s="2"/>
      <c r="D67" s="2" t="s">
        <v>130</v>
      </c>
      <c r="E67" s="2"/>
      <c r="F67" s="2"/>
      <c r="G67" s="2"/>
      <c r="H67" s="2"/>
    </row>
    <row r="68" customFormat="false" ht="15" hidden="false" customHeight="false" outlineLevel="0" collapsed="false">
      <c r="A68" s="2"/>
      <c r="B68" s="2"/>
      <c r="C68" s="2"/>
      <c r="D68" s="2" t="s">
        <v>131</v>
      </c>
      <c r="E68" s="2"/>
      <c r="F68" s="2"/>
      <c r="G68" s="2"/>
      <c r="H68" s="2"/>
    </row>
    <row r="69" customFormat="false" ht="15" hidden="false" customHeight="false" outlineLevel="0" collapsed="false">
      <c r="A69" s="2"/>
      <c r="B69" s="2"/>
      <c r="C69" s="2"/>
      <c r="D69" s="2" t="s">
        <v>132</v>
      </c>
      <c r="E69" s="2"/>
      <c r="F69" s="2"/>
      <c r="G69" s="2"/>
      <c r="H69" s="2"/>
    </row>
    <row r="70" customFormat="false" ht="15" hidden="false" customHeight="false" outlineLevel="0" collapsed="false">
      <c r="A70" s="2"/>
      <c r="B70" s="2"/>
      <c r="C70" s="2"/>
      <c r="D70" s="2" t="s">
        <v>133</v>
      </c>
      <c r="E70" s="2"/>
      <c r="F70" s="2"/>
      <c r="G70" s="2"/>
      <c r="H70" s="2"/>
    </row>
    <row r="71" customFormat="false" ht="15" hidden="false" customHeight="false" outlineLevel="0" collapsed="false">
      <c r="A71" s="2"/>
      <c r="B71" s="2"/>
      <c r="C71" s="2"/>
      <c r="D71" s="2" t="s">
        <v>134</v>
      </c>
      <c r="E71" s="2"/>
      <c r="F71" s="2"/>
      <c r="G71" s="2"/>
      <c r="H71" s="2"/>
    </row>
    <row r="72" customFormat="false" ht="15" hidden="false" customHeight="false" outlineLevel="0" collapsed="false">
      <c r="A72" s="2"/>
      <c r="B72" s="2"/>
      <c r="C72" s="2"/>
      <c r="D72" s="2" t="s">
        <v>135</v>
      </c>
      <c r="E72" s="2"/>
      <c r="F72" s="2"/>
      <c r="G72" s="2"/>
      <c r="H72" s="2"/>
    </row>
    <row r="73" customFormat="false" ht="15" hidden="false" customHeight="false" outlineLevel="0" collapsed="false">
      <c r="A73" s="2"/>
      <c r="B73" s="2"/>
      <c r="C73" s="2"/>
      <c r="D73" s="2" t="s">
        <v>136</v>
      </c>
      <c r="E73" s="2"/>
      <c r="F73" s="2"/>
      <c r="G73" s="2"/>
      <c r="H73" s="2"/>
    </row>
    <row r="74" customFormat="false" ht="15" hidden="false" customHeight="false" outlineLevel="0" collapsed="false">
      <c r="A74" s="2"/>
      <c r="B74" s="2"/>
      <c r="C74" s="2"/>
      <c r="D74" s="2" t="s">
        <v>137</v>
      </c>
      <c r="E74" s="2"/>
      <c r="F74" s="2"/>
      <c r="G74" s="2"/>
      <c r="H74" s="2"/>
    </row>
    <row r="75" customFormat="false" ht="15" hidden="false" customHeight="false" outlineLevel="0" collapsed="false">
      <c r="A75" s="2"/>
      <c r="B75" s="2"/>
      <c r="C75" s="2"/>
      <c r="D75" s="2" t="s">
        <v>138</v>
      </c>
      <c r="E75" s="2"/>
      <c r="F75" s="2"/>
      <c r="G75" s="2"/>
      <c r="H75" s="2"/>
    </row>
    <row r="76" customFormat="false" ht="15" hidden="false" customHeight="false" outlineLevel="0" collapsed="false">
      <c r="A76" s="2"/>
      <c r="B76" s="2"/>
      <c r="C76" s="2"/>
      <c r="D76" s="2" t="s">
        <v>139</v>
      </c>
      <c r="E76" s="2"/>
      <c r="F76" s="2"/>
      <c r="G76" s="2"/>
      <c r="H76" s="2"/>
    </row>
    <row r="77" customFormat="false" ht="15" hidden="false" customHeight="false" outlineLevel="0" collapsed="false">
      <c r="A77" s="2"/>
      <c r="B77" s="2"/>
      <c r="C77" s="2"/>
      <c r="D77" s="2" t="s">
        <v>140</v>
      </c>
      <c r="E77" s="2"/>
      <c r="F77" s="2"/>
      <c r="G77" s="2"/>
      <c r="H77" s="2"/>
    </row>
    <row r="78" customFormat="false" ht="15" hidden="false" customHeight="false" outlineLevel="0" collapsed="false">
      <c r="A78" s="2"/>
      <c r="B78" s="2"/>
      <c r="C78" s="2"/>
      <c r="D78" s="2" t="s">
        <v>141</v>
      </c>
      <c r="E78" s="2"/>
      <c r="F78" s="2"/>
      <c r="G78" s="2"/>
      <c r="H78" s="2"/>
    </row>
    <row r="79" customFormat="false" ht="15" hidden="false" customHeight="false" outlineLevel="0" collapsed="false">
      <c r="A79" s="2"/>
      <c r="B79" s="2"/>
      <c r="C79" s="2"/>
      <c r="D79" s="2" t="s">
        <v>142</v>
      </c>
      <c r="E79" s="2"/>
      <c r="F79" s="2"/>
      <c r="G79" s="2"/>
      <c r="H79" s="2"/>
    </row>
    <row r="80" customFormat="false" ht="15" hidden="false" customHeight="false" outlineLevel="0" collapsed="false">
      <c r="A80" s="2"/>
      <c r="B80" s="2"/>
      <c r="C80" s="2"/>
      <c r="D80" s="2" t="s">
        <v>143</v>
      </c>
      <c r="E80" s="2"/>
      <c r="F80" s="2"/>
      <c r="G80" s="2"/>
      <c r="H80" s="2"/>
    </row>
    <row r="81" customFormat="false" ht="15" hidden="false" customHeight="false" outlineLevel="0" collapsed="false">
      <c r="A81" s="2"/>
      <c r="B81" s="2"/>
      <c r="C81" s="2"/>
      <c r="D81" s="2" t="s">
        <v>144</v>
      </c>
      <c r="E81" s="2"/>
      <c r="F81" s="2"/>
      <c r="G81" s="2"/>
      <c r="H81" s="2"/>
    </row>
    <row r="82" customFormat="false" ht="15" hidden="false" customHeight="false" outlineLevel="0" collapsed="false">
      <c r="A82" s="2"/>
      <c r="B82" s="2"/>
      <c r="C82" s="2"/>
      <c r="D82" s="2" t="s">
        <v>145</v>
      </c>
      <c r="E82" s="2"/>
      <c r="F82" s="2"/>
      <c r="G82" s="2"/>
      <c r="H82" s="2"/>
    </row>
    <row r="83" customFormat="false" ht="15" hidden="false" customHeight="false" outlineLevel="0" collapsed="false">
      <c r="A83" s="2"/>
      <c r="B83" s="2"/>
      <c r="C83" s="2"/>
      <c r="D83" s="2" t="s">
        <v>146</v>
      </c>
      <c r="E83" s="2"/>
      <c r="F83" s="2"/>
      <c r="G83" s="2"/>
      <c r="H83" s="2"/>
    </row>
    <row r="84" customFormat="false" ht="15" hidden="false" customHeight="false" outlineLevel="0" collapsed="false">
      <c r="A84" s="2"/>
      <c r="B84" s="2"/>
      <c r="C84" s="2"/>
      <c r="D84" s="2" t="s">
        <v>147</v>
      </c>
      <c r="E84" s="2"/>
      <c r="F84" s="2"/>
      <c r="G84" s="2"/>
      <c r="H84" s="2"/>
    </row>
    <row r="85" customFormat="false" ht="15" hidden="false" customHeight="false" outlineLevel="0" collapsed="false">
      <c r="A85" s="2"/>
      <c r="B85" s="2"/>
      <c r="C85" s="2"/>
      <c r="D85" s="2" t="s">
        <v>148</v>
      </c>
      <c r="E85" s="2"/>
      <c r="F85" s="2"/>
      <c r="G85" s="2"/>
      <c r="H85" s="2"/>
    </row>
    <row r="86" customFormat="false" ht="15" hidden="false" customHeight="false" outlineLevel="0" collapsed="false">
      <c r="A86" s="2"/>
      <c r="B86" s="2"/>
      <c r="C86" s="2"/>
      <c r="D86" s="2" t="s">
        <v>149</v>
      </c>
      <c r="E86" s="2"/>
      <c r="F86" s="2"/>
      <c r="G86" s="2"/>
      <c r="H8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8"/>
  </cols>
  <sheetData>
    <row r="1" customFormat="false" ht="15" hidden="false" customHeight="false" outlineLevel="0" collapsed="false">
      <c r="A1" s="3" t="s">
        <v>150</v>
      </c>
      <c r="B1" s="3"/>
    </row>
    <row r="2" customFormat="false" ht="15" hidden="false" customHeight="false" outlineLevel="0" collapsed="false">
      <c r="A2" s="2"/>
      <c r="B2" s="2"/>
    </row>
    <row r="3" customFormat="false" ht="35.05" hidden="false" customHeight="false" outlineLevel="0" collapsed="false">
      <c r="A3" s="5" t="s">
        <v>151</v>
      </c>
      <c r="B3" s="2" t="s">
        <v>152</v>
      </c>
    </row>
    <row r="4" customFormat="false" ht="15" hidden="false" customHeight="false" outlineLevel="0" collapsed="false">
      <c r="A4" s="2"/>
      <c r="B4" s="2"/>
    </row>
    <row r="5" customFormat="false" ht="46.25" hidden="false" customHeight="false" outlineLevel="0" collapsed="false">
      <c r="A5" s="5" t="s">
        <v>153</v>
      </c>
      <c r="B5" s="2" t="s">
        <v>154</v>
      </c>
    </row>
    <row r="6" customFormat="false" ht="15" hidden="false" customHeight="false" outlineLevel="0" collapsed="false">
      <c r="A6" s="2"/>
      <c r="B6" s="2"/>
    </row>
    <row r="7" customFormat="false" ht="35.05" hidden="false" customHeight="false" outlineLevel="0" collapsed="false">
      <c r="A7" s="5" t="s">
        <v>155</v>
      </c>
      <c r="B7" s="2" t="s">
        <v>156</v>
      </c>
    </row>
    <row r="8" customFormat="false" ht="15" hidden="false" customHeight="false" outlineLevel="0" collapsed="false">
      <c r="A8" s="2"/>
      <c r="B8" s="2"/>
    </row>
    <row r="9" customFormat="false" ht="57.45" hidden="false" customHeight="false" outlineLevel="0" collapsed="false">
      <c r="A9" s="5" t="s">
        <v>157</v>
      </c>
      <c r="B9" s="2" t="s">
        <v>158</v>
      </c>
    </row>
    <row r="10" customFormat="false" ht="15" hidden="false" customHeight="false" outlineLevel="0" collapsed="false">
      <c r="A10" s="2"/>
      <c r="B10" s="2"/>
    </row>
    <row r="11" customFormat="false" ht="35.05" hidden="false" customHeight="false" outlineLevel="0" collapsed="false">
      <c r="A11" s="5" t="s">
        <v>159</v>
      </c>
      <c r="B11" s="2" t="s">
        <v>160</v>
      </c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5" t="s">
        <v>161</v>
      </c>
      <c r="B13" s="2"/>
    </row>
    <row r="14" customFormat="false" ht="23.85" hidden="false" customHeight="false" outlineLevel="0" collapsed="false">
      <c r="A14" s="2" t="s">
        <v>162</v>
      </c>
      <c r="B14" s="2" t="s">
        <v>163</v>
      </c>
    </row>
    <row r="15" customFormat="false" ht="15" hidden="false" customHeight="false" outlineLevel="0" collapsed="false">
      <c r="A15" s="2" t="s">
        <v>164</v>
      </c>
      <c r="B15" s="2" t="s">
        <v>165</v>
      </c>
    </row>
    <row r="16" customFormat="false" ht="23.85" hidden="false" customHeight="false" outlineLevel="0" collapsed="false">
      <c r="A16" s="2" t="s">
        <v>166</v>
      </c>
      <c r="B16" s="2" t="s">
        <v>167</v>
      </c>
    </row>
    <row r="17" customFormat="false" ht="23.85" hidden="false" customHeight="false" outlineLevel="0" collapsed="false">
      <c r="A17" s="2" t="s">
        <v>168</v>
      </c>
      <c r="B17" s="2" t="s">
        <v>169</v>
      </c>
    </row>
    <row r="18" customFormat="false" ht="23.85" hidden="false" customHeight="false" outlineLevel="0" collapsed="false">
      <c r="A18" s="2" t="s">
        <v>170</v>
      </c>
      <c r="B18" s="2" t="s">
        <v>171</v>
      </c>
    </row>
    <row r="19" customFormat="false" ht="15" hidden="false" customHeight="false" outlineLevel="0" collapsed="false">
      <c r="A19" s="2" t="s">
        <v>172</v>
      </c>
      <c r="B19" s="2" t="s">
        <v>173</v>
      </c>
    </row>
    <row r="20" customFormat="false" ht="23.85" hidden="false" customHeight="false" outlineLevel="0" collapsed="false">
      <c r="A20" s="2" t="s">
        <v>174</v>
      </c>
      <c r="B20" s="2" t="s">
        <v>175</v>
      </c>
    </row>
    <row r="21" customFormat="false" ht="23.85" hidden="false" customHeight="false" outlineLevel="0" collapsed="false">
      <c r="A21" s="2" t="s">
        <v>176</v>
      </c>
      <c r="B21" s="2" t="s">
        <v>177</v>
      </c>
    </row>
    <row r="22" customFormat="false" ht="15" hidden="false" customHeight="false" outlineLevel="0" collapsed="false">
      <c r="A22" s="2"/>
      <c r="B22" s="2"/>
    </row>
    <row r="23" customFormat="false" ht="28.35" hidden="false" customHeight="false" outlineLevel="0" collapsed="false">
      <c r="A23" s="5" t="s">
        <v>178</v>
      </c>
      <c r="B23" s="2"/>
    </row>
    <row r="24" customFormat="false" ht="15" hidden="false" customHeight="false" outlineLevel="0" collapsed="false">
      <c r="A24" s="2" t="s">
        <v>179</v>
      </c>
      <c r="B24" s="2"/>
    </row>
    <row r="25" customFormat="false" ht="46.25" hidden="false" customHeight="false" outlineLevel="0" collapsed="false">
      <c r="A25" s="2" t="s">
        <v>180</v>
      </c>
      <c r="B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13"/>
  </cols>
  <sheetData>
    <row r="1" customFormat="false" ht="126.85" hidden="false" customHeight="false" outlineLevel="0" collapsed="false">
      <c r="A1" s="1" t="s">
        <v>181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79.85" hidden="false" customHeight="false" outlineLevel="0" collapsed="false">
      <c r="A3" s="2" t="s">
        <v>182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23.85" hidden="false" customHeight="false" outlineLevel="0" collapsed="false">
      <c r="A5" s="5" t="s">
        <v>5</v>
      </c>
      <c r="B5" s="2" t="s">
        <v>6</v>
      </c>
      <c r="C5" s="2"/>
      <c r="D5" s="2" t="s">
        <v>183</v>
      </c>
      <c r="E5" s="2"/>
    </row>
    <row r="6" customFormat="false" ht="15" hidden="false" customHeight="false" outlineLevel="0" collapsed="false">
      <c r="A6" s="5" t="s">
        <v>8</v>
      </c>
      <c r="B6" s="2" t="s">
        <v>6</v>
      </c>
      <c r="C6" s="2"/>
      <c r="D6" s="2"/>
      <c r="E6" s="2"/>
    </row>
    <row r="7" customFormat="false" ht="102.2" hidden="false" customHeight="false" outlineLevel="0" collapsed="false">
      <c r="A7" s="5" t="s">
        <v>9</v>
      </c>
      <c r="B7" s="2" t="s">
        <v>6</v>
      </c>
      <c r="C7" s="2"/>
      <c r="D7" s="2" t="s">
        <v>184</v>
      </c>
      <c r="E7" s="2" t="s">
        <v>185</v>
      </c>
    </row>
    <row r="8" customFormat="false" ht="28.35" hidden="false" customHeight="false" outlineLevel="0" collapsed="false">
      <c r="A8" s="5" t="s">
        <v>186</v>
      </c>
      <c r="B8" s="2" t="s">
        <v>6</v>
      </c>
      <c r="C8" s="2"/>
      <c r="D8" s="2"/>
      <c r="E8" s="2"/>
    </row>
    <row r="9" customFormat="false" ht="28.35" hidden="false" customHeight="false" outlineLevel="0" collapsed="false">
      <c r="A9" s="5" t="s">
        <v>10</v>
      </c>
      <c r="B9" s="2" t="s">
        <v>6</v>
      </c>
      <c r="C9" s="2"/>
      <c r="D9" s="2"/>
      <c r="E9" s="2"/>
    </row>
    <row r="10" customFormat="false" ht="15" hidden="false" customHeight="false" outlineLevel="0" collapsed="false">
      <c r="A10" s="5" t="s">
        <v>11</v>
      </c>
      <c r="B10" s="2" t="s">
        <v>6</v>
      </c>
      <c r="C10" s="2"/>
      <c r="D10" s="2"/>
      <c r="E10" s="2"/>
    </row>
    <row r="11" customFormat="false" ht="15" hidden="false" customHeight="false" outlineLevel="0" collapsed="false">
      <c r="A11" s="5" t="s">
        <v>187</v>
      </c>
      <c r="B11" s="2" t="s">
        <v>6</v>
      </c>
      <c r="C11" s="2"/>
      <c r="D11" s="2"/>
      <c r="E11" s="2"/>
    </row>
    <row r="12" customFormat="false" ht="15" hidden="false" customHeight="false" outlineLevel="0" collapsed="false">
      <c r="A12" s="5" t="s">
        <v>13</v>
      </c>
      <c r="B12" s="2" t="s">
        <v>6</v>
      </c>
      <c r="C12" s="2"/>
      <c r="D12" s="2"/>
      <c r="E12" s="2"/>
    </row>
    <row r="13" customFormat="false" ht="28.35" hidden="false" customHeight="false" outlineLevel="0" collapsed="false">
      <c r="A13" s="5" t="s">
        <v>188</v>
      </c>
      <c r="B13" s="2" t="s">
        <v>6</v>
      </c>
      <c r="C13" s="2"/>
      <c r="D13" s="2"/>
      <c r="E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6" min="5" style="0" width="35"/>
  </cols>
  <sheetData>
    <row r="1" customFormat="false" ht="55.2" hidden="false" customHeight="false" outlineLevel="0" collapsed="false">
      <c r="A1" s="1" t="s">
        <v>189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28.35" hidden="false" customHeight="false" outlineLevel="0" collapsed="false">
      <c r="A3" s="6" t="s">
        <v>182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5" t="s">
        <v>5</v>
      </c>
      <c r="B5" s="7" t="s">
        <v>6</v>
      </c>
      <c r="C5" s="2" t="s">
        <v>190</v>
      </c>
      <c r="D5" s="2"/>
      <c r="E5" s="5" t="s">
        <v>191</v>
      </c>
      <c r="F5" s="2"/>
    </row>
    <row r="6" customFormat="false" ht="15" hidden="false" customHeight="false" outlineLevel="0" collapsed="false">
      <c r="A6" s="5" t="s">
        <v>8</v>
      </c>
      <c r="B6" s="7" t="s">
        <v>6</v>
      </c>
      <c r="C6" s="2" t="s">
        <v>192</v>
      </c>
      <c r="D6" s="2"/>
      <c r="E6" s="2"/>
      <c r="F6" s="2"/>
    </row>
    <row r="7" customFormat="false" ht="15" hidden="false" customHeight="false" outlineLevel="0" collapsed="false">
      <c r="A7" s="5" t="s">
        <v>9</v>
      </c>
      <c r="B7" s="7" t="s">
        <v>6</v>
      </c>
      <c r="C7" s="2" t="s">
        <v>193</v>
      </c>
      <c r="D7" s="2"/>
      <c r="E7" s="2" t="s">
        <v>194</v>
      </c>
      <c r="F7" s="2"/>
    </row>
    <row r="8" customFormat="false" ht="23.85" hidden="false" customHeight="false" outlineLevel="0" collapsed="false">
      <c r="A8" s="5" t="s">
        <v>186</v>
      </c>
      <c r="B8" s="7" t="s">
        <v>6</v>
      </c>
      <c r="C8" s="2" t="s">
        <v>195</v>
      </c>
      <c r="D8" s="2"/>
      <c r="E8" s="2" t="s">
        <v>196</v>
      </c>
      <c r="F8" s="2"/>
    </row>
    <row r="9" customFormat="false" ht="23.85" hidden="false" customHeight="false" outlineLevel="0" collapsed="false">
      <c r="A9" s="5" t="s">
        <v>10</v>
      </c>
      <c r="B9" s="7" t="s">
        <v>6</v>
      </c>
      <c r="C9" s="2" t="s">
        <v>197</v>
      </c>
      <c r="D9" s="2"/>
      <c r="E9" s="2" t="s">
        <v>198</v>
      </c>
      <c r="F9" s="2"/>
    </row>
    <row r="10" customFormat="false" ht="15" hidden="false" customHeight="false" outlineLevel="0" collapsed="false">
      <c r="A10" s="5" t="s">
        <v>11</v>
      </c>
      <c r="B10" s="7" t="s">
        <v>6</v>
      </c>
      <c r="C10" s="2" t="s">
        <v>199</v>
      </c>
      <c r="D10" s="2"/>
      <c r="E10" s="2"/>
      <c r="F10" s="2"/>
    </row>
    <row r="11" customFormat="false" ht="15" hidden="false" customHeight="false" outlineLevel="0" collapsed="false">
      <c r="A11" s="5" t="s">
        <v>12</v>
      </c>
      <c r="B11" s="7" t="s">
        <v>6</v>
      </c>
      <c r="C11" s="2" t="s">
        <v>200</v>
      </c>
      <c r="D11" s="2"/>
      <c r="E11" s="2"/>
      <c r="F11" s="2"/>
    </row>
    <row r="12" customFormat="false" ht="15" hidden="false" customHeight="false" outlineLevel="0" collapsed="false">
      <c r="A12" s="5" t="s">
        <v>201</v>
      </c>
      <c r="B12" s="7" t="s">
        <v>6</v>
      </c>
      <c r="C12" s="2" t="s">
        <v>202</v>
      </c>
      <c r="D12" s="2"/>
      <c r="E12" s="2"/>
      <c r="F12" s="2"/>
    </row>
    <row r="13" customFormat="false" ht="15" hidden="false" customHeight="false" outlineLevel="0" collapsed="false">
      <c r="A13" s="5" t="s">
        <v>203</v>
      </c>
      <c r="B13" s="7" t="s">
        <v>6</v>
      </c>
      <c r="C13" s="2" t="s">
        <v>204</v>
      </c>
      <c r="D13" s="2"/>
      <c r="E13" s="2"/>
      <c r="F13" s="2"/>
    </row>
    <row r="14" customFormat="false" ht="15" hidden="false" customHeight="false" outlineLevel="0" collapsed="false">
      <c r="A14" s="5" t="s">
        <v>188</v>
      </c>
      <c r="B14" s="7" t="s">
        <v>6</v>
      </c>
      <c r="C14" s="2" t="s">
        <v>205</v>
      </c>
      <c r="D14" s="2"/>
      <c r="E14" s="2"/>
      <c r="F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4" min="4" style="0" width="19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8"/>
    <col collapsed="false" customWidth="true" hidden="false" outlineLevel="0" max="15" min="15" style="0" width="21"/>
    <col collapsed="false" customWidth="true" hidden="false" outlineLevel="0" max="17" min="16" style="0" width="35"/>
  </cols>
  <sheetData>
    <row r="1" customFormat="false" ht="15" hidden="false" customHeight="false" outlineLevel="0" collapsed="false">
      <c r="A1" s="3" t="s">
        <v>206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68.65" hidden="false" customHeight="false" outlineLevel="0" collapsed="false">
      <c r="A2" s="2" t="s">
        <v>207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8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12</v>
      </c>
      <c r="K4" s="2" t="s">
        <v>208</v>
      </c>
      <c r="L4" s="2" t="s">
        <v>13</v>
      </c>
      <c r="M4" s="2" t="s">
        <v>30</v>
      </c>
      <c r="N4" s="2" t="s">
        <v>31</v>
      </c>
      <c r="O4" s="2" t="s">
        <v>32</v>
      </c>
    </row>
    <row r="5" customFormat="false" ht="15" hidden="false" customHeight="false" outlineLevel="0" collapsed="false">
      <c r="A5" s="2" t="s">
        <v>209</v>
      </c>
      <c r="B5" s="2" t="s">
        <v>34</v>
      </c>
      <c r="C5" s="2" t="s">
        <v>49</v>
      </c>
      <c r="D5" s="2" t="s">
        <v>36</v>
      </c>
      <c r="E5" s="2" t="s">
        <v>210</v>
      </c>
      <c r="F5" s="2" t="s">
        <v>69</v>
      </c>
      <c r="G5" s="2" t="s">
        <v>119</v>
      </c>
      <c r="H5" s="2" t="n">
        <v>1</v>
      </c>
      <c r="I5" s="2" t="s">
        <v>61</v>
      </c>
      <c r="J5" s="2"/>
      <c r="K5" s="2" t="s">
        <v>211</v>
      </c>
      <c r="L5" s="2" t="s">
        <v>54</v>
      </c>
      <c r="M5" s="2"/>
      <c r="N5" s="2"/>
      <c r="O5" s="2" t="s">
        <v>212</v>
      </c>
    </row>
    <row r="6" customFormat="false" ht="15" hidden="false" customHeight="false" outlineLevel="0" collapsed="false">
      <c r="A6" s="2" t="s">
        <v>213</v>
      </c>
      <c r="B6" s="2" t="s">
        <v>34</v>
      </c>
      <c r="C6" s="2" t="s">
        <v>49</v>
      </c>
      <c r="D6" s="2" t="s">
        <v>36</v>
      </c>
      <c r="E6" s="2" t="s">
        <v>214</v>
      </c>
      <c r="F6" s="2" t="s">
        <v>75</v>
      </c>
      <c r="G6" s="2" t="s">
        <v>139</v>
      </c>
      <c r="H6" s="2" t="n">
        <v>1</v>
      </c>
      <c r="I6" s="2" t="s">
        <v>61</v>
      </c>
      <c r="J6" s="2"/>
      <c r="K6" s="2" t="s">
        <v>215</v>
      </c>
      <c r="L6" s="2" t="s">
        <v>40</v>
      </c>
      <c r="M6" s="2"/>
      <c r="N6" s="2"/>
      <c r="O6" s="2" t="s">
        <v>212</v>
      </c>
    </row>
    <row r="7" customFormat="false" ht="15" hidden="false" customHeight="false" outlineLevel="0" collapsed="false">
      <c r="A7" s="2" t="s">
        <v>216</v>
      </c>
      <c r="B7" s="2" t="s">
        <v>34</v>
      </c>
      <c r="C7" s="2" t="s">
        <v>49</v>
      </c>
      <c r="D7" s="2" t="s">
        <v>36</v>
      </c>
      <c r="E7" s="2" t="s">
        <v>217</v>
      </c>
      <c r="F7" s="2" t="s">
        <v>69</v>
      </c>
      <c r="G7" s="2" t="s">
        <v>103</v>
      </c>
      <c r="H7" s="2" t="n">
        <v>1</v>
      </c>
      <c r="I7" s="2" t="s">
        <v>61</v>
      </c>
      <c r="J7" s="2"/>
      <c r="K7" s="2" t="s">
        <v>211</v>
      </c>
      <c r="L7" s="2" t="s">
        <v>40</v>
      </c>
      <c r="M7" s="2"/>
      <c r="N7" s="2"/>
      <c r="O7" s="2" t="s">
        <v>212</v>
      </c>
    </row>
    <row r="8" customFormat="false" ht="15" hidden="false" customHeight="false" outlineLevel="0" collapsed="false">
      <c r="A8" s="2" t="s">
        <v>218</v>
      </c>
      <c r="B8" s="2" t="s">
        <v>34</v>
      </c>
      <c r="C8" s="2" t="s">
        <v>49</v>
      </c>
      <c r="D8" s="2" t="s">
        <v>36</v>
      </c>
      <c r="E8" s="2" t="s">
        <v>219</v>
      </c>
      <c r="F8" s="2" t="s">
        <v>66</v>
      </c>
      <c r="G8" s="2" t="s">
        <v>104</v>
      </c>
      <c r="H8" s="2" t="n">
        <v>1</v>
      </c>
      <c r="I8" s="2" t="s">
        <v>61</v>
      </c>
      <c r="J8" s="2"/>
      <c r="K8" s="2" t="s">
        <v>211</v>
      </c>
      <c r="L8" s="2" t="s">
        <v>47</v>
      </c>
      <c r="M8" s="2"/>
      <c r="N8" s="2"/>
      <c r="O8" s="2" t="s">
        <v>212</v>
      </c>
    </row>
    <row r="9" customFormat="false" ht="15" hidden="false" customHeight="false" outlineLevel="0" collapsed="false">
      <c r="A9" s="2" t="s">
        <v>220</v>
      </c>
      <c r="B9" s="2" t="s">
        <v>34</v>
      </c>
      <c r="C9" s="2" t="s">
        <v>49</v>
      </c>
      <c r="D9" s="2" t="s">
        <v>36</v>
      </c>
      <c r="E9" s="2" t="s">
        <v>221</v>
      </c>
      <c r="F9" s="2" t="s">
        <v>75</v>
      </c>
      <c r="G9" s="2" t="s">
        <v>141</v>
      </c>
      <c r="H9" s="2" t="n">
        <v>1</v>
      </c>
      <c r="I9" s="2" t="s">
        <v>61</v>
      </c>
      <c r="J9" s="2"/>
      <c r="K9" s="2" t="s">
        <v>215</v>
      </c>
      <c r="L9" s="2" t="s">
        <v>40</v>
      </c>
      <c r="M9" s="2"/>
      <c r="N9" s="2"/>
      <c r="O9" s="2" t="s">
        <v>212</v>
      </c>
    </row>
    <row r="10" customFormat="false" ht="15" hidden="false" customHeight="false" outlineLevel="0" collapsed="false">
      <c r="A10" s="2" t="s">
        <v>222</v>
      </c>
      <c r="B10" s="2" t="s">
        <v>34</v>
      </c>
      <c r="C10" s="2" t="s">
        <v>49</v>
      </c>
      <c r="D10" s="2" t="s">
        <v>36</v>
      </c>
      <c r="E10" s="2" t="s">
        <v>223</v>
      </c>
      <c r="F10" s="2" t="s">
        <v>69</v>
      </c>
      <c r="G10" s="2" t="s">
        <v>106</v>
      </c>
      <c r="H10" s="2" t="n">
        <v>1</v>
      </c>
      <c r="I10" s="2" t="s">
        <v>61</v>
      </c>
      <c r="J10" s="2"/>
      <c r="K10" s="2" t="s">
        <v>215</v>
      </c>
      <c r="L10" s="2" t="s">
        <v>40</v>
      </c>
      <c r="M10" s="2"/>
      <c r="N10" s="2"/>
      <c r="O10" s="2" t="s">
        <v>212</v>
      </c>
    </row>
    <row r="11" customFormat="false" ht="15" hidden="false" customHeight="false" outlineLevel="0" collapsed="false">
      <c r="A11" s="2" t="s">
        <v>224</v>
      </c>
      <c r="B11" s="2" t="s">
        <v>34</v>
      </c>
      <c r="C11" s="2" t="s">
        <v>49</v>
      </c>
      <c r="D11" s="2" t="s">
        <v>36</v>
      </c>
      <c r="E11" s="2" t="s">
        <v>225</v>
      </c>
      <c r="F11" s="2" t="s">
        <v>75</v>
      </c>
      <c r="G11" s="2" t="s">
        <v>141</v>
      </c>
      <c r="H11" s="2" t="n">
        <v>1</v>
      </c>
      <c r="I11" s="2" t="s">
        <v>61</v>
      </c>
      <c r="J11" s="2"/>
      <c r="K11" s="2" t="s">
        <v>215</v>
      </c>
      <c r="L11" s="2" t="s">
        <v>40</v>
      </c>
      <c r="M11" s="2"/>
      <c r="N11" s="2"/>
      <c r="O11" s="2" t="s">
        <v>212</v>
      </c>
    </row>
    <row r="12" customFormat="false" ht="15" hidden="false" customHeight="false" outlineLevel="0" collapsed="false">
      <c r="A12" s="2" t="s">
        <v>226</v>
      </c>
      <c r="B12" s="2" t="s">
        <v>34</v>
      </c>
      <c r="C12" s="2" t="s">
        <v>49</v>
      </c>
      <c r="D12" s="2" t="s">
        <v>36</v>
      </c>
      <c r="E12" s="2" t="s">
        <v>227</v>
      </c>
      <c r="F12" s="2" t="s">
        <v>75</v>
      </c>
      <c r="G12" s="2" t="s">
        <v>98</v>
      </c>
      <c r="H12" s="2" t="n">
        <v>2</v>
      </c>
      <c r="I12" s="2" t="s">
        <v>41</v>
      </c>
      <c r="J12" s="2"/>
      <c r="K12" s="2" t="s">
        <v>215</v>
      </c>
      <c r="L12" s="2" t="s">
        <v>40</v>
      </c>
      <c r="M12" s="2"/>
      <c r="N12" s="2"/>
      <c r="O12" s="2" t="s">
        <v>212</v>
      </c>
    </row>
    <row r="13" customFormat="false" ht="15" hidden="false" customHeight="false" outlineLevel="0" collapsed="false">
      <c r="A13" s="2" t="s">
        <v>226</v>
      </c>
      <c r="B13" s="2" t="s">
        <v>34</v>
      </c>
      <c r="C13" s="2" t="s">
        <v>49</v>
      </c>
      <c r="D13" s="2" t="s">
        <v>36</v>
      </c>
      <c r="E13" s="2" t="s">
        <v>227</v>
      </c>
      <c r="F13" s="2" t="s">
        <v>75</v>
      </c>
      <c r="G13" s="2" t="s">
        <v>141</v>
      </c>
      <c r="H13" s="2" t="n">
        <v>2</v>
      </c>
      <c r="I13" s="2" t="s">
        <v>41</v>
      </c>
      <c r="J13" s="2"/>
      <c r="K13" s="2" t="s">
        <v>215</v>
      </c>
      <c r="L13" s="2" t="s">
        <v>40</v>
      </c>
      <c r="M13" s="2"/>
      <c r="N13" s="2"/>
      <c r="O13" s="2" t="s">
        <v>212</v>
      </c>
    </row>
    <row r="14" customFormat="false" ht="15" hidden="false" customHeight="false" outlineLevel="0" collapsed="false">
      <c r="A14" s="2" t="s">
        <v>228</v>
      </c>
      <c r="B14" s="2" t="s">
        <v>34</v>
      </c>
      <c r="C14" s="2" t="s">
        <v>49</v>
      </c>
      <c r="D14" s="2" t="s">
        <v>36</v>
      </c>
      <c r="E14" s="2" t="s">
        <v>229</v>
      </c>
      <c r="F14" s="2" t="s">
        <v>45</v>
      </c>
      <c r="G14" s="2" t="s">
        <v>74</v>
      </c>
      <c r="H14" s="2" t="n">
        <v>1</v>
      </c>
      <c r="I14" s="2" t="s">
        <v>61</v>
      </c>
      <c r="J14" s="2"/>
      <c r="K14" s="2" t="s">
        <v>230</v>
      </c>
      <c r="L14" s="2" t="s">
        <v>47</v>
      </c>
      <c r="M14" s="2"/>
      <c r="N14" s="2"/>
      <c r="O14" s="2" t="s">
        <v>212</v>
      </c>
    </row>
    <row r="15" customFormat="false" ht="15" hidden="false" customHeight="false" outlineLevel="0" collapsed="false">
      <c r="A15" s="2" t="s">
        <v>231</v>
      </c>
      <c r="B15" s="2" t="s">
        <v>34</v>
      </c>
      <c r="C15" s="2" t="s">
        <v>49</v>
      </c>
      <c r="D15" s="2" t="s">
        <v>36</v>
      </c>
      <c r="E15" s="2" t="s">
        <v>232</v>
      </c>
      <c r="F15" s="2" t="s">
        <v>45</v>
      </c>
      <c r="G15" s="2" t="s">
        <v>70</v>
      </c>
      <c r="H15" s="2" t="n">
        <v>1</v>
      </c>
      <c r="I15" s="2" t="s">
        <v>61</v>
      </c>
      <c r="J15" s="2"/>
      <c r="K15" s="2" t="s">
        <v>233</v>
      </c>
      <c r="L15" s="2" t="s">
        <v>47</v>
      </c>
      <c r="M15" s="2"/>
      <c r="N15" s="2"/>
      <c r="O15" s="2" t="s">
        <v>212</v>
      </c>
    </row>
    <row r="16" customFormat="false" ht="15" hidden="false" customHeight="false" outlineLevel="0" collapsed="false">
      <c r="A16" s="2" t="s">
        <v>234</v>
      </c>
      <c r="B16" s="2" t="s">
        <v>34</v>
      </c>
      <c r="C16" s="2" t="s">
        <v>49</v>
      </c>
      <c r="D16" s="2" t="s">
        <v>36</v>
      </c>
      <c r="E16" s="2" t="s">
        <v>235</v>
      </c>
      <c r="F16" s="2" t="s">
        <v>45</v>
      </c>
      <c r="G16" s="2" t="s">
        <v>79</v>
      </c>
      <c r="H16" s="2" t="n">
        <v>1</v>
      </c>
      <c r="I16" s="2" t="s">
        <v>61</v>
      </c>
      <c r="J16" s="2"/>
      <c r="K16" s="2" t="s">
        <v>233</v>
      </c>
      <c r="L16" s="2" t="s">
        <v>47</v>
      </c>
      <c r="M16" s="2"/>
      <c r="N16" s="2"/>
      <c r="O16" s="2" t="s">
        <v>212</v>
      </c>
    </row>
    <row r="17" customFormat="false" ht="15" hidden="false" customHeight="false" outlineLevel="0" collapsed="false">
      <c r="A17" s="2" t="s">
        <v>236</v>
      </c>
      <c r="B17" s="2" t="s">
        <v>34</v>
      </c>
      <c r="C17" s="2" t="s">
        <v>49</v>
      </c>
      <c r="D17" s="2" t="s">
        <v>36</v>
      </c>
      <c r="E17" s="2" t="s">
        <v>237</v>
      </c>
      <c r="F17" s="2" t="s">
        <v>45</v>
      </c>
      <c r="G17" s="2" t="s">
        <v>94</v>
      </c>
      <c r="H17" s="2" t="n">
        <v>1</v>
      </c>
      <c r="I17" s="2" t="s">
        <v>61</v>
      </c>
      <c r="J17" s="2"/>
      <c r="K17" s="2" t="s">
        <v>215</v>
      </c>
      <c r="L17" s="2" t="s">
        <v>47</v>
      </c>
      <c r="M17" s="2"/>
      <c r="N17" s="2"/>
      <c r="O17" s="2" t="s">
        <v>212</v>
      </c>
    </row>
    <row r="18" customFormat="false" ht="15" hidden="false" customHeight="false" outlineLevel="0" collapsed="false">
      <c r="A18" s="2" t="s">
        <v>238</v>
      </c>
      <c r="B18" s="2" t="s">
        <v>34</v>
      </c>
      <c r="C18" s="2" t="s">
        <v>49</v>
      </c>
      <c r="D18" s="2" t="s">
        <v>36</v>
      </c>
      <c r="E18" s="2" t="s">
        <v>239</v>
      </c>
      <c r="F18" s="2" t="s">
        <v>45</v>
      </c>
      <c r="G18" s="2" t="s">
        <v>94</v>
      </c>
      <c r="H18" s="2" t="n">
        <v>2</v>
      </c>
      <c r="I18" s="2" t="s">
        <v>41</v>
      </c>
      <c r="J18" s="2"/>
      <c r="K18" s="2" t="s">
        <v>230</v>
      </c>
      <c r="L18" s="2" t="s">
        <v>47</v>
      </c>
      <c r="M18" s="2"/>
      <c r="N18" s="2"/>
      <c r="O18" s="2" t="s">
        <v>212</v>
      </c>
    </row>
    <row r="19" customFormat="false" ht="15" hidden="false" customHeight="false" outlineLevel="0" collapsed="false">
      <c r="A19" s="2" t="s">
        <v>238</v>
      </c>
      <c r="B19" s="2" t="s">
        <v>34</v>
      </c>
      <c r="C19" s="2" t="s">
        <v>49</v>
      </c>
      <c r="D19" s="2" t="s">
        <v>36</v>
      </c>
      <c r="E19" s="2" t="s">
        <v>239</v>
      </c>
      <c r="F19" s="2" t="s">
        <v>45</v>
      </c>
      <c r="G19" s="2" t="s">
        <v>96</v>
      </c>
      <c r="H19" s="2" t="n">
        <v>2</v>
      </c>
      <c r="I19" s="2" t="s">
        <v>41</v>
      </c>
      <c r="J19" s="2"/>
      <c r="K19" s="2" t="s">
        <v>230</v>
      </c>
      <c r="L19" s="2" t="s">
        <v>47</v>
      </c>
      <c r="M19" s="2"/>
      <c r="N19" s="2"/>
      <c r="O19" s="2" t="s">
        <v>212</v>
      </c>
    </row>
    <row r="20" customFormat="false" ht="15" hidden="false" customHeight="false" outlineLevel="0" collapsed="false">
      <c r="A20" s="2" t="s">
        <v>240</v>
      </c>
      <c r="B20" s="2" t="s">
        <v>34</v>
      </c>
      <c r="C20" s="2" t="s">
        <v>49</v>
      </c>
      <c r="D20" s="2" t="s">
        <v>36</v>
      </c>
      <c r="E20" s="2" t="s">
        <v>241</v>
      </c>
      <c r="F20" s="2" t="s">
        <v>45</v>
      </c>
      <c r="G20" s="2" t="s">
        <v>76</v>
      </c>
      <c r="H20" s="2" t="n">
        <v>1</v>
      </c>
      <c r="I20" s="2" t="s">
        <v>61</v>
      </c>
      <c r="J20" s="2"/>
      <c r="K20" s="2" t="s">
        <v>215</v>
      </c>
      <c r="L20" s="2" t="s">
        <v>47</v>
      </c>
      <c r="M20" s="2"/>
      <c r="N20" s="2"/>
      <c r="O20" s="2" t="s">
        <v>212</v>
      </c>
    </row>
    <row r="21" customFormat="false" ht="15" hidden="false" customHeight="false" outlineLevel="0" collapsed="false">
      <c r="A21" s="2" t="s">
        <v>242</v>
      </c>
      <c r="B21" s="2" t="s">
        <v>34</v>
      </c>
      <c r="C21" s="2" t="s">
        <v>49</v>
      </c>
      <c r="D21" s="2" t="s">
        <v>36</v>
      </c>
      <c r="E21" s="2" t="s">
        <v>243</v>
      </c>
      <c r="F21" s="2" t="s">
        <v>45</v>
      </c>
      <c r="G21" s="2" t="s">
        <v>96</v>
      </c>
      <c r="H21" s="2" t="n">
        <v>1</v>
      </c>
      <c r="I21" s="2" t="s">
        <v>61</v>
      </c>
      <c r="J21" s="2"/>
      <c r="K21" s="2" t="s">
        <v>215</v>
      </c>
      <c r="L21" s="2" t="s">
        <v>47</v>
      </c>
      <c r="M21" s="2"/>
      <c r="N21" s="2"/>
      <c r="O21" s="2" t="s">
        <v>212</v>
      </c>
    </row>
    <row r="22" customFormat="false" ht="15" hidden="false" customHeight="false" outlineLevel="0" collapsed="false">
      <c r="A22" s="2" t="s">
        <v>244</v>
      </c>
      <c r="B22" s="2" t="s">
        <v>34</v>
      </c>
      <c r="C22" s="2" t="s">
        <v>49</v>
      </c>
      <c r="D22" s="2" t="s">
        <v>36</v>
      </c>
      <c r="E22" s="2" t="s">
        <v>245</v>
      </c>
      <c r="F22" s="2" t="s">
        <v>71</v>
      </c>
      <c r="G22" s="2" t="s">
        <v>121</v>
      </c>
      <c r="H22" s="2" t="n">
        <v>1</v>
      </c>
      <c r="I22" s="2" t="s">
        <v>61</v>
      </c>
      <c r="J22" s="2"/>
      <c r="K22" s="2" t="s">
        <v>233</v>
      </c>
      <c r="L22" s="2" t="s">
        <v>47</v>
      </c>
      <c r="M22" s="2"/>
      <c r="N22" s="2"/>
      <c r="O22" s="2" t="s">
        <v>212</v>
      </c>
    </row>
    <row r="23" customFormat="false" ht="15" hidden="false" customHeight="false" outlineLevel="0" collapsed="false">
      <c r="A23" s="2" t="s">
        <v>246</v>
      </c>
      <c r="B23" s="2" t="s">
        <v>34</v>
      </c>
      <c r="C23" s="2" t="s">
        <v>49</v>
      </c>
      <c r="D23" s="2" t="s">
        <v>36</v>
      </c>
      <c r="E23" s="2" t="s">
        <v>247</v>
      </c>
      <c r="F23" s="2" t="s">
        <v>45</v>
      </c>
      <c r="G23" s="2" t="s">
        <v>72</v>
      </c>
      <c r="H23" s="2" t="n">
        <v>1</v>
      </c>
      <c r="I23" s="2" t="s">
        <v>61</v>
      </c>
      <c r="J23" s="2"/>
      <c r="K23" s="2" t="s">
        <v>211</v>
      </c>
      <c r="L23" s="2" t="s">
        <v>40</v>
      </c>
      <c r="M23" s="2"/>
      <c r="N23" s="2"/>
      <c r="O23" s="2" t="s">
        <v>212</v>
      </c>
    </row>
    <row r="24" customFormat="false" ht="15" hidden="false" customHeight="false" outlineLevel="0" collapsed="false">
      <c r="A24" s="2" t="s">
        <v>248</v>
      </c>
      <c r="B24" s="2" t="s">
        <v>34</v>
      </c>
      <c r="C24" s="2" t="s">
        <v>49</v>
      </c>
      <c r="D24" s="2" t="s">
        <v>36</v>
      </c>
      <c r="E24" s="2" t="s">
        <v>249</v>
      </c>
      <c r="F24" s="2" t="s">
        <v>75</v>
      </c>
      <c r="G24" s="2" t="s">
        <v>142</v>
      </c>
      <c r="H24" s="2" t="n">
        <v>1</v>
      </c>
      <c r="I24" s="2" t="s">
        <v>61</v>
      </c>
      <c r="J24" s="2"/>
      <c r="K24" s="2" t="s">
        <v>215</v>
      </c>
      <c r="L24" s="2" t="s">
        <v>47</v>
      </c>
      <c r="M24" s="2"/>
      <c r="N24" s="2"/>
      <c r="O24" s="2" t="s">
        <v>212</v>
      </c>
    </row>
    <row r="25" customFormat="false" ht="15" hidden="false" customHeight="false" outlineLevel="0" collapsed="false">
      <c r="A25" s="2" t="s">
        <v>250</v>
      </c>
      <c r="B25" s="2" t="s">
        <v>34</v>
      </c>
      <c r="C25" s="2" t="s">
        <v>49</v>
      </c>
      <c r="D25" s="2" t="s">
        <v>36</v>
      </c>
      <c r="E25" s="2" t="s">
        <v>251</v>
      </c>
      <c r="F25" s="2" t="s">
        <v>75</v>
      </c>
      <c r="G25" s="2" t="s">
        <v>134</v>
      </c>
      <c r="H25" s="2" t="n">
        <v>1</v>
      </c>
      <c r="I25" s="2" t="s">
        <v>61</v>
      </c>
      <c r="J25" s="2"/>
      <c r="K25" s="2" t="s">
        <v>211</v>
      </c>
      <c r="L25" s="2" t="s">
        <v>40</v>
      </c>
      <c r="M25" s="2"/>
      <c r="N25" s="2"/>
      <c r="O25" s="2" t="s">
        <v>212</v>
      </c>
    </row>
    <row r="26" customFormat="false" ht="15" hidden="false" customHeight="false" outlineLevel="0" collapsed="false">
      <c r="A26" s="2" t="s">
        <v>252</v>
      </c>
      <c r="B26" s="2" t="s">
        <v>34</v>
      </c>
      <c r="C26" s="2" t="s">
        <v>49</v>
      </c>
      <c r="D26" s="2" t="s">
        <v>36</v>
      </c>
      <c r="E26" s="2" t="s">
        <v>253</v>
      </c>
      <c r="F26" s="2" t="s">
        <v>75</v>
      </c>
      <c r="G26" s="2" t="s">
        <v>136</v>
      </c>
      <c r="H26" s="2" t="n">
        <v>2</v>
      </c>
      <c r="I26" s="2" t="s">
        <v>41</v>
      </c>
      <c r="J26" s="2"/>
      <c r="K26" s="2" t="s">
        <v>211</v>
      </c>
      <c r="L26" s="2" t="s">
        <v>40</v>
      </c>
      <c r="M26" s="2"/>
      <c r="N26" s="2"/>
      <c r="O26" s="2" t="s">
        <v>212</v>
      </c>
    </row>
    <row r="27" customFormat="false" ht="15" hidden="false" customHeight="false" outlineLevel="0" collapsed="false">
      <c r="A27" s="2" t="s">
        <v>252</v>
      </c>
      <c r="B27" s="2" t="s">
        <v>34</v>
      </c>
      <c r="C27" s="2" t="s">
        <v>49</v>
      </c>
      <c r="D27" s="2" t="s">
        <v>36</v>
      </c>
      <c r="E27" s="2" t="s">
        <v>253</v>
      </c>
      <c r="F27" s="2" t="s">
        <v>75</v>
      </c>
      <c r="G27" s="2" t="s">
        <v>104</v>
      </c>
      <c r="H27" s="2" t="n">
        <v>2</v>
      </c>
      <c r="I27" s="2" t="s">
        <v>41</v>
      </c>
      <c r="J27" s="2"/>
      <c r="K27" s="2" t="s">
        <v>211</v>
      </c>
      <c r="L27" s="2" t="s">
        <v>40</v>
      </c>
      <c r="M27" s="2"/>
      <c r="N27" s="2"/>
      <c r="O27" s="2" t="s">
        <v>212</v>
      </c>
    </row>
    <row r="28" customFormat="false" ht="15" hidden="false" customHeight="false" outlineLevel="0" collapsed="false">
      <c r="A28" s="2" t="s">
        <v>254</v>
      </c>
      <c r="B28" s="2" t="s">
        <v>34</v>
      </c>
      <c r="C28" s="2" t="s">
        <v>49</v>
      </c>
      <c r="D28" s="2" t="s">
        <v>36</v>
      </c>
      <c r="E28" s="2" t="s">
        <v>255</v>
      </c>
      <c r="F28" s="2" t="s">
        <v>75</v>
      </c>
      <c r="G28" s="2" t="s">
        <v>138</v>
      </c>
      <c r="H28" s="2" t="n">
        <v>1</v>
      </c>
      <c r="I28" s="2" t="s">
        <v>61</v>
      </c>
      <c r="J28" s="2"/>
      <c r="K28" s="2" t="s">
        <v>211</v>
      </c>
      <c r="L28" s="2" t="s">
        <v>40</v>
      </c>
      <c r="M28" s="2"/>
      <c r="N28" s="2"/>
      <c r="O28" s="2" t="s">
        <v>212</v>
      </c>
    </row>
    <row r="29" customFormat="false" ht="15" hidden="false" customHeight="false" outlineLevel="0" collapsed="false">
      <c r="A29" s="2" t="s">
        <v>256</v>
      </c>
      <c r="B29" s="2" t="s">
        <v>34</v>
      </c>
      <c r="C29" s="2" t="s">
        <v>49</v>
      </c>
      <c r="D29" s="2" t="s">
        <v>36</v>
      </c>
      <c r="E29" s="2" t="s">
        <v>257</v>
      </c>
      <c r="F29" s="2" t="s">
        <v>45</v>
      </c>
      <c r="G29" s="2" t="s">
        <v>77</v>
      </c>
      <c r="H29" s="2" t="n">
        <v>1</v>
      </c>
      <c r="I29" s="2" t="s">
        <v>61</v>
      </c>
      <c r="J29" s="2"/>
      <c r="K29" s="2" t="s">
        <v>211</v>
      </c>
      <c r="L29" s="2" t="s">
        <v>40</v>
      </c>
      <c r="M29" s="2"/>
      <c r="N29" s="2"/>
      <c r="O29" s="2" t="s">
        <v>212</v>
      </c>
    </row>
    <row r="30" customFormat="false" ht="15" hidden="false" customHeight="false" outlineLevel="0" collapsed="false">
      <c r="A30" s="2" t="s">
        <v>258</v>
      </c>
      <c r="B30" s="2" t="s">
        <v>34</v>
      </c>
      <c r="C30" s="2" t="s">
        <v>49</v>
      </c>
      <c r="D30" s="2" t="s">
        <v>36</v>
      </c>
      <c r="E30" s="2" t="s">
        <v>259</v>
      </c>
      <c r="F30" s="2" t="s">
        <v>38</v>
      </c>
      <c r="G30" s="2" t="s">
        <v>87</v>
      </c>
      <c r="H30" s="2" t="n">
        <v>1</v>
      </c>
      <c r="I30" s="2" t="s">
        <v>61</v>
      </c>
      <c r="J30" s="2"/>
      <c r="K30" s="2" t="s">
        <v>230</v>
      </c>
      <c r="L30" s="2" t="s">
        <v>47</v>
      </c>
      <c r="M30" s="2"/>
      <c r="N30" s="2"/>
      <c r="O30" s="2" t="s">
        <v>212</v>
      </c>
    </row>
    <row r="31" customFormat="false" ht="15" hidden="false" customHeight="false" outlineLevel="0" collapsed="false">
      <c r="A31" s="2" t="s">
        <v>260</v>
      </c>
      <c r="B31" s="2" t="s">
        <v>34</v>
      </c>
      <c r="C31" s="2" t="s">
        <v>49</v>
      </c>
      <c r="D31" s="2" t="s">
        <v>36</v>
      </c>
      <c r="E31" s="2" t="s">
        <v>261</v>
      </c>
      <c r="F31" s="2" t="s">
        <v>38</v>
      </c>
      <c r="G31" s="2" t="s">
        <v>85</v>
      </c>
      <c r="H31" s="2" t="n">
        <v>1</v>
      </c>
      <c r="I31" s="2" t="s">
        <v>61</v>
      </c>
      <c r="J31" s="2"/>
      <c r="K31" s="2" t="s">
        <v>215</v>
      </c>
      <c r="L31" s="2" t="s">
        <v>47</v>
      </c>
      <c r="M31" s="2"/>
      <c r="N31" s="2"/>
      <c r="O31" s="2" t="s">
        <v>212</v>
      </c>
    </row>
    <row r="32" customFormat="false" ht="15" hidden="false" customHeight="false" outlineLevel="0" collapsed="false">
      <c r="A32" s="2" t="s">
        <v>262</v>
      </c>
      <c r="B32" s="2" t="s">
        <v>34</v>
      </c>
      <c r="C32" s="2" t="s">
        <v>49</v>
      </c>
      <c r="D32" s="2" t="s">
        <v>36</v>
      </c>
      <c r="E32" s="2" t="s">
        <v>263</v>
      </c>
      <c r="F32" s="2" t="s">
        <v>75</v>
      </c>
      <c r="G32" s="2" t="s">
        <v>144</v>
      </c>
      <c r="H32" s="2" t="n">
        <v>1</v>
      </c>
      <c r="I32" s="2" t="s">
        <v>61</v>
      </c>
      <c r="J32" s="2"/>
      <c r="K32" s="2" t="s">
        <v>215</v>
      </c>
      <c r="L32" s="2" t="s">
        <v>47</v>
      </c>
      <c r="M32" s="2"/>
      <c r="N32" s="2"/>
      <c r="O32" s="2" t="s">
        <v>212</v>
      </c>
    </row>
    <row r="33" customFormat="false" ht="15" hidden="false" customHeight="false" outlineLevel="0" collapsed="false">
      <c r="A33" s="2" t="s">
        <v>264</v>
      </c>
      <c r="B33" s="2" t="s">
        <v>34</v>
      </c>
      <c r="C33" s="2" t="s">
        <v>49</v>
      </c>
      <c r="D33" s="2" t="s">
        <v>36</v>
      </c>
      <c r="E33" s="2" t="s">
        <v>265</v>
      </c>
      <c r="F33" s="2" t="s">
        <v>38</v>
      </c>
      <c r="G33" s="2" t="s">
        <v>82</v>
      </c>
      <c r="H33" s="2" t="n">
        <v>1</v>
      </c>
      <c r="I33" s="2" t="s">
        <v>61</v>
      </c>
      <c r="J33" s="2"/>
      <c r="K33" s="2" t="s">
        <v>215</v>
      </c>
      <c r="L33" s="2" t="s">
        <v>47</v>
      </c>
      <c r="M33" s="2"/>
      <c r="N33" s="2"/>
      <c r="O33" s="2" t="s">
        <v>212</v>
      </c>
    </row>
    <row r="34" customFormat="false" ht="15" hidden="false" customHeight="false" outlineLevel="0" collapsed="false">
      <c r="A34" s="2" t="s">
        <v>266</v>
      </c>
      <c r="B34" s="2" t="s">
        <v>34</v>
      </c>
      <c r="C34" s="2" t="s">
        <v>49</v>
      </c>
      <c r="D34" s="2" t="s">
        <v>36</v>
      </c>
      <c r="E34" s="2" t="s">
        <v>267</v>
      </c>
      <c r="F34" s="2" t="s">
        <v>75</v>
      </c>
      <c r="G34" s="2" t="s">
        <v>88</v>
      </c>
      <c r="H34" s="2" t="n">
        <v>1</v>
      </c>
      <c r="I34" s="2" t="s">
        <v>61</v>
      </c>
      <c r="J34" s="2"/>
      <c r="K34" s="2" t="s">
        <v>215</v>
      </c>
      <c r="L34" s="2" t="s">
        <v>47</v>
      </c>
      <c r="M34" s="2"/>
      <c r="N34" s="2"/>
      <c r="O34" s="2" t="s">
        <v>212</v>
      </c>
    </row>
    <row r="35" customFormat="false" ht="15" hidden="false" customHeight="false" outlineLevel="0" collapsed="false">
      <c r="A35" s="2" t="s">
        <v>268</v>
      </c>
      <c r="B35" s="2" t="s">
        <v>34</v>
      </c>
      <c r="C35" s="2" t="s">
        <v>49</v>
      </c>
      <c r="D35" s="2" t="s">
        <v>36</v>
      </c>
      <c r="E35" s="2" t="s">
        <v>269</v>
      </c>
      <c r="F35" s="2" t="s">
        <v>75</v>
      </c>
      <c r="G35" s="2" t="s">
        <v>131</v>
      </c>
      <c r="H35" s="2" t="n">
        <v>3</v>
      </c>
      <c r="I35" s="2" t="s">
        <v>41</v>
      </c>
      <c r="J35" s="2"/>
      <c r="K35" s="2" t="s">
        <v>215</v>
      </c>
      <c r="L35" s="2" t="s">
        <v>40</v>
      </c>
      <c r="M35" s="2"/>
      <c r="N35" s="2"/>
      <c r="O35" s="2" t="s">
        <v>212</v>
      </c>
    </row>
    <row r="36" customFormat="false" ht="15" hidden="false" customHeight="false" outlineLevel="0" collapsed="false">
      <c r="A36" s="2" t="s">
        <v>268</v>
      </c>
      <c r="B36" s="2" t="s">
        <v>34</v>
      </c>
      <c r="C36" s="2" t="s">
        <v>49</v>
      </c>
      <c r="D36" s="2" t="s">
        <v>36</v>
      </c>
      <c r="E36" s="2" t="s">
        <v>269</v>
      </c>
      <c r="F36" s="2" t="s">
        <v>75</v>
      </c>
      <c r="G36" s="2" t="s">
        <v>135</v>
      </c>
      <c r="H36" s="2" t="n">
        <v>3</v>
      </c>
      <c r="I36" s="2" t="s">
        <v>41</v>
      </c>
      <c r="J36" s="2"/>
      <c r="K36" s="2" t="s">
        <v>215</v>
      </c>
      <c r="L36" s="2" t="s">
        <v>40</v>
      </c>
      <c r="M36" s="2"/>
      <c r="N36" s="2"/>
      <c r="O36" s="2" t="s">
        <v>212</v>
      </c>
    </row>
    <row r="37" customFormat="false" ht="15" hidden="false" customHeight="false" outlineLevel="0" collapsed="false">
      <c r="A37" s="2" t="s">
        <v>268</v>
      </c>
      <c r="B37" s="2" t="s">
        <v>34</v>
      </c>
      <c r="C37" s="2" t="s">
        <v>49</v>
      </c>
      <c r="D37" s="2" t="s">
        <v>36</v>
      </c>
      <c r="E37" s="2" t="s">
        <v>269</v>
      </c>
      <c r="F37" s="2" t="s">
        <v>75</v>
      </c>
      <c r="G37" s="2" t="s">
        <v>100</v>
      </c>
      <c r="H37" s="2" t="n">
        <v>3</v>
      </c>
      <c r="I37" s="2" t="s">
        <v>41</v>
      </c>
      <c r="J37" s="2"/>
      <c r="K37" s="2" t="s">
        <v>215</v>
      </c>
      <c r="L37" s="2" t="s">
        <v>40</v>
      </c>
      <c r="M37" s="2"/>
      <c r="N37" s="2"/>
      <c r="O37" s="2" t="s">
        <v>212</v>
      </c>
    </row>
    <row r="38" customFormat="false" ht="15" hidden="false" customHeight="false" outlineLevel="0" collapsed="false">
      <c r="A38" s="2" t="s">
        <v>270</v>
      </c>
      <c r="B38" s="2" t="s">
        <v>34</v>
      </c>
      <c r="C38" s="2" t="s">
        <v>49</v>
      </c>
      <c r="D38" s="2" t="s">
        <v>36</v>
      </c>
      <c r="E38" s="2" t="s">
        <v>271</v>
      </c>
      <c r="F38" s="2" t="s">
        <v>58</v>
      </c>
      <c r="G38" s="2" t="s">
        <v>132</v>
      </c>
      <c r="H38" s="2" t="n">
        <v>2</v>
      </c>
      <c r="I38" s="2" t="s">
        <v>41</v>
      </c>
      <c r="J38" s="2"/>
      <c r="K38" s="2" t="s">
        <v>211</v>
      </c>
      <c r="L38" s="2" t="s">
        <v>40</v>
      </c>
      <c r="M38" s="2"/>
      <c r="N38" s="2"/>
      <c r="O38" s="2" t="s">
        <v>212</v>
      </c>
    </row>
    <row r="39" customFormat="false" ht="15" hidden="false" customHeight="false" outlineLevel="0" collapsed="false">
      <c r="A39" s="2" t="s">
        <v>270</v>
      </c>
      <c r="B39" s="2" t="s">
        <v>34</v>
      </c>
      <c r="C39" s="2" t="s">
        <v>49</v>
      </c>
      <c r="D39" s="2" t="s">
        <v>36</v>
      </c>
      <c r="E39" s="2" t="s">
        <v>271</v>
      </c>
      <c r="F39" s="2" t="s">
        <v>58</v>
      </c>
      <c r="G39" s="2" t="s">
        <v>85</v>
      </c>
      <c r="H39" s="2" t="n">
        <v>2</v>
      </c>
      <c r="I39" s="2" t="s">
        <v>41</v>
      </c>
      <c r="J39" s="2"/>
      <c r="K39" s="2" t="s">
        <v>211</v>
      </c>
      <c r="L39" s="2" t="s">
        <v>40</v>
      </c>
      <c r="M39" s="2"/>
      <c r="N39" s="2"/>
      <c r="O39" s="2" t="s">
        <v>212</v>
      </c>
    </row>
    <row r="40" customFormat="false" ht="15" hidden="false" customHeight="false" outlineLevel="0" collapsed="false">
      <c r="A40" s="2" t="s">
        <v>272</v>
      </c>
      <c r="B40" s="2" t="s">
        <v>34</v>
      </c>
      <c r="C40" s="2" t="s">
        <v>49</v>
      </c>
      <c r="D40" s="2" t="s">
        <v>36</v>
      </c>
      <c r="E40" s="2" t="s">
        <v>273</v>
      </c>
      <c r="F40" s="2" t="s">
        <v>58</v>
      </c>
      <c r="G40" s="2" t="s">
        <v>91</v>
      </c>
      <c r="H40" s="2" t="n">
        <v>1</v>
      </c>
      <c r="I40" s="2" t="s">
        <v>61</v>
      </c>
      <c r="J40" s="2"/>
      <c r="K40" s="2" t="s">
        <v>215</v>
      </c>
      <c r="L40" s="2" t="s">
        <v>47</v>
      </c>
      <c r="M40" s="2"/>
      <c r="N40" s="2"/>
      <c r="O40" s="2" t="s">
        <v>212</v>
      </c>
    </row>
    <row r="41" customFormat="false" ht="23.85" hidden="false" customHeight="false" outlineLevel="0" collapsed="false">
      <c r="A41" s="2" t="s">
        <v>274</v>
      </c>
      <c r="B41" s="2" t="s">
        <v>34</v>
      </c>
      <c r="C41" s="2" t="s">
        <v>49</v>
      </c>
      <c r="D41" s="2" t="s">
        <v>36</v>
      </c>
      <c r="E41" s="2" t="s">
        <v>275</v>
      </c>
      <c r="F41" s="2" t="s">
        <v>69</v>
      </c>
      <c r="G41" s="2" t="s">
        <v>113</v>
      </c>
      <c r="H41" s="2" t="n">
        <v>1</v>
      </c>
      <c r="I41" s="2" t="s">
        <v>61</v>
      </c>
      <c r="J41" s="2"/>
      <c r="K41" s="2" t="s">
        <v>211</v>
      </c>
      <c r="L41" s="2" t="s">
        <v>40</v>
      </c>
      <c r="M41" s="2"/>
      <c r="N41" s="2"/>
      <c r="O41" s="2" t="s">
        <v>212</v>
      </c>
    </row>
    <row r="42" customFormat="false" ht="15" hidden="false" customHeight="false" outlineLevel="0" collapsed="false">
      <c r="A42" s="2" t="s">
        <v>276</v>
      </c>
      <c r="B42" s="2" t="s">
        <v>34</v>
      </c>
      <c r="C42" s="2" t="s">
        <v>49</v>
      </c>
      <c r="D42" s="2" t="s">
        <v>36</v>
      </c>
      <c r="E42" s="2" t="s">
        <v>277</v>
      </c>
      <c r="F42" s="2" t="s">
        <v>69</v>
      </c>
      <c r="G42" s="2" t="s">
        <v>124</v>
      </c>
      <c r="H42" s="2" t="n">
        <v>1</v>
      </c>
      <c r="I42" s="2" t="s">
        <v>61</v>
      </c>
      <c r="J42" s="2"/>
      <c r="K42" s="2" t="s">
        <v>211</v>
      </c>
      <c r="L42" s="2" t="s">
        <v>40</v>
      </c>
      <c r="M42" s="2"/>
      <c r="N42" s="2"/>
      <c r="O42" s="2" t="s">
        <v>212</v>
      </c>
    </row>
    <row r="43" customFormat="false" ht="15" hidden="false" customHeight="false" outlineLevel="0" collapsed="false">
      <c r="A43" s="2" t="s">
        <v>278</v>
      </c>
      <c r="B43" s="2" t="s">
        <v>34</v>
      </c>
      <c r="C43" s="2" t="s">
        <v>49</v>
      </c>
      <c r="D43" s="2" t="s">
        <v>36</v>
      </c>
      <c r="E43" s="2" t="s">
        <v>279</v>
      </c>
      <c r="F43" s="2" t="s">
        <v>71</v>
      </c>
      <c r="G43" s="2" t="s">
        <v>123</v>
      </c>
      <c r="H43" s="2" t="n">
        <v>1</v>
      </c>
      <c r="I43" s="2" t="s">
        <v>61</v>
      </c>
      <c r="J43" s="2"/>
      <c r="K43" s="2" t="s">
        <v>233</v>
      </c>
      <c r="L43" s="2" t="s">
        <v>47</v>
      </c>
      <c r="M43" s="2"/>
      <c r="N43" s="2"/>
      <c r="O43" s="2" t="s">
        <v>212</v>
      </c>
    </row>
    <row r="44" customFormat="false" ht="15" hidden="false" customHeight="false" outlineLevel="0" collapsed="false">
      <c r="A44" s="2" t="s">
        <v>280</v>
      </c>
      <c r="B44" s="2" t="s">
        <v>34</v>
      </c>
      <c r="C44" s="2" t="s">
        <v>49</v>
      </c>
      <c r="D44" s="2" t="s">
        <v>36</v>
      </c>
      <c r="E44" s="2" t="s">
        <v>281</v>
      </c>
      <c r="F44" s="2" t="s">
        <v>38</v>
      </c>
      <c r="G44" s="2" t="s">
        <v>84</v>
      </c>
      <c r="H44" s="2" t="n">
        <v>1</v>
      </c>
      <c r="I44" s="2" t="s">
        <v>61</v>
      </c>
      <c r="J44" s="2"/>
      <c r="K44" s="2" t="s">
        <v>233</v>
      </c>
      <c r="L44" s="2" t="s">
        <v>40</v>
      </c>
      <c r="M44" s="2"/>
      <c r="N44" s="2"/>
      <c r="O44" s="2" t="s">
        <v>212</v>
      </c>
    </row>
    <row r="45" customFormat="false" ht="15" hidden="false" customHeight="false" outlineLevel="0" collapsed="false">
      <c r="A45" s="2" t="s">
        <v>282</v>
      </c>
      <c r="B45" s="2" t="s">
        <v>34</v>
      </c>
      <c r="C45" s="2" t="s">
        <v>49</v>
      </c>
      <c r="D45" s="2" t="s">
        <v>36</v>
      </c>
      <c r="E45" s="2" t="s">
        <v>283</v>
      </c>
      <c r="F45" s="2" t="s">
        <v>45</v>
      </c>
      <c r="G45" s="2" t="s">
        <v>68</v>
      </c>
      <c r="H45" s="2" t="n">
        <v>1</v>
      </c>
      <c r="I45" s="2" t="s">
        <v>61</v>
      </c>
      <c r="J45" s="2"/>
      <c r="K45" s="2" t="s">
        <v>211</v>
      </c>
      <c r="L45" s="2" t="s">
        <v>40</v>
      </c>
      <c r="M45" s="2"/>
      <c r="N45" s="2"/>
      <c r="O45" s="2" t="s">
        <v>212</v>
      </c>
    </row>
    <row r="46" customFormat="false" ht="15" hidden="false" customHeight="false" outlineLevel="0" collapsed="false">
      <c r="A46" s="2" t="s">
        <v>284</v>
      </c>
      <c r="B46" s="2" t="s">
        <v>34</v>
      </c>
      <c r="C46" s="2" t="s">
        <v>49</v>
      </c>
      <c r="D46" s="2" t="s">
        <v>36</v>
      </c>
      <c r="E46" s="2" t="s">
        <v>285</v>
      </c>
      <c r="F46" s="2" t="s">
        <v>69</v>
      </c>
      <c r="G46" s="2" t="s">
        <v>108</v>
      </c>
      <c r="H46" s="2" t="n">
        <v>1</v>
      </c>
      <c r="I46" s="2" t="s">
        <v>61</v>
      </c>
      <c r="J46" s="2"/>
      <c r="K46" s="2" t="s">
        <v>211</v>
      </c>
      <c r="L46" s="2" t="s">
        <v>40</v>
      </c>
      <c r="M46" s="2"/>
      <c r="N46" s="2"/>
      <c r="O46" s="2" t="s">
        <v>212</v>
      </c>
    </row>
    <row r="47" customFormat="false" ht="15" hidden="false" customHeight="false" outlineLevel="0" collapsed="false">
      <c r="A47" s="2" t="s">
        <v>286</v>
      </c>
      <c r="B47" s="2" t="s">
        <v>34</v>
      </c>
      <c r="C47" s="2" t="s">
        <v>49</v>
      </c>
      <c r="D47" s="2" t="s">
        <v>36</v>
      </c>
      <c r="E47" s="2" t="s">
        <v>287</v>
      </c>
      <c r="F47" s="2" t="s">
        <v>69</v>
      </c>
      <c r="G47" s="2" t="s">
        <v>115</v>
      </c>
      <c r="H47" s="2" t="n">
        <v>1</v>
      </c>
      <c r="I47" s="2" t="s">
        <v>61</v>
      </c>
      <c r="J47" s="2"/>
      <c r="K47" s="2" t="s">
        <v>211</v>
      </c>
      <c r="L47" s="2" t="s">
        <v>40</v>
      </c>
      <c r="M47" s="2"/>
      <c r="N47" s="2"/>
      <c r="O47" s="2" t="s">
        <v>212</v>
      </c>
    </row>
    <row r="48" customFormat="false" ht="15" hidden="false" customHeight="false" outlineLevel="0" collapsed="false">
      <c r="A48" s="2" t="s">
        <v>288</v>
      </c>
      <c r="B48" s="2" t="s">
        <v>34</v>
      </c>
      <c r="C48" s="2" t="s">
        <v>49</v>
      </c>
      <c r="D48" s="2" t="s">
        <v>36</v>
      </c>
      <c r="E48" s="2" t="s">
        <v>289</v>
      </c>
      <c r="F48" s="2" t="s">
        <v>66</v>
      </c>
      <c r="G48" s="2" t="s">
        <v>143</v>
      </c>
      <c r="H48" s="2" t="n">
        <v>2</v>
      </c>
      <c r="I48" s="2" t="s">
        <v>41</v>
      </c>
      <c r="J48" s="2"/>
      <c r="K48" s="2" t="s">
        <v>233</v>
      </c>
      <c r="L48" s="2" t="s">
        <v>47</v>
      </c>
      <c r="M48" s="2"/>
      <c r="N48" s="2"/>
      <c r="O48" s="2" t="s">
        <v>212</v>
      </c>
    </row>
    <row r="49" customFormat="false" ht="15" hidden="false" customHeight="false" outlineLevel="0" collapsed="false">
      <c r="A49" s="2" t="s">
        <v>288</v>
      </c>
      <c r="B49" s="2" t="s">
        <v>34</v>
      </c>
      <c r="C49" s="2" t="s">
        <v>49</v>
      </c>
      <c r="D49" s="2" t="s">
        <v>36</v>
      </c>
      <c r="E49" s="2" t="s">
        <v>289</v>
      </c>
      <c r="F49" s="2" t="s">
        <v>66</v>
      </c>
      <c r="G49" s="2" t="s">
        <v>142</v>
      </c>
      <c r="H49" s="2" t="n">
        <v>2</v>
      </c>
      <c r="I49" s="2" t="s">
        <v>41</v>
      </c>
      <c r="J49" s="2"/>
      <c r="K49" s="2" t="s">
        <v>233</v>
      </c>
      <c r="L49" s="2" t="s">
        <v>47</v>
      </c>
      <c r="M49" s="2"/>
      <c r="N49" s="2"/>
      <c r="O49" s="2" t="s">
        <v>212</v>
      </c>
    </row>
    <row r="50" customFormat="false" ht="15" hidden="false" customHeight="false" outlineLevel="0" collapsed="false">
      <c r="A50" s="2" t="s">
        <v>290</v>
      </c>
      <c r="B50" s="2" t="s">
        <v>34</v>
      </c>
      <c r="C50" s="2" t="s">
        <v>49</v>
      </c>
      <c r="D50" s="2" t="s">
        <v>36</v>
      </c>
      <c r="E50" s="2" t="s">
        <v>291</v>
      </c>
      <c r="F50" s="2" t="s">
        <v>52</v>
      </c>
      <c r="G50" s="2" t="s">
        <v>90</v>
      </c>
      <c r="H50" s="2" t="n">
        <v>1</v>
      </c>
      <c r="I50" s="2" t="s">
        <v>61</v>
      </c>
      <c r="J50" s="2"/>
      <c r="K50" s="2" t="s">
        <v>233</v>
      </c>
      <c r="L50" s="2" t="s">
        <v>47</v>
      </c>
      <c r="M50" s="2"/>
      <c r="N50" s="2"/>
      <c r="O50" s="2" t="s">
        <v>212</v>
      </c>
    </row>
    <row r="51" customFormat="false" ht="15" hidden="false" customHeight="false" outlineLevel="0" collapsed="false">
      <c r="A51" s="2" t="s">
        <v>292</v>
      </c>
      <c r="B51" s="2" t="s">
        <v>34</v>
      </c>
      <c r="C51" s="2" t="s">
        <v>49</v>
      </c>
      <c r="D51" s="2" t="s">
        <v>36</v>
      </c>
      <c r="E51" s="2" t="s">
        <v>293</v>
      </c>
      <c r="F51" s="2" t="s">
        <v>69</v>
      </c>
      <c r="G51" s="2" t="s">
        <v>44</v>
      </c>
      <c r="H51" s="2" t="n">
        <v>1</v>
      </c>
      <c r="I51" s="2" t="s">
        <v>61</v>
      </c>
      <c r="J51" s="2"/>
      <c r="K51" s="2" t="s">
        <v>211</v>
      </c>
      <c r="L51" s="2" t="s">
        <v>40</v>
      </c>
      <c r="M51" s="2"/>
      <c r="N51" s="2"/>
      <c r="O51" s="2" t="s">
        <v>212</v>
      </c>
    </row>
    <row r="52" customFormat="false" ht="15" hidden="false" customHeight="false" outlineLevel="0" collapsed="false">
      <c r="A52" s="2" t="s">
        <v>294</v>
      </c>
      <c r="B52" s="2" t="s">
        <v>34</v>
      </c>
      <c r="C52" s="2" t="s">
        <v>49</v>
      </c>
      <c r="D52" s="2" t="s">
        <v>36</v>
      </c>
      <c r="E52" s="2" t="s">
        <v>295</v>
      </c>
      <c r="F52" s="2" t="s">
        <v>69</v>
      </c>
      <c r="G52" s="2" t="s">
        <v>118</v>
      </c>
      <c r="H52" s="2" t="n">
        <v>1</v>
      </c>
      <c r="I52" s="2" t="s">
        <v>61</v>
      </c>
      <c r="J52" s="2"/>
      <c r="K52" s="2" t="s">
        <v>230</v>
      </c>
      <c r="L52" s="2" t="s">
        <v>40</v>
      </c>
      <c r="M52" s="2"/>
      <c r="N52" s="2"/>
      <c r="O52" s="2" t="s">
        <v>212</v>
      </c>
    </row>
    <row r="53" customFormat="false" ht="15" hidden="false" customHeight="false" outlineLevel="0" collapsed="false">
      <c r="A53" s="2" t="s">
        <v>296</v>
      </c>
      <c r="B53" s="2" t="s">
        <v>34</v>
      </c>
      <c r="C53" s="2" t="s">
        <v>49</v>
      </c>
      <c r="D53" s="2" t="s">
        <v>36</v>
      </c>
      <c r="E53" s="2" t="s">
        <v>297</v>
      </c>
      <c r="F53" s="2" t="s">
        <v>69</v>
      </c>
      <c r="G53" s="2" t="s">
        <v>104</v>
      </c>
      <c r="H53" s="2" t="n">
        <v>1</v>
      </c>
      <c r="I53" s="2" t="s">
        <v>61</v>
      </c>
      <c r="J53" s="2"/>
      <c r="K53" s="2" t="s">
        <v>215</v>
      </c>
      <c r="L53" s="2" t="s">
        <v>47</v>
      </c>
      <c r="M53" s="2"/>
      <c r="N53" s="2"/>
      <c r="O53" s="2" t="s">
        <v>212</v>
      </c>
    </row>
    <row r="54" customFormat="false" ht="15" hidden="false" customHeight="false" outlineLevel="0" collapsed="false">
      <c r="A54" s="2" t="s">
        <v>298</v>
      </c>
      <c r="B54" s="2" t="s">
        <v>34</v>
      </c>
      <c r="C54" s="2" t="s">
        <v>49</v>
      </c>
      <c r="D54" s="2" t="s">
        <v>36</v>
      </c>
      <c r="E54" s="2" t="s">
        <v>299</v>
      </c>
      <c r="F54" s="2" t="s">
        <v>58</v>
      </c>
      <c r="G54" s="2" t="s">
        <v>93</v>
      </c>
      <c r="H54" s="2" t="n">
        <v>2</v>
      </c>
      <c r="I54" s="2" t="s">
        <v>41</v>
      </c>
      <c r="J54" s="2"/>
      <c r="K54" s="2" t="s">
        <v>211</v>
      </c>
      <c r="L54" s="2" t="s">
        <v>47</v>
      </c>
      <c r="M54" s="2"/>
      <c r="N54" s="2"/>
      <c r="O54" s="2" t="s">
        <v>212</v>
      </c>
    </row>
    <row r="55" customFormat="false" ht="15" hidden="false" customHeight="false" outlineLevel="0" collapsed="false">
      <c r="A55" s="2" t="s">
        <v>298</v>
      </c>
      <c r="B55" s="2" t="s">
        <v>34</v>
      </c>
      <c r="C55" s="2" t="s">
        <v>49</v>
      </c>
      <c r="D55" s="2" t="s">
        <v>36</v>
      </c>
      <c r="E55" s="2" t="s">
        <v>299</v>
      </c>
      <c r="F55" s="2" t="s">
        <v>58</v>
      </c>
      <c r="G55" s="2" t="s">
        <v>92</v>
      </c>
      <c r="H55" s="2" t="n">
        <v>2</v>
      </c>
      <c r="I55" s="2" t="s">
        <v>41</v>
      </c>
      <c r="J55" s="2"/>
      <c r="K55" s="2" t="s">
        <v>211</v>
      </c>
      <c r="L55" s="2" t="s">
        <v>47</v>
      </c>
      <c r="M55" s="2"/>
      <c r="N55" s="2"/>
      <c r="O55" s="2" t="s">
        <v>212</v>
      </c>
    </row>
    <row r="56" customFormat="false" ht="15" hidden="false" customHeight="false" outlineLevel="0" collapsed="false">
      <c r="A56" s="2" t="s">
        <v>300</v>
      </c>
      <c r="B56" s="2" t="s">
        <v>34</v>
      </c>
      <c r="C56" s="2" t="s">
        <v>49</v>
      </c>
      <c r="D56" s="2" t="s">
        <v>36</v>
      </c>
      <c r="E56" s="2" t="s">
        <v>301</v>
      </c>
      <c r="F56" s="2" t="s">
        <v>73</v>
      </c>
      <c r="G56" s="2" t="s">
        <v>131</v>
      </c>
      <c r="H56" s="2" t="n">
        <v>2</v>
      </c>
      <c r="I56" s="2" t="s">
        <v>41</v>
      </c>
      <c r="J56" s="2"/>
      <c r="K56" s="2" t="s">
        <v>215</v>
      </c>
      <c r="L56" s="2" t="s">
        <v>47</v>
      </c>
      <c r="M56" s="2"/>
      <c r="N56" s="2"/>
      <c r="O56" s="2" t="s">
        <v>212</v>
      </c>
    </row>
    <row r="57" customFormat="false" ht="15" hidden="false" customHeight="false" outlineLevel="0" collapsed="false">
      <c r="A57" s="2" t="s">
        <v>300</v>
      </c>
      <c r="B57" s="2" t="s">
        <v>34</v>
      </c>
      <c r="C57" s="2" t="s">
        <v>49</v>
      </c>
      <c r="D57" s="2" t="s">
        <v>36</v>
      </c>
      <c r="E57" s="2" t="s">
        <v>301</v>
      </c>
      <c r="F57" s="2" t="s">
        <v>73</v>
      </c>
      <c r="G57" s="2" t="s">
        <v>129</v>
      </c>
      <c r="H57" s="2" t="n">
        <v>2</v>
      </c>
      <c r="I57" s="2" t="s">
        <v>41</v>
      </c>
      <c r="J57" s="2"/>
      <c r="K57" s="2" t="s">
        <v>215</v>
      </c>
      <c r="L57" s="2" t="s">
        <v>47</v>
      </c>
      <c r="M57" s="2"/>
      <c r="N57" s="2"/>
      <c r="O57" s="2" t="s">
        <v>212</v>
      </c>
    </row>
    <row r="58" customFormat="false" ht="15" hidden="false" customHeight="false" outlineLevel="0" collapsed="false">
      <c r="A58" s="2" t="s">
        <v>302</v>
      </c>
      <c r="B58" s="2" t="s">
        <v>34</v>
      </c>
      <c r="C58" s="2" t="s">
        <v>49</v>
      </c>
      <c r="D58" s="2" t="s">
        <v>36</v>
      </c>
      <c r="E58" s="2" t="s">
        <v>303</v>
      </c>
      <c r="F58" s="2" t="s">
        <v>75</v>
      </c>
      <c r="G58" s="2" t="s">
        <v>105</v>
      </c>
      <c r="H58" s="2" t="n">
        <v>1</v>
      </c>
      <c r="I58" s="2" t="s">
        <v>61</v>
      </c>
      <c r="J58" s="2"/>
      <c r="K58" s="2" t="s">
        <v>233</v>
      </c>
      <c r="L58" s="2" t="s">
        <v>47</v>
      </c>
      <c r="M58" s="2"/>
      <c r="N58" s="2"/>
      <c r="O58" s="2" t="s">
        <v>212</v>
      </c>
    </row>
    <row r="59" customFormat="false" ht="15" hidden="false" customHeight="false" outlineLevel="0" collapsed="false">
      <c r="A59" s="2" t="s">
        <v>304</v>
      </c>
      <c r="B59" s="2" t="s">
        <v>34</v>
      </c>
      <c r="C59" s="2" t="s">
        <v>49</v>
      </c>
      <c r="D59" s="2" t="s">
        <v>36</v>
      </c>
      <c r="E59" s="2" t="s">
        <v>305</v>
      </c>
      <c r="F59" s="2" t="s">
        <v>75</v>
      </c>
      <c r="G59" s="2" t="s">
        <v>133</v>
      </c>
      <c r="H59" s="2" t="n">
        <v>1</v>
      </c>
      <c r="I59" s="2" t="s">
        <v>61</v>
      </c>
      <c r="J59" s="2"/>
      <c r="K59" s="2" t="s">
        <v>211</v>
      </c>
      <c r="L59" s="2" t="s">
        <v>40</v>
      </c>
      <c r="M59" s="2"/>
      <c r="N59" s="2"/>
      <c r="O59" s="2" t="s">
        <v>212</v>
      </c>
    </row>
    <row r="60" customFormat="false" ht="15" hidden="false" customHeight="false" outlineLevel="0" collapsed="false">
      <c r="A60" s="2" t="s">
        <v>306</v>
      </c>
      <c r="B60" s="2" t="s">
        <v>34</v>
      </c>
      <c r="C60" s="2" t="s">
        <v>49</v>
      </c>
      <c r="D60" s="2" t="s">
        <v>36</v>
      </c>
      <c r="E60" s="2" t="s">
        <v>307</v>
      </c>
      <c r="F60" s="2" t="s">
        <v>69</v>
      </c>
      <c r="G60" s="2" t="s">
        <v>89</v>
      </c>
      <c r="H60" s="2" t="n">
        <v>1</v>
      </c>
      <c r="I60" s="2" t="s">
        <v>61</v>
      </c>
      <c r="J60" s="2"/>
      <c r="K60" s="2" t="s">
        <v>211</v>
      </c>
      <c r="L60" s="2" t="s">
        <v>40</v>
      </c>
      <c r="M60" s="2"/>
      <c r="N60" s="2"/>
      <c r="O60" s="2" t="s">
        <v>212</v>
      </c>
    </row>
    <row r="61" customFormat="false" ht="15" hidden="false" customHeight="false" outlineLevel="0" collapsed="false">
      <c r="A61" s="2" t="s">
        <v>308</v>
      </c>
      <c r="B61" s="2" t="s">
        <v>34</v>
      </c>
      <c r="C61" s="2" t="s">
        <v>49</v>
      </c>
      <c r="D61" s="2" t="s">
        <v>36</v>
      </c>
      <c r="E61" s="2" t="s">
        <v>309</v>
      </c>
      <c r="F61" s="2" t="s">
        <v>71</v>
      </c>
      <c r="G61" s="2" t="s">
        <v>122</v>
      </c>
      <c r="H61" s="2" t="n">
        <v>1</v>
      </c>
      <c r="I61" s="2" t="s">
        <v>61</v>
      </c>
      <c r="J61" s="2"/>
      <c r="K61" s="2" t="s">
        <v>211</v>
      </c>
      <c r="L61" s="2" t="s">
        <v>40</v>
      </c>
      <c r="M61" s="2"/>
      <c r="N61" s="2"/>
      <c r="O61" s="2" t="s">
        <v>212</v>
      </c>
    </row>
    <row r="62" customFormat="false" ht="15" hidden="false" customHeight="false" outlineLevel="0" collapsed="false">
      <c r="A62" s="2" t="s">
        <v>310</v>
      </c>
      <c r="B62" s="2" t="s">
        <v>34</v>
      </c>
      <c r="C62" s="2" t="s">
        <v>49</v>
      </c>
      <c r="D62" s="2" t="s">
        <v>36</v>
      </c>
      <c r="E62" s="2" t="s">
        <v>311</v>
      </c>
      <c r="F62" s="2" t="s">
        <v>52</v>
      </c>
      <c r="G62" s="2" t="s">
        <v>37</v>
      </c>
      <c r="H62" s="2" t="n">
        <v>2</v>
      </c>
      <c r="I62" s="2" t="s">
        <v>41</v>
      </c>
      <c r="J62" s="2"/>
      <c r="K62" s="2" t="s">
        <v>211</v>
      </c>
      <c r="L62" s="2" t="s">
        <v>40</v>
      </c>
      <c r="M62" s="2"/>
      <c r="N62" s="2"/>
      <c r="O62" s="2" t="s">
        <v>212</v>
      </c>
    </row>
    <row r="63" customFormat="false" ht="15" hidden="false" customHeight="false" outlineLevel="0" collapsed="false">
      <c r="A63" s="2" t="s">
        <v>310</v>
      </c>
      <c r="B63" s="2" t="s">
        <v>34</v>
      </c>
      <c r="C63" s="2" t="s">
        <v>49</v>
      </c>
      <c r="D63" s="2" t="s">
        <v>36</v>
      </c>
      <c r="E63" s="2" t="s">
        <v>311</v>
      </c>
      <c r="F63" s="2" t="s">
        <v>52</v>
      </c>
      <c r="G63" s="2" t="s">
        <v>90</v>
      </c>
      <c r="H63" s="2" t="n">
        <v>2</v>
      </c>
      <c r="I63" s="2" t="s">
        <v>41</v>
      </c>
      <c r="J63" s="2"/>
      <c r="K63" s="2" t="s">
        <v>211</v>
      </c>
      <c r="L63" s="2" t="s">
        <v>40</v>
      </c>
      <c r="M63" s="2"/>
      <c r="N63" s="2"/>
      <c r="O63" s="2" t="s">
        <v>212</v>
      </c>
    </row>
    <row r="64" customFormat="false" ht="15" hidden="false" customHeight="false" outlineLevel="0" collapsed="false">
      <c r="A64" s="2" t="s">
        <v>312</v>
      </c>
      <c r="B64" s="2" t="s">
        <v>34</v>
      </c>
      <c r="C64" s="2" t="s">
        <v>49</v>
      </c>
      <c r="D64" s="2" t="s">
        <v>36</v>
      </c>
      <c r="E64" s="2" t="s">
        <v>313</v>
      </c>
      <c r="F64" s="2" t="s">
        <v>69</v>
      </c>
      <c r="G64" s="2" t="s">
        <v>104</v>
      </c>
      <c r="H64" s="2" t="n">
        <v>1</v>
      </c>
      <c r="I64" s="2" t="s">
        <v>61</v>
      </c>
      <c r="J64" s="2"/>
      <c r="K64" s="2" t="s">
        <v>215</v>
      </c>
      <c r="L64" s="2" t="s">
        <v>47</v>
      </c>
      <c r="M64" s="2"/>
      <c r="N64" s="2"/>
      <c r="O64" s="2" t="s">
        <v>212</v>
      </c>
    </row>
    <row r="65" customFormat="false" ht="15" hidden="false" customHeight="false" outlineLevel="0" collapsed="false">
      <c r="A65" s="2" t="s">
        <v>314</v>
      </c>
      <c r="B65" s="2" t="s">
        <v>34</v>
      </c>
      <c r="C65" s="2" t="s">
        <v>49</v>
      </c>
      <c r="D65" s="2" t="s">
        <v>36</v>
      </c>
      <c r="E65" s="2" t="s">
        <v>315</v>
      </c>
      <c r="F65" s="2" t="s">
        <v>58</v>
      </c>
      <c r="G65" s="2" t="s">
        <v>92</v>
      </c>
      <c r="H65" s="2" t="n">
        <v>1</v>
      </c>
      <c r="I65" s="2" t="s">
        <v>61</v>
      </c>
      <c r="J65" s="2"/>
      <c r="K65" s="2" t="s">
        <v>211</v>
      </c>
      <c r="L65" s="2" t="s">
        <v>47</v>
      </c>
      <c r="M65" s="2"/>
      <c r="N65" s="2"/>
      <c r="O65" s="2" t="s">
        <v>212</v>
      </c>
    </row>
    <row r="66" customFormat="false" ht="15" hidden="false" customHeight="false" outlineLevel="0" collapsed="false">
      <c r="A66" s="2" t="s">
        <v>316</v>
      </c>
      <c r="B66" s="2" t="s">
        <v>34</v>
      </c>
      <c r="C66" s="2" t="s">
        <v>49</v>
      </c>
      <c r="D66" s="2" t="s">
        <v>36</v>
      </c>
      <c r="E66" s="2" t="s">
        <v>317</v>
      </c>
      <c r="F66" s="2" t="s">
        <v>58</v>
      </c>
      <c r="G66" s="2" t="s">
        <v>95</v>
      </c>
      <c r="H66" s="2" t="n">
        <v>2</v>
      </c>
      <c r="I66" s="2" t="s">
        <v>41</v>
      </c>
      <c r="J66" s="2"/>
      <c r="K66" s="2" t="s">
        <v>215</v>
      </c>
      <c r="L66" s="2" t="s">
        <v>40</v>
      </c>
      <c r="M66" s="2"/>
      <c r="N66" s="2"/>
      <c r="O66" s="2" t="s">
        <v>212</v>
      </c>
    </row>
    <row r="67" customFormat="false" ht="15" hidden="false" customHeight="false" outlineLevel="0" collapsed="false">
      <c r="A67" s="2" t="s">
        <v>316</v>
      </c>
      <c r="B67" s="2" t="s">
        <v>34</v>
      </c>
      <c r="C67" s="2" t="s">
        <v>49</v>
      </c>
      <c r="D67" s="2" t="s">
        <v>36</v>
      </c>
      <c r="E67" s="2" t="s">
        <v>317</v>
      </c>
      <c r="F67" s="2" t="s">
        <v>58</v>
      </c>
      <c r="G67" s="2" t="s">
        <v>130</v>
      </c>
      <c r="H67" s="2" t="n">
        <v>2</v>
      </c>
      <c r="I67" s="2" t="s">
        <v>41</v>
      </c>
      <c r="J67" s="2"/>
      <c r="K67" s="2" t="s">
        <v>215</v>
      </c>
      <c r="L67" s="2" t="s">
        <v>40</v>
      </c>
      <c r="M67" s="2"/>
      <c r="N67" s="2"/>
      <c r="O67" s="2" t="s">
        <v>212</v>
      </c>
    </row>
    <row r="68" customFormat="false" ht="15" hidden="false" customHeight="false" outlineLevel="0" collapsed="false">
      <c r="A68" s="2" t="s">
        <v>318</v>
      </c>
      <c r="B68" s="2" t="s">
        <v>34</v>
      </c>
      <c r="C68" s="2" t="s">
        <v>49</v>
      </c>
      <c r="D68" s="2" t="s">
        <v>36</v>
      </c>
      <c r="E68" s="2" t="s">
        <v>319</v>
      </c>
      <c r="F68" s="2" t="s">
        <v>58</v>
      </c>
      <c r="G68" s="2" t="s">
        <v>97</v>
      </c>
      <c r="H68" s="2" t="n">
        <v>1</v>
      </c>
      <c r="I68" s="2" t="s">
        <v>61</v>
      </c>
      <c r="J68" s="2"/>
      <c r="K68" s="2" t="s">
        <v>211</v>
      </c>
      <c r="L68" s="2" t="s">
        <v>40</v>
      </c>
      <c r="M68" s="2"/>
      <c r="N68" s="2"/>
      <c r="O68" s="2" t="s">
        <v>212</v>
      </c>
    </row>
    <row r="69" customFormat="false" ht="23.85" hidden="false" customHeight="false" outlineLevel="0" collapsed="false">
      <c r="A69" s="2" t="s">
        <v>320</v>
      </c>
      <c r="B69" s="2" t="s">
        <v>34</v>
      </c>
      <c r="C69" s="2" t="s">
        <v>49</v>
      </c>
      <c r="D69" s="2" t="s">
        <v>36</v>
      </c>
      <c r="E69" s="2" t="s">
        <v>321</v>
      </c>
      <c r="F69" s="2" t="s">
        <v>75</v>
      </c>
      <c r="G69" s="2" t="s">
        <v>95</v>
      </c>
      <c r="H69" s="2" t="n">
        <v>1</v>
      </c>
      <c r="I69" s="2" t="s">
        <v>61</v>
      </c>
      <c r="J69" s="2"/>
      <c r="K69" s="2" t="s">
        <v>211</v>
      </c>
      <c r="L69" s="2" t="s">
        <v>40</v>
      </c>
      <c r="M69" s="2"/>
      <c r="N69" s="2"/>
      <c r="O69" s="2" t="s">
        <v>212</v>
      </c>
    </row>
    <row r="70" customFormat="false" ht="15" hidden="false" customHeight="false" outlineLevel="0" collapsed="false">
      <c r="A70" s="2" t="s">
        <v>322</v>
      </c>
      <c r="B70" s="2" t="s">
        <v>34</v>
      </c>
      <c r="C70" s="2" t="s">
        <v>49</v>
      </c>
      <c r="D70" s="2" t="s">
        <v>36</v>
      </c>
      <c r="E70" s="2" t="s">
        <v>323</v>
      </c>
      <c r="F70" s="2" t="s">
        <v>75</v>
      </c>
      <c r="G70" s="2" t="s">
        <v>140</v>
      </c>
      <c r="H70" s="2" t="n">
        <v>1</v>
      </c>
      <c r="I70" s="2" t="s">
        <v>61</v>
      </c>
      <c r="J70" s="2"/>
      <c r="K70" s="2" t="s">
        <v>233</v>
      </c>
      <c r="L70" s="2" t="s">
        <v>40</v>
      </c>
      <c r="M70" s="2"/>
      <c r="N70" s="2"/>
      <c r="O70" s="2" t="s">
        <v>212</v>
      </c>
    </row>
    <row r="71" customFormat="false" ht="15" hidden="false" customHeight="false" outlineLevel="0" collapsed="false">
      <c r="A71" s="2" t="s">
        <v>324</v>
      </c>
      <c r="B71" s="2" t="s">
        <v>34</v>
      </c>
      <c r="C71" s="2" t="s">
        <v>49</v>
      </c>
      <c r="D71" s="2" t="s">
        <v>36</v>
      </c>
      <c r="E71" s="2" t="s">
        <v>325</v>
      </c>
      <c r="F71" s="2" t="s">
        <v>66</v>
      </c>
      <c r="G71" s="2" t="s">
        <v>102</v>
      </c>
      <c r="H71" s="2" t="n">
        <v>1</v>
      </c>
      <c r="I71" s="2" t="s">
        <v>61</v>
      </c>
      <c r="J71" s="2"/>
      <c r="K71" s="2" t="s">
        <v>230</v>
      </c>
      <c r="L71" s="2" t="s">
        <v>40</v>
      </c>
      <c r="M71" s="2"/>
      <c r="N71" s="2"/>
      <c r="O71" s="2" t="s">
        <v>212</v>
      </c>
    </row>
    <row r="72" customFormat="false" ht="15" hidden="false" customHeight="false" outlineLevel="0" collapsed="false">
      <c r="A72" s="2" t="s">
        <v>326</v>
      </c>
      <c r="B72" s="2" t="s">
        <v>34</v>
      </c>
      <c r="C72" s="2" t="s">
        <v>49</v>
      </c>
      <c r="D72" s="2" t="s">
        <v>36</v>
      </c>
      <c r="E72" s="2" t="s">
        <v>327</v>
      </c>
      <c r="F72" s="2" t="s">
        <v>69</v>
      </c>
      <c r="G72" s="2" t="s">
        <v>109</v>
      </c>
      <c r="H72" s="2" t="n">
        <v>1</v>
      </c>
      <c r="I72" s="2" t="s">
        <v>61</v>
      </c>
      <c r="J72" s="2"/>
      <c r="K72" s="2" t="s">
        <v>233</v>
      </c>
      <c r="L72" s="2" t="s">
        <v>40</v>
      </c>
      <c r="M72" s="2"/>
      <c r="N72" s="2"/>
      <c r="O72" s="2" t="s">
        <v>212</v>
      </c>
    </row>
    <row r="73" customFormat="false" ht="15" hidden="false" customHeight="false" outlineLevel="0" collapsed="false">
      <c r="A73" s="2" t="s">
        <v>328</v>
      </c>
      <c r="B73" s="2" t="s">
        <v>34</v>
      </c>
      <c r="C73" s="2" t="s">
        <v>49</v>
      </c>
      <c r="D73" s="2" t="s">
        <v>36</v>
      </c>
      <c r="E73" s="2" t="s">
        <v>329</v>
      </c>
      <c r="F73" s="2" t="s">
        <v>75</v>
      </c>
      <c r="G73" s="2" t="s">
        <v>147</v>
      </c>
      <c r="H73" s="2" t="n">
        <v>1</v>
      </c>
      <c r="I73" s="2" t="s">
        <v>61</v>
      </c>
      <c r="J73" s="2"/>
      <c r="K73" s="2" t="s">
        <v>233</v>
      </c>
      <c r="L73" s="2" t="s">
        <v>40</v>
      </c>
      <c r="M73" s="2"/>
      <c r="N73" s="2"/>
      <c r="O73" s="2" t="s">
        <v>212</v>
      </c>
    </row>
    <row r="74" customFormat="false" ht="15" hidden="false" customHeight="false" outlineLevel="0" collapsed="false">
      <c r="A74" s="2" t="s">
        <v>330</v>
      </c>
      <c r="B74" s="2" t="s">
        <v>34</v>
      </c>
      <c r="C74" s="2" t="s">
        <v>49</v>
      </c>
      <c r="D74" s="2" t="s">
        <v>36</v>
      </c>
      <c r="E74" s="2" t="s">
        <v>331</v>
      </c>
      <c r="F74" s="2" t="s">
        <v>75</v>
      </c>
      <c r="G74" s="2" t="s">
        <v>145</v>
      </c>
      <c r="H74" s="2" t="n">
        <v>1</v>
      </c>
      <c r="I74" s="2" t="s">
        <v>61</v>
      </c>
      <c r="J74" s="2"/>
      <c r="K74" s="2" t="s">
        <v>233</v>
      </c>
      <c r="L74" s="2" t="s">
        <v>40</v>
      </c>
      <c r="M74" s="2"/>
      <c r="N74" s="2"/>
      <c r="O74" s="2" t="s">
        <v>212</v>
      </c>
    </row>
    <row r="75" customFormat="false" ht="15" hidden="false" customHeight="false" outlineLevel="0" collapsed="false">
      <c r="A75" s="2" t="s">
        <v>332</v>
      </c>
      <c r="B75" s="2" t="s">
        <v>34</v>
      </c>
      <c r="C75" s="2" t="s">
        <v>49</v>
      </c>
      <c r="D75" s="2" t="s">
        <v>36</v>
      </c>
      <c r="E75" s="2" t="s">
        <v>333</v>
      </c>
      <c r="F75" s="2" t="s">
        <v>71</v>
      </c>
      <c r="G75" s="2" t="s">
        <v>126</v>
      </c>
      <c r="H75" s="2" t="n">
        <v>1</v>
      </c>
      <c r="I75" s="2" t="s">
        <v>61</v>
      </c>
      <c r="J75" s="2"/>
      <c r="K75" s="2" t="s">
        <v>211</v>
      </c>
      <c r="L75" s="2" t="s">
        <v>40</v>
      </c>
      <c r="M75" s="2"/>
      <c r="N75" s="2"/>
      <c r="O75" s="2" t="s">
        <v>212</v>
      </c>
    </row>
    <row r="76" customFormat="false" ht="15" hidden="false" customHeight="false" outlineLevel="0" collapsed="false">
      <c r="A76" s="2" t="s">
        <v>334</v>
      </c>
      <c r="B76" s="2" t="s">
        <v>34</v>
      </c>
      <c r="C76" s="2" t="s">
        <v>49</v>
      </c>
      <c r="D76" s="2" t="s">
        <v>36</v>
      </c>
      <c r="E76" s="2" t="s">
        <v>335</v>
      </c>
      <c r="F76" s="2" t="s">
        <v>73</v>
      </c>
      <c r="G76" s="2" t="s">
        <v>129</v>
      </c>
      <c r="H76" s="2" t="n">
        <v>1</v>
      </c>
      <c r="I76" s="2" t="s">
        <v>61</v>
      </c>
      <c r="J76" s="2"/>
      <c r="K76" s="2" t="s">
        <v>215</v>
      </c>
      <c r="L76" s="2" t="s">
        <v>47</v>
      </c>
      <c r="M76" s="2"/>
      <c r="N76" s="2"/>
      <c r="O76" s="2" t="s">
        <v>212</v>
      </c>
    </row>
    <row r="77" customFormat="false" ht="15" hidden="false" customHeight="false" outlineLevel="0" collapsed="false">
      <c r="A77" s="2" t="s">
        <v>336</v>
      </c>
      <c r="B77" s="2" t="s">
        <v>34</v>
      </c>
      <c r="C77" s="2" t="s">
        <v>42</v>
      </c>
      <c r="D77" s="2" t="s">
        <v>43</v>
      </c>
      <c r="E77" s="2" t="s">
        <v>210</v>
      </c>
      <c r="F77" s="2" t="s">
        <v>69</v>
      </c>
      <c r="G77" s="2" t="s">
        <v>119</v>
      </c>
      <c r="H77" s="2" t="n">
        <v>1</v>
      </c>
      <c r="I77" s="2" t="s">
        <v>61</v>
      </c>
      <c r="J77" s="2"/>
      <c r="K77" s="2" t="s">
        <v>230</v>
      </c>
      <c r="L77" s="2" t="s">
        <v>54</v>
      </c>
      <c r="M77" s="2"/>
      <c r="N77" s="2"/>
      <c r="O77" s="2" t="s">
        <v>212</v>
      </c>
    </row>
    <row r="78" customFormat="false" ht="15" hidden="false" customHeight="false" outlineLevel="0" collapsed="false">
      <c r="A78" s="2" t="s">
        <v>337</v>
      </c>
      <c r="B78" s="2" t="s">
        <v>34</v>
      </c>
      <c r="C78" s="2" t="s">
        <v>42</v>
      </c>
      <c r="D78" s="2" t="s">
        <v>43</v>
      </c>
      <c r="E78" s="2" t="s">
        <v>219</v>
      </c>
      <c r="F78" s="2" t="s">
        <v>66</v>
      </c>
      <c r="G78" s="2" t="s">
        <v>142</v>
      </c>
      <c r="H78" s="2" t="n">
        <v>2</v>
      </c>
      <c r="I78" s="2" t="s">
        <v>41</v>
      </c>
      <c r="J78" s="2"/>
      <c r="K78" s="2" t="s">
        <v>230</v>
      </c>
      <c r="L78" s="2" t="s">
        <v>47</v>
      </c>
      <c r="M78" s="2"/>
      <c r="N78" s="2"/>
      <c r="O78" s="2" t="s">
        <v>212</v>
      </c>
    </row>
    <row r="79" customFormat="false" ht="15" hidden="false" customHeight="false" outlineLevel="0" collapsed="false">
      <c r="A79" s="2" t="s">
        <v>337</v>
      </c>
      <c r="B79" s="2" t="s">
        <v>34</v>
      </c>
      <c r="C79" s="2" t="s">
        <v>42</v>
      </c>
      <c r="D79" s="2" t="s">
        <v>43</v>
      </c>
      <c r="E79" s="2" t="s">
        <v>219</v>
      </c>
      <c r="F79" s="2" t="s">
        <v>66</v>
      </c>
      <c r="G79" s="2" t="s">
        <v>104</v>
      </c>
      <c r="H79" s="2" t="n">
        <v>2</v>
      </c>
      <c r="I79" s="2" t="s">
        <v>41</v>
      </c>
      <c r="J79" s="2"/>
      <c r="K79" s="2" t="s">
        <v>230</v>
      </c>
      <c r="L79" s="2" t="s">
        <v>47</v>
      </c>
      <c r="M79" s="2"/>
      <c r="N79" s="2"/>
      <c r="O79" s="2" t="s">
        <v>212</v>
      </c>
    </row>
    <row r="80" customFormat="false" ht="15" hidden="false" customHeight="false" outlineLevel="0" collapsed="false">
      <c r="A80" s="2" t="s">
        <v>338</v>
      </c>
      <c r="B80" s="2" t="s">
        <v>34</v>
      </c>
      <c r="C80" s="2" t="s">
        <v>42</v>
      </c>
      <c r="D80" s="2" t="s">
        <v>43</v>
      </c>
      <c r="E80" s="2" t="s">
        <v>339</v>
      </c>
      <c r="F80" s="2" t="s">
        <v>52</v>
      </c>
      <c r="G80" s="2" t="s">
        <v>90</v>
      </c>
      <c r="H80" s="2" t="n">
        <v>2</v>
      </c>
      <c r="I80" s="2" t="s">
        <v>41</v>
      </c>
      <c r="J80" s="2"/>
      <c r="K80" s="2" t="s">
        <v>215</v>
      </c>
      <c r="L80" s="2" t="s">
        <v>47</v>
      </c>
      <c r="M80" s="2"/>
      <c r="N80" s="2"/>
      <c r="O80" s="2" t="s">
        <v>212</v>
      </c>
    </row>
    <row r="81" customFormat="false" ht="15" hidden="false" customHeight="false" outlineLevel="0" collapsed="false">
      <c r="A81" s="2" t="s">
        <v>338</v>
      </c>
      <c r="B81" s="2" t="s">
        <v>34</v>
      </c>
      <c r="C81" s="2" t="s">
        <v>42</v>
      </c>
      <c r="D81" s="2" t="s">
        <v>43</v>
      </c>
      <c r="E81" s="2" t="s">
        <v>339</v>
      </c>
      <c r="F81" s="2" t="s">
        <v>52</v>
      </c>
      <c r="G81" s="2" t="s">
        <v>142</v>
      </c>
      <c r="H81" s="2" t="n">
        <v>2</v>
      </c>
      <c r="I81" s="2" t="s">
        <v>41</v>
      </c>
      <c r="J81" s="2"/>
      <c r="K81" s="2" t="s">
        <v>215</v>
      </c>
      <c r="L81" s="2" t="s">
        <v>47</v>
      </c>
      <c r="M81" s="2"/>
      <c r="N81" s="2"/>
      <c r="O81" s="2" t="s">
        <v>212</v>
      </c>
    </row>
    <row r="82" customFormat="false" ht="15" hidden="false" customHeight="false" outlineLevel="0" collapsed="false">
      <c r="A82" s="2" t="s">
        <v>340</v>
      </c>
      <c r="B82" s="2" t="s">
        <v>34</v>
      </c>
      <c r="C82" s="2" t="s">
        <v>42</v>
      </c>
      <c r="D82" s="2" t="s">
        <v>43</v>
      </c>
      <c r="E82" s="2" t="s">
        <v>221</v>
      </c>
      <c r="F82" s="2" t="s">
        <v>75</v>
      </c>
      <c r="G82" s="2" t="s">
        <v>141</v>
      </c>
      <c r="H82" s="2" t="n">
        <v>1</v>
      </c>
      <c r="I82" s="2" t="s">
        <v>61</v>
      </c>
      <c r="J82" s="2"/>
      <c r="K82" s="2" t="s">
        <v>215</v>
      </c>
      <c r="L82" s="2" t="s">
        <v>40</v>
      </c>
      <c r="M82" s="2"/>
      <c r="N82" s="2"/>
      <c r="O82" s="2" t="s">
        <v>212</v>
      </c>
    </row>
    <row r="83" customFormat="false" ht="15" hidden="false" customHeight="false" outlineLevel="0" collapsed="false">
      <c r="A83" s="2" t="s">
        <v>341</v>
      </c>
      <c r="B83" s="2" t="s">
        <v>34</v>
      </c>
      <c r="C83" s="2" t="s">
        <v>42</v>
      </c>
      <c r="D83" s="2" t="s">
        <v>43</v>
      </c>
      <c r="E83" s="2" t="s">
        <v>342</v>
      </c>
      <c r="F83" s="2" t="s">
        <v>66</v>
      </c>
      <c r="G83" s="2" t="s">
        <v>141</v>
      </c>
      <c r="H83" s="2" t="n">
        <v>2</v>
      </c>
      <c r="I83" s="2" t="s">
        <v>41</v>
      </c>
      <c r="J83" s="2"/>
      <c r="K83" s="2" t="s">
        <v>215</v>
      </c>
      <c r="L83" s="2" t="s">
        <v>40</v>
      </c>
      <c r="M83" s="2"/>
      <c r="N83" s="2"/>
      <c r="O83" s="2" t="s">
        <v>212</v>
      </c>
    </row>
    <row r="84" customFormat="false" ht="15" hidden="false" customHeight="false" outlineLevel="0" collapsed="false">
      <c r="A84" s="2" t="s">
        <v>341</v>
      </c>
      <c r="B84" s="2" t="s">
        <v>34</v>
      </c>
      <c r="C84" s="2" t="s">
        <v>42</v>
      </c>
      <c r="D84" s="2" t="s">
        <v>43</v>
      </c>
      <c r="E84" s="2" t="s">
        <v>342</v>
      </c>
      <c r="F84" s="2" t="s">
        <v>66</v>
      </c>
      <c r="G84" s="2" t="s">
        <v>106</v>
      </c>
      <c r="H84" s="2" t="n">
        <v>2</v>
      </c>
      <c r="I84" s="2" t="s">
        <v>41</v>
      </c>
      <c r="J84" s="2"/>
      <c r="K84" s="2" t="s">
        <v>215</v>
      </c>
      <c r="L84" s="2" t="s">
        <v>40</v>
      </c>
      <c r="M84" s="2"/>
      <c r="N84" s="2"/>
      <c r="O84" s="2" t="s">
        <v>212</v>
      </c>
    </row>
    <row r="85" customFormat="false" ht="15" hidden="false" customHeight="false" outlineLevel="0" collapsed="false">
      <c r="A85" s="2" t="s">
        <v>343</v>
      </c>
      <c r="B85" s="2" t="s">
        <v>34</v>
      </c>
      <c r="C85" s="2" t="s">
        <v>42</v>
      </c>
      <c r="D85" s="2" t="s">
        <v>43</v>
      </c>
      <c r="E85" s="2" t="s">
        <v>223</v>
      </c>
      <c r="F85" s="2" t="s">
        <v>69</v>
      </c>
      <c r="G85" s="2" t="s">
        <v>106</v>
      </c>
      <c r="H85" s="2" t="n">
        <v>1</v>
      </c>
      <c r="I85" s="2" t="s">
        <v>61</v>
      </c>
      <c r="J85" s="2"/>
      <c r="K85" s="2" t="s">
        <v>215</v>
      </c>
      <c r="L85" s="2" t="s">
        <v>40</v>
      </c>
      <c r="M85" s="2"/>
      <c r="N85" s="2"/>
      <c r="O85" s="2" t="s">
        <v>212</v>
      </c>
    </row>
    <row r="86" customFormat="false" ht="15" hidden="false" customHeight="false" outlineLevel="0" collapsed="false">
      <c r="A86" s="2" t="s">
        <v>344</v>
      </c>
      <c r="B86" s="2" t="s">
        <v>34</v>
      </c>
      <c r="C86" s="2" t="s">
        <v>42</v>
      </c>
      <c r="D86" s="2" t="s">
        <v>43</v>
      </c>
      <c r="E86" s="2" t="s">
        <v>345</v>
      </c>
      <c r="F86" s="2" t="s">
        <v>69</v>
      </c>
      <c r="G86" s="2" t="s">
        <v>106</v>
      </c>
      <c r="H86" s="2" t="n">
        <v>1</v>
      </c>
      <c r="I86" s="2" t="s">
        <v>61</v>
      </c>
      <c r="J86" s="2"/>
      <c r="K86" s="2" t="s">
        <v>215</v>
      </c>
      <c r="L86" s="2" t="s">
        <v>40</v>
      </c>
      <c r="M86" s="2"/>
      <c r="N86" s="2"/>
      <c r="O86" s="2" t="s">
        <v>212</v>
      </c>
    </row>
    <row r="87" customFormat="false" ht="15" hidden="false" customHeight="false" outlineLevel="0" collapsed="false">
      <c r="A87" s="2" t="s">
        <v>346</v>
      </c>
      <c r="B87" s="2" t="s">
        <v>34</v>
      </c>
      <c r="C87" s="2" t="s">
        <v>42</v>
      </c>
      <c r="D87" s="2" t="s">
        <v>43</v>
      </c>
      <c r="E87" s="2" t="s">
        <v>225</v>
      </c>
      <c r="F87" s="2" t="s">
        <v>75</v>
      </c>
      <c r="G87" s="2" t="s">
        <v>141</v>
      </c>
      <c r="H87" s="2" t="n">
        <v>2</v>
      </c>
      <c r="I87" s="2" t="s">
        <v>41</v>
      </c>
      <c r="J87" s="2"/>
      <c r="K87" s="2" t="s">
        <v>215</v>
      </c>
      <c r="L87" s="2" t="s">
        <v>40</v>
      </c>
      <c r="M87" s="2"/>
      <c r="N87" s="2"/>
      <c r="O87" s="2" t="s">
        <v>212</v>
      </c>
    </row>
    <row r="88" customFormat="false" ht="15" hidden="false" customHeight="false" outlineLevel="0" collapsed="false">
      <c r="A88" s="2" t="s">
        <v>346</v>
      </c>
      <c r="B88" s="2" t="s">
        <v>34</v>
      </c>
      <c r="C88" s="2" t="s">
        <v>42</v>
      </c>
      <c r="D88" s="2" t="s">
        <v>43</v>
      </c>
      <c r="E88" s="2" t="s">
        <v>225</v>
      </c>
      <c r="F88" s="2" t="s">
        <v>75</v>
      </c>
      <c r="G88" s="2" t="s">
        <v>98</v>
      </c>
      <c r="H88" s="2" t="n">
        <v>2</v>
      </c>
      <c r="I88" s="2" t="s">
        <v>41</v>
      </c>
      <c r="J88" s="2"/>
      <c r="K88" s="2" t="s">
        <v>215</v>
      </c>
      <c r="L88" s="2" t="s">
        <v>40</v>
      </c>
      <c r="M88" s="2"/>
      <c r="N88" s="2"/>
      <c r="O88" s="2" t="s">
        <v>212</v>
      </c>
    </row>
    <row r="89" customFormat="false" ht="15" hidden="false" customHeight="false" outlineLevel="0" collapsed="false">
      <c r="A89" s="2" t="s">
        <v>347</v>
      </c>
      <c r="B89" s="2" t="s">
        <v>34</v>
      </c>
      <c r="C89" s="2" t="s">
        <v>42</v>
      </c>
      <c r="D89" s="2" t="s">
        <v>43</v>
      </c>
      <c r="E89" s="2" t="s">
        <v>229</v>
      </c>
      <c r="F89" s="2" t="s">
        <v>45</v>
      </c>
      <c r="G89" s="2" t="s">
        <v>74</v>
      </c>
      <c r="H89" s="2" t="n">
        <v>1</v>
      </c>
      <c r="I89" s="2" t="s">
        <v>61</v>
      </c>
      <c r="J89" s="2"/>
      <c r="K89" s="2" t="s">
        <v>215</v>
      </c>
      <c r="L89" s="2" t="s">
        <v>47</v>
      </c>
      <c r="M89" s="2"/>
      <c r="N89" s="2"/>
      <c r="O89" s="2" t="s">
        <v>212</v>
      </c>
    </row>
    <row r="90" customFormat="false" ht="15" hidden="false" customHeight="false" outlineLevel="0" collapsed="false">
      <c r="A90" s="2" t="s">
        <v>348</v>
      </c>
      <c r="B90" s="2" t="s">
        <v>34</v>
      </c>
      <c r="C90" s="2" t="s">
        <v>42</v>
      </c>
      <c r="D90" s="2" t="s">
        <v>43</v>
      </c>
      <c r="E90" s="2" t="s">
        <v>232</v>
      </c>
      <c r="F90" s="2" t="s">
        <v>45</v>
      </c>
      <c r="G90" s="2" t="s">
        <v>70</v>
      </c>
      <c r="H90" s="2" t="n">
        <v>1</v>
      </c>
      <c r="I90" s="2" t="s">
        <v>61</v>
      </c>
      <c r="J90" s="2"/>
      <c r="K90" s="2" t="s">
        <v>215</v>
      </c>
      <c r="L90" s="2" t="s">
        <v>47</v>
      </c>
      <c r="M90" s="2"/>
      <c r="N90" s="2"/>
      <c r="O90" s="2" t="s">
        <v>212</v>
      </c>
    </row>
    <row r="91" customFormat="false" ht="15" hidden="false" customHeight="false" outlineLevel="0" collapsed="false">
      <c r="A91" s="2" t="s">
        <v>349</v>
      </c>
      <c r="B91" s="2" t="s">
        <v>34</v>
      </c>
      <c r="C91" s="2" t="s">
        <v>42</v>
      </c>
      <c r="D91" s="2" t="s">
        <v>43</v>
      </c>
      <c r="E91" s="2" t="s">
        <v>243</v>
      </c>
      <c r="F91" s="2" t="s">
        <v>45</v>
      </c>
      <c r="G91" s="2" t="s">
        <v>96</v>
      </c>
      <c r="H91" s="2" t="n">
        <v>1</v>
      </c>
      <c r="I91" s="2" t="s">
        <v>61</v>
      </c>
      <c r="J91" s="2"/>
      <c r="K91" s="2" t="s">
        <v>215</v>
      </c>
      <c r="L91" s="2" t="s">
        <v>47</v>
      </c>
      <c r="M91" s="2"/>
      <c r="N91" s="2"/>
      <c r="O91" s="2" t="s">
        <v>212</v>
      </c>
    </row>
    <row r="92" customFormat="false" ht="15" hidden="false" customHeight="false" outlineLevel="0" collapsed="false">
      <c r="A92" s="2" t="s">
        <v>350</v>
      </c>
      <c r="B92" s="2" t="s">
        <v>34</v>
      </c>
      <c r="C92" s="2" t="s">
        <v>42</v>
      </c>
      <c r="D92" s="2" t="s">
        <v>43</v>
      </c>
      <c r="E92" s="2" t="s">
        <v>351</v>
      </c>
      <c r="F92" s="2" t="s">
        <v>69</v>
      </c>
      <c r="G92" s="2" t="s">
        <v>110</v>
      </c>
      <c r="H92" s="2" t="n">
        <v>2</v>
      </c>
      <c r="I92" s="2" t="s">
        <v>41</v>
      </c>
      <c r="J92" s="2"/>
      <c r="K92" s="2" t="s">
        <v>215</v>
      </c>
      <c r="L92" s="2" t="s">
        <v>40</v>
      </c>
      <c r="M92" s="2"/>
      <c r="N92" s="2"/>
      <c r="O92" s="2" t="s">
        <v>212</v>
      </c>
    </row>
    <row r="93" customFormat="false" ht="15" hidden="false" customHeight="false" outlineLevel="0" collapsed="false">
      <c r="A93" s="2" t="s">
        <v>350</v>
      </c>
      <c r="B93" s="2" t="s">
        <v>34</v>
      </c>
      <c r="C93" s="2" t="s">
        <v>42</v>
      </c>
      <c r="D93" s="2" t="s">
        <v>43</v>
      </c>
      <c r="E93" s="2" t="s">
        <v>351</v>
      </c>
      <c r="F93" s="2" t="s">
        <v>69</v>
      </c>
      <c r="G93" s="2" t="s">
        <v>101</v>
      </c>
      <c r="H93" s="2" t="n">
        <v>2</v>
      </c>
      <c r="I93" s="2" t="s">
        <v>41</v>
      </c>
      <c r="J93" s="2"/>
      <c r="K93" s="2" t="s">
        <v>215</v>
      </c>
      <c r="L93" s="2" t="s">
        <v>40</v>
      </c>
      <c r="M93" s="2"/>
      <c r="N93" s="2"/>
      <c r="O93" s="2" t="s">
        <v>212</v>
      </c>
    </row>
    <row r="94" customFormat="false" ht="15" hidden="false" customHeight="false" outlineLevel="0" collapsed="false">
      <c r="A94" s="2" t="s">
        <v>352</v>
      </c>
      <c r="B94" s="2" t="s">
        <v>34</v>
      </c>
      <c r="C94" s="2" t="s">
        <v>42</v>
      </c>
      <c r="D94" s="2" t="s">
        <v>43</v>
      </c>
      <c r="E94" s="2" t="s">
        <v>353</v>
      </c>
      <c r="F94" s="2" t="s">
        <v>45</v>
      </c>
      <c r="G94" s="2" t="s">
        <v>51</v>
      </c>
      <c r="H94" s="2" t="n">
        <v>3</v>
      </c>
      <c r="I94" s="2" t="s">
        <v>41</v>
      </c>
      <c r="J94" s="2"/>
      <c r="K94" s="2" t="s">
        <v>215</v>
      </c>
      <c r="L94" s="2" t="s">
        <v>40</v>
      </c>
      <c r="M94" s="2"/>
      <c r="N94" s="2"/>
      <c r="O94" s="2" t="s">
        <v>212</v>
      </c>
    </row>
    <row r="95" customFormat="false" ht="15" hidden="false" customHeight="false" outlineLevel="0" collapsed="false">
      <c r="A95" s="2" t="s">
        <v>352</v>
      </c>
      <c r="B95" s="2" t="s">
        <v>34</v>
      </c>
      <c r="C95" s="2" t="s">
        <v>42</v>
      </c>
      <c r="D95" s="2" t="s">
        <v>43</v>
      </c>
      <c r="E95" s="2" t="s">
        <v>353</v>
      </c>
      <c r="F95" s="2" t="s">
        <v>45</v>
      </c>
      <c r="G95" s="2" t="s">
        <v>85</v>
      </c>
      <c r="H95" s="2" t="n">
        <v>3</v>
      </c>
      <c r="I95" s="2" t="s">
        <v>41</v>
      </c>
      <c r="J95" s="2"/>
      <c r="K95" s="2" t="s">
        <v>215</v>
      </c>
      <c r="L95" s="2" t="s">
        <v>40</v>
      </c>
      <c r="M95" s="2"/>
      <c r="N95" s="2"/>
      <c r="O95" s="2" t="s">
        <v>212</v>
      </c>
    </row>
    <row r="96" customFormat="false" ht="15" hidden="false" customHeight="false" outlineLevel="0" collapsed="false">
      <c r="A96" s="2" t="s">
        <v>352</v>
      </c>
      <c r="B96" s="2" t="s">
        <v>34</v>
      </c>
      <c r="C96" s="2" t="s">
        <v>42</v>
      </c>
      <c r="D96" s="2" t="s">
        <v>43</v>
      </c>
      <c r="E96" s="2" t="s">
        <v>353</v>
      </c>
      <c r="F96" s="2" t="s">
        <v>45</v>
      </c>
      <c r="G96" s="2" t="s">
        <v>72</v>
      </c>
      <c r="H96" s="2" t="n">
        <v>3</v>
      </c>
      <c r="I96" s="2" t="s">
        <v>41</v>
      </c>
      <c r="J96" s="2"/>
      <c r="K96" s="2" t="s">
        <v>215</v>
      </c>
      <c r="L96" s="2" t="s">
        <v>40</v>
      </c>
      <c r="M96" s="2"/>
      <c r="N96" s="2"/>
      <c r="O96" s="2" t="s">
        <v>212</v>
      </c>
    </row>
    <row r="97" customFormat="false" ht="15" hidden="false" customHeight="false" outlineLevel="0" collapsed="false">
      <c r="A97" s="2" t="s">
        <v>354</v>
      </c>
      <c r="B97" s="2" t="s">
        <v>34</v>
      </c>
      <c r="C97" s="2" t="s">
        <v>42</v>
      </c>
      <c r="D97" s="2" t="s">
        <v>43</v>
      </c>
      <c r="E97" s="2" t="s">
        <v>259</v>
      </c>
      <c r="F97" s="2" t="s">
        <v>38</v>
      </c>
      <c r="G97" s="2" t="s">
        <v>87</v>
      </c>
      <c r="H97" s="2" t="n">
        <v>1</v>
      </c>
      <c r="I97" s="2" t="s">
        <v>61</v>
      </c>
      <c r="J97" s="2"/>
      <c r="K97" s="2" t="s">
        <v>215</v>
      </c>
      <c r="L97" s="2" t="s">
        <v>47</v>
      </c>
      <c r="M97" s="2"/>
      <c r="N97" s="2"/>
      <c r="O97" s="2" t="s">
        <v>212</v>
      </c>
    </row>
    <row r="98" customFormat="false" ht="15" hidden="false" customHeight="false" outlineLevel="0" collapsed="false">
      <c r="A98" s="2" t="s">
        <v>355</v>
      </c>
      <c r="B98" s="2" t="s">
        <v>34</v>
      </c>
      <c r="C98" s="2" t="s">
        <v>42</v>
      </c>
      <c r="D98" s="2" t="s">
        <v>43</v>
      </c>
      <c r="E98" s="2" t="s">
        <v>356</v>
      </c>
      <c r="F98" s="2" t="s">
        <v>38</v>
      </c>
      <c r="G98" s="2" t="s">
        <v>80</v>
      </c>
      <c r="H98" s="2" t="n">
        <v>1</v>
      </c>
      <c r="I98" s="2" t="s">
        <v>61</v>
      </c>
      <c r="J98" s="2"/>
      <c r="K98" s="2" t="s">
        <v>215</v>
      </c>
      <c r="L98" s="2" t="s">
        <v>40</v>
      </c>
      <c r="M98" s="2"/>
      <c r="N98" s="2"/>
      <c r="O98" s="2" t="s">
        <v>212</v>
      </c>
    </row>
    <row r="99" customFormat="false" ht="15" hidden="false" customHeight="false" outlineLevel="0" collapsed="false">
      <c r="A99" s="2" t="s">
        <v>357</v>
      </c>
      <c r="B99" s="2" t="s">
        <v>34</v>
      </c>
      <c r="C99" s="2" t="s">
        <v>42</v>
      </c>
      <c r="D99" s="2" t="s">
        <v>43</v>
      </c>
      <c r="E99" s="2" t="s">
        <v>261</v>
      </c>
      <c r="F99" s="2" t="s">
        <v>38</v>
      </c>
      <c r="G99" s="2" t="s">
        <v>86</v>
      </c>
      <c r="H99" s="2" t="n">
        <v>1</v>
      </c>
      <c r="I99" s="2" t="s">
        <v>61</v>
      </c>
      <c r="J99" s="2"/>
      <c r="K99" s="2" t="s">
        <v>215</v>
      </c>
      <c r="L99" s="2" t="s">
        <v>47</v>
      </c>
      <c r="M99" s="2"/>
      <c r="N99" s="2"/>
      <c r="O99" s="2" t="s">
        <v>212</v>
      </c>
    </row>
    <row r="100" customFormat="false" ht="15" hidden="false" customHeight="false" outlineLevel="0" collapsed="false">
      <c r="A100" s="2" t="s">
        <v>358</v>
      </c>
      <c r="B100" s="2" t="s">
        <v>34</v>
      </c>
      <c r="C100" s="2" t="s">
        <v>42</v>
      </c>
      <c r="D100" s="2" t="s">
        <v>43</v>
      </c>
      <c r="E100" s="2" t="s">
        <v>359</v>
      </c>
      <c r="F100" s="2" t="s">
        <v>75</v>
      </c>
      <c r="G100" s="2" t="s">
        <v>140</v>
      </c>
      <c r="H100" s="2" t="n">
        <v>1</v>
      </c>
      <c r="I100" s="2" t="s">
        <v>61</v>
      </c>
      <c r="J100" s="2"/>
      <c r="K100" s="2" t="s">
        <v>230</v>
      </c>
      <c r="L100" s="2" t="s">
        <v>40</v>
      </c>
      <c r="M100" s="2"/>
      <c r="N100" s="2"/>
      <c r="O100" s="2" t="s">
        <v>212</v>
      </c>
    </row>
    <row r="101" customFormat="false" ht="15" hidden="false" customHeight="false" outlineLevel="0" collapsed="false">
      <c r="A101" s="2" t="s">
        <v>360</v>
      </c>
      <c r="B101" s="2" t="s">
        <v>34</v>
      </c>
      <c r="C101" s="2" t="s">
        <v>42</v>
      </c>
      <c r="D101" s="2" t="s">
        <v>43</v>
      </c>
      <c r="E101" s="2" t="s">
        <v>361</v>
      </c>
      <c r="F101" s="2" t="s">
        <v>71</v>
      </c>
      <c r="G101" s="2" t="s">
        <v>128</v>
      </c>
      <c r="H101" s="2" t="n">
        <v>1</v>
      </c>
      <c r="I101" s="2" t="s">
        <v>61</v>
      </c>
      <c r="J101" s="2"/>
      <c r="K101" s="2" t="s">
        <v>215</v>
      </c>
      <c r="L101" s="2" t="s">
        <v>54</v>
      </c>
      <c r="M101" s="2"/>
      <c r="N101" s="2"/>
      <c r="O101" s="2" t="s">
        <v>212</v>
      </c>
    </row>
    <row r="102" customFormat="false" ht="15" hidden="false" customHeight="false" outlineLevel="0" collapsed="false">
      <c r="A102" s="2" t="s">
        <v>362</v>
      </c>
      <c r="B102" s="2" t="s">
        <v>34</v>
      </c>
      <c r="C102" s="2" t="s">
        <v>42</v>
      </c>
      <c r="D102" s="2" t="s">
        <v>43</v>
      </c>
      <c r="E102" s="2" t="s">
        <v>363</v>
      </c>
      <c r="F102" s="2" t="s">
        <v>69</v>
      </c>
      <c r="G102" s="2" t="s">
        <v>111</v>
      </c>
      <c r="H102" s="2" t="n">
        <v>2</v>
      </c>
      <c r="I102" s="2" t="s">
        <v>41</v>
      </c>
      <c r="J102" s="2"/>
      <c r="K102" s="2" t="s">
        <v>233</v>
      </c>
      <c r="L102" s="2" t="s">
        <v>60</v>
      </c>
      <c r="M102" s="2"/>
      <c r="N102" s="2"/>
      <c r="O102" s="2" t="s">
        <v>212</v>
      </c>
    </row>
    <row r="103" customFormat="false" ht="15" hidden="false" customHeight="false" outlineLevel="0" collapsed="false">
      <c r="A103" s="2" t="s">
        <v>362</v>
      </c>
      <c r="B103" s="2" t="s">
        <v>34</v>
      </c>
      <c r="C103" s="2" t="s">
        <v>42</v>
      </c>
      <c r="D103" s="2" t="s">
        <v>43</v>
      </c>
      <c r="E103" s="2" t="s">
        <v>363</v>
      </c>
      <c r="F103" s="2" t="s">
        <v>69</v>
      </c>
      <c r="G103" s="2" t="s">
        <v>125</v>
      </c>
      <c r="H103" s="2" t="n">
        <v>2</v>
      </c>
      <c r="I103" s="2" t="s">
        <v>41</v>
      </c>
      <c r="J103" s="2"/>
      <c r="K103" s="2" t="s">
        <v>233</v>
      </c>
      <c r="L103" s="2" t="s">
        <v>60</v>
      </c>
      <c r="M103" s="2"/>
      <c r="N103" s="2"/>
      <c r="O103" s="2" t="s">
        <v>212</v>
      </c>
    </row>
    <row r="104" customFormat="false" ht="15" hidden="false" customHeight="false" outlineLevel="0" collapsed="false">
      <c r="A104" s="2" t="s">
        <v>364</v>
      </c>
      <c r="B104" s="2" t="s">
        <v>34</v>
      </c>
      <c r="C104" s="2" t="s">
        <v>42</v>
      </c>
      <c r="D104" s="2" t="s">
        <v>43</v>
      </c>
      <c r="E104" s="2" t="s">
        <v>365</v>
      </c>
      <c r="F104" s="2" t="s">
        <v>75</v>
      </c>
      <c r="G104" s="2" t="s">
        <v>101</v>
      </c>
      <c r="H104" s="2" t="n">
        <v>2</v>
      </c>
      <c r="I104" s="2" t="s">
        <v>41</v>
      </c>
      <c r="J104" s="2"/>
      <c r="K104" s="2" t="s">
        <v>230</v>
      </c>
      <c r="L104" s="2" t="s">
        <v>40</v>
      </c>
      <c r="M104" s="2"/>
      <c r="N104" s="2"/>
      <c r="O104" s="2" t="s">
        <v>212</v>
      </c>
    </row>
    <row r="105" customFormat="false" ht="15" hidden="false" customHeight="false" outlineLevel="0" collapsed="false">
      <c r="A105" s="2" t="s">
        <v>364</v>
      </c>
      <c r="B105" s="2" t="s">
        <v>34</v>
      </c>
      <c r="C105" s="2" t="s">
        <v>42</v>
      </c>
      <c r="D105" s="2" t="s">
        <v>43</v>
      </c>
      <c r="E105" s="2" t="s">
        <v>365</v>
      </c>
      <c r="F105" s="2" t="s">
        <v>75</v>
      </c>
      <c r="G105" s="2" t="s">
        <v>102</v>
      </c>
      <c r="H105" s="2" t="n">
        <v>2</v>
      </c>
      <c r="I105" s="2" t="s">
        <v>41</v>
      </c>
      <c r="J105" s="2"/>
      <c r="K105" s="2" t="s">
        <v>230</v>
      </c>
      <c r="L105" s="2" t="s">
        <v>40</v>
      </c>
      <c r="M105" s="2"/>
      <c r="N105" s="2"/>
      <c r="O105" s="2" t="s">
        <v>212</v>
      </c>
    </row>
    <row r="106" customFormat="false" ht="15" hidden="false" customHeight="false" outlineLevel="0" collapsed="false">
      <c r="A106" s="2" t="s">
        <v>366</v>
      </c>
      <c r="B106" s="2" t="s">
        <v>34</v>
      </c>
      <c r="C106" s="2" t="s">
        <v>42</v>
      </c>
      <c r="D106" s="2" t="s">
        <v>43</v>
      </c>
      <c r="E106" s="2" t="s">
        <v>267</v>
      </c>
      <c r="F106" s="2" t="s">
        <v>75</v>
      </c>
      <c r="G106" s="2" t="s">
        <v>88</v>
      </c>
      <c r="H106" s="2" t="n">
        <v>1</v>
      </c>
      <c r="I106" s="2" t="s">
        <v>61</v>
      </c>
      <c r="J106" s="2"/>
      <c r="K106" s="2" t="s">
        <v>215</v>
      </c>
      <c r="L106" s="2" t="s">
        <v>47</v>
      </c>
      <c r="M106" s="2"/>
      <c r="N106" s="2"/>
      <c r="O106" s="2" t="s">
        <v>212</v>
      </c>
    </row>
    <row r="107" customFormat="false" ht="15" hidden="false" customHeight="false" outlineLevel="0" collapsed="false">
      <c r="A107" s="2" t="s">
        <v>367</v>
      </c>
      <c r="B107" s="2" t="s">
        <v>34</v>
      </c>
      <c r="C107" s="2" t="s">
        <v>42</v>
      </c>
      <c r="D107" s="2" t="s">
        <v>43</v>
      </c>
      <c r="E107" s="2" t="s">
        <v>368</v>
      </c>
      <c r="F107" s="2" t="s">
        <v>66</v>
      </c>
      <c r="G107" s="2" t="s">
        <v>145</v>
      </c>
      <c r="H107" s="2" t="n">
        <v>2</v>
      </c>
      <c r="I107" s="2" t="s">
        <v>41</v>
      </c>
      <c r="J107" s="2"/>
      <c r="K107" s="2" t="s">
        <v>230</v>
      </c>
      <c r="L107" s="2" t="s">
        <v>40</v>
      </c>
      <c r="M107" s="2"/>
      <c r="N107" s="2"/>
      <c r="O107" s="2" t="s">
        <v>212</v>
      </c>
    </row>
    <row r="108" customFormat="false" ht="15" hidden="false" customHeight="false" outlineLevel="0" collapsed="false">
      <c r="A108" s="2" t="s">
        <v>367</v>
      </c>
      <c r="B108" s="2" t="s">
        <v>34</v>
      </c>
      <c r="C108" s="2" t="s">
        <v>42</v>
      </c>
      <c r="D108" s="2" t="s">
        <v>43</v>
      </c>
      <c r="E108" s="2" t="s">
        <v>368</v>
      </c>
      <c r="F108" s="2" t="s">
        <v>66</v>
      </c>
      <c r="G108" s="2" t="s">
        <v>120</v>
      </c>
      <c r="H108" s="2" t="n">
        <v>2</v>
      </c>
      <c r="I108" s="2" t="s">
        <v>41</v>
      </c>
      <c r="J108" s="2"/>
      <c r="K108" s="2" t="s">
        <v>230</v>
      </c>
      <c r="L108" s="2" t="s">
        <v>40</v>
      </c>
      <c r="M108" s="2"/>
      <c r="N108" s="2"/>
      <c r="O108" s="2" t="s">
        <v>212</v>
      </c>
    </row>
    <row r="109" customFormat="false" ht="15" hidden="false" customHeight="false" outlineLevel="0" collapsed="false">
      <c r="A109" s="2" t="s">
        <v>369</v>
      </c>
      <c r="B109" s="2" t="s">
        <v>34</v>
      </c>
      <c r="C109" s="2" t="s">
        <v>42</v>
      </c>
      <c r="D109" s="2" t="s">
        <v>43</v>
      </c>
      <c r="E109" s="2" t="s">
        <v>273</v>
      </c>
      <c r="F109" s="2" t="s">
        <v>58</v>
      </c>
      <c r="G109" s="2" t="s">
        <v>91</v>
      </c>
      <c r="H109" s="2" t="n">
        <v>1</v>
      </c>
      <c r="I109" s="2" t="s">
        <v>61</v>
      </c>
      <c r="J109" s="2"/>
      <c r="K109" s="2" t="s">
        <v>215</v>
      </c>
      <c r="L109" s="2" t="s">
        <v>40</v>
      </c>
      <c r="M109" s="2"/>
      <c r="N109" s="2"/>
      <c r="O109" s="2" t="s">
        <v>212</v>
      </c>
    </row>
    <row r="110" customFormat="false" ht="23.85" hidden="false" customHeight="false" outlineLevel="0" collapsed="false">
      <c r="A110" s="2" t="s">
        <v>370</v>
      </c>
      <c r="B110" s="2" t="s">
        <v>34</v>
      </c>
      <c r="C110" s="2" t="s">
        <v>42</v>
      </c>
      <c r="D110" s="2" t="s">
        <v>43</v>
      </c>
      <c r="E110" s="2" t="s">
        <v>275</v>
      </c>
      <c r="F110" s="2" t="s">
        <v>69</v>
      </c>
      <c r="G110" s="2" t="s">
        <v>112</v>
      </c>
      <c r="H110" s="2" t="n">
        <v>1</v>
      </c>
      <c r="I110" s="2" t="s">
        <v>61</v>
      </c>
      <c r="J110" s="2"/>
      <c r="K110" s="2" t="s">
        <v>230</v>
      </c>
      <c r="L110" s="2" t="s">
        <v>40</v>
      </c>
      <c r="M110" s="2"/>
      <c r="N110" s="2"/>
      <c r="O110" s="2" t="s">
        <v>212</v>
      </c>
    </row>
    <row r="111" customFormat="false" ht="15" hidden="false" customHeight="false" outlineLevel="0" collapsed="false">
      <c r="A111" s="2" t="s">
        <v>371</v>
      </c>
      <c r="B111" s="2" t="s">
        <v>34</v>
      </c>
      <c r="C111" s="2" t="s">
        <v>42</v>
      </c>
      <c r="D111" s="2" t="s">
        <v>43</v>
      </c>
      <c r="E111" s="2" t="s">
        <v>372</v>
      </c>
      <c r="F111" s="2" t="s">
        <v>71</v>
      </c>
      <c r="G111" s="2" t="s">
        <v>127</v>
      </c>
      <c r="H111" s="2" t="n">
        <v>1</v>
      </c>
      <c r="I111" s="2" t="s">
        <v>61</v>
      </c>
      <c r="J111" s="2"/>
      <c r="K111" s="2" t="s">
        <v>215</v>
      </c>
      <c r="L111" s="2" t="s">
        <v>40</v>
      </c>
      <c r="M111" s="2"/>
      <c r="N111" s="2"/>
      <c r="O111" s="2" t="s">
        <v>212</v>
      </c>
    </row>
    <row r="112" customFormat="false" ht="15" hidden="false" customHeight="false" outlineLevel="0" collapsed="false">
      <c r="A112" s="2" t="s">
        <v>373</v>
      </c>
      <c r="B112" s="2" t="s">
        <v>34</v>
      </c>
      <c r="C112" s="2" t="s">
        <v>42</v>
      </c>
      <c r="D112" s="2" t="s">
        <v>43</v>
      </c>
      <c r="E112" s="2" t="s">
        <v>374</v>
      </c>
      <c r="F112" s="2" t="s">
        <v>69</v>
      </c>
      <c r="G112" s="2" t="s">
        <v>124</v>
      </c>
      <c r="H112" s="2" t="n">
        <v>1</v>
      </c>
      <c r="I112" s="2" t="s">
        <v>61</v>
      </c>
      <c r="J112" s="2"/>
      <c r="K112" s="2" t="s">
        <v>215</v>
      </c>
      <c r="L112" s="2" t="s">
        <v>40</v>
      </c>
      <c r="M112" s="2"/>
      <c r="N112" s="2"/>
      <c r="O112" s="2" t="s">
        <v>212</v>
      </c>
    </row>
    <row r="113" customFormat="false" ht="15" hidden="false" customHeight="false" outlineLevel="0" collapsed="false">
      <c r="A113" s="2" t="s">
        <v>375</v>
      </c>
      <c r="B113" s="2" t="s">
        <v>34</v>
      </c>
      <c r="C113" s="2" t="s">
        <v>42</v>
      </c>
      <c r="D113" s="2" t="s">
        <v>43</v>
      </c>
      <c r="E113" s="2" t="s">
        <v>281</v>
      </c>
      <c r="F113" s="2" t="s">
        <v>38</v>
      </c>
      <c r="G113" s="2" t="s">
        <v>84</v>
      </c>
      <c r="H113" s="2" t="n">
        <v>1</v>
      </c>
      <c r="I113" s="2" t="s">
        <v>61</v>
      </c>
      <c r="J113" s="2"/>
      <c r="K113" s="2" t="s">
        <v>215</v>
      </c>
      <c r="L113" s="2" t="s">
        <v>40</v>
      </c>
      <c r="M113" s="2"/>
      <c r="N113" s="2"/>
      <c r="O113" s="2" t="s">
        <v>212</v>
      </c>
    </row>
    <row r="114" customFormat="false" ht="15" hidden="false" customHeight="false" outlineLevel="0" collapsed="false">
      <c r="A114" s="2" t="s">
        <v>376</v>
      </c>
      <c r="B114" s="2" t="s">
        <v>34</v>
      </c>
      <c r="C114" s="2" t="s">
        <v>42</v>
      </c>
      <c r="D114" s="2" t="s">
        <v>43</v>
      </c>
      <c r="E114" s="2" t="s">
        <v>377</v>
      </c>
      <c r="F114" s="2" t="s">
        <v>69</v>
      </c>
      <c r="G114" s="2" t="s">
        <v>114</v>
      </c>
      <c r="H114" s="2" t="n">
        <v>1</v>
      </c>
      <c r="I114" s="2" t="s">
        <v>61</v>
      </c>
      <c r="J114" s="2"/>
      <c r="K114" s="2" t="s">
        <v>215</v>
      </c>
      <c r="L114" s="2" t="s">
        <v>40</v>
      </c>
      <c r="M114" s="2"/>
      <c r="N114" s="2"/>
      <c r="O114" s="2" t="s">
        <v>212</v>
      </c>
    </row>
    <row r="115" customFormat="false" ht="15" hidden="false" customHeight="false" outlineLevel="0" collapsed="false">
      <c r="A115" s="2" t="s">
        <v>378</v>
      </c>
      <c r="B115" s="2" t="s">
        <v>34</v>
      </c>
      <c r="C115" s="2" t="s">
        <v>42</v>
      </c>
      <c r="D115" s="2" t="s">
        <v>43</v>
      </c>
      <c r="E115" s="2" t="s">
        <v>379</v>
      </c>
      <c r="F115" s="2" t="s">
        <v>75</v>
      </c>
      <c r="G115" s="2" t="s">
        <v>145</v>
      </c>
      <c r="H115" s="2" t="n">
        <v>1</v>
      </c>
      <c r="I115" s="2" t="s">
        <v>61</v>
      </c>
      <c r="J115" s="2"/>
      <c r="K115" s="2" t="s">
        <v>230</v>
      </c>
      <c r="L115" s="2" t="s">
        <v>40</v>
      </c>
      <c r="M115" s="2"/>
      <c r="N115" s="2"/>
      <c r="O115" s="2" t="s">
        <v>212</v>
      </c>
    </row>
    <row r="116" customFormat="false" ht="15" hidden="false" customHeight="false" outlineLevel="0" collapsed="false">
      <c r="A116" s="2" t="s">
        <v>380</v>
      </c>
      <c r="B116" s="2" t="s">
        <v>34</v>
      </c>
      <c r="C116" s="2" t="s">
        <v>42</v>
      </c>
      <c r="D116" s="2" t="s">
        <v>43</v>
      </c>
      <c r="E116" s="2" t="s">
        <v>381</v>
      </c>
      <c r="F116" s="2" t="s">
        <v>73</v>
      </c>
      <c r="G116" s="2" t="s">
        <v>131</v>
      </c>
      <c r="H116" s="2" t="n">
        <v>1</v>
      </c>
      <c r="I116" s="2" t="s">
        <v>61</v>
      </c>
      <c r="J116" s="2"/>
      <c r="K116" s="2" t="s">
        <v>215</v>
      </c>
      <c r="L116" s="2" t="s">
        <v>40</v>
      </c>
      <c r="M116" s="2"/>
      <c r="N116" s="2"/>
      <c r="O116" s="2" t="s">
        <v>212</v>
      </c>
    </row>
    <row r="117" customFormat="false" ht="15" hidden="false" customHeight="false" outlineLevel="0" collapsed="false">
      <c r="A117" s="2" t="s">
        <v>382</v>
      </c>
      <c r="B117" s="2" t="s">
        <v>34</v>
      </c>
      <c r="C117" s="2" t="s">
        <v>42</v>
      </c>
      <c r="D117" s="2" t="s">
        <v>43</v>
      </c>
      <c r="E117" s="2" t="s">
        <v>383</v>
      </c>
      <c r="F117" s="2" t="s">
        <v>45</v>
      </c>
      <c r="G117" s="2" t="s">
        <v>51</v>
      </c>
      <c r="H117" s="2" t="n">
        <v>1</v>
      </c>
      <c r="I117" s="2" t="s">
        <v>61</v>
      </c>
      <c r="J117" s="2"/>
      <c r="K117" s="2" t="s">
        <v>215</v>
      </c>
      <c r="L117" s="2" t="s">
        <v>40</v>
      </c>
      <c r="M117" s="2"/>
      <c r="N117" s="2"/>
      <c r="O117" s="2" t="s">
        <v>212</v>
      </c>
    </row>
    <row r="118" customFormat="false" ht="15" hidden="false" customHeight="false" outlineLevel="0" collapsed="false">
      <c r="A118" s="2" t="s">
        <v>384</v>
      </c>
      <c r="B118" s="2" t="s">
        <v>34</v>
      </c>
      <c r="C118" s="2" t="s">
        <v>42</v>
      </c>
      <c r="D118" s="2" t="s">
        <v>43</v>
      </c>
      <c r="E118" s="2" t="s">
        <v>385</v>
      </c>
      <c r="F118" s="2" t="s">
        <v>69</v>
      </c>
      <c r="G118" s="2" t="s">
        <v>110</v>
      </c>
      <c r="H118" s="2" t="n">
        <v>1</v>
      </c>
      <c r="I118" s="2" t="s">
        <v>61</v>
      </c>
      <c r="J118" s="2"/>
      <c r="K118" s="2" t="s">
        <v>230</v>
      </c>
      <c r="L118" s="2" t="s">
        <v>54</v>
      </c>
      <c r="M118" s="2"/>
      <c r="N118" s="2"/>
      <c r="O118" s="2" t="s">
        <v>212</v>
      </c>
    </row>
    <row r="119" customFormat="false" ht="15" hidden="false" customHeight="false" outlineLevel="0" collapsed="false">
      <c r="A119" s="2" t="s">
        <v>386</v>
      </c>
      <c r="B119" s="2" t="s">
        <v>34</v>
      </c>
      <c r="C119" s="2" t="s">
        <v>42</v>
      </c>
      <c r="D119" s="2" t="s">
        <v>43</v>
      </c>
      <c r="E119" s="2" t="s">
        <v>387</v>
      </c>
      <c r="F119" s="2" t="s">
        <v>75</v>
      </c>
      <c r="G119" s="2" t="s">
        <v>147</v>
      </c>
      <c r="H119" s="2" t="n">
        <v>2</v>
      </c>
      <c r="I119" s="2" t="s">
        <v>41</v>
      </c>
      <c r="J119" s="2"/>
      <c r="K119" s="2" t="s">
        <v>230</v>
      </c>
      <c r="L119" s="2" t="s">
        <v>40</v>
      </c>
      <c r="M119" s="2"/>
      <c r="N119" s="2"/>
      <c r="O119" s="2" t="s">
        <v>212</v>
      </c>
    </row>
    <row r="120" customFormat="false" ht="15" hidden="false" customHeight="false" outlineLevel="0" collapsed="false">
      <c r="A120" s="2" t="s">
        <v>386</v>
      </c>
      <c r="B120" s="2" t="s">
        <v>34</v>
      </c>
      <c r="C120" s="2" t="s">
        <v>42</v>
      </c>
      <c r="D120" s="2" t="s">
        <v>43</v>
      </c>
      <c r="E120" s="2" t="s">
        <v>387</v>
      </c>
      <c r="F120" s="2" t="s">
        <v>75</v>
      </c>
      <c r="G120" s="2" t="s">
        <v>135</v>
      </c>
      <c r="H120" s="2" t="n">
        <v>2</v>
      </c>
      <c r="I120" s="2" t="s">
        <v>41</v>
      </c>
      <c r="J120" s="2"/>
      <c r="K120" s="2" t="s">
        <v>230</v>
      </c>
      <c r="L120" s="2" t="s">
        <v>40</v>
      </c>
      <c r="M120" s="2"/>
      <c r="N120" s="2"/>
      <c r="O120" s="2" t="s">
        <v>212</v>
      </c>
    </row>
    <row r="121" customFormat="false" ht="15" hidden="false" customHeight="false" outlineLevel="0" collapsed="false">
      <c r="A121" s="2" t="s">
        <v>388</v>
      </c>
      <c r="B121" s="2" t="s">
        <v>34</v>
      </c>
      <c r="C121" s="2" t="s">
        <v>42</v>
      </c>
      <c r="D121" s="2" t="s">
        <v>43</v>
      </c>
      <c r="E121" s="2" t="s">
        <v>283</v>
      </c>
      <c r="F121" s="2" t="s">
        <v>45</v>
      </c>
      <c r="G121" s="2" t="s">
        <v>68</v>
      </c>
      <c r="H121" s="2" t="n">
        <v>1</v>
      </c>
      <c r="I121" s="2" t="s">
        <v>61</v>
      </c>
      <c r="J121" s="2"/>
      <c r="K121" s="2" t="s">
        <v>215</v>
      </c>
      <c r="L121" s="2" t="s">
        <v>40</v>
      </c>
      <c r="M121" s="2"/>
      <c r="N121" s="2"/>
      <c r="O121" s="2" t="s">
        <v>212</v>
      </c>
    </row>
    <row r="122" customFormat="false" ht="15" hidden="false" customHeight="false" outlineLevel="0" collapsed="false">
      <c r="A122" s="2" t="s">
        <v>389</v>
      </c>
      <c r="B122" s="2" t="s">
        <v>34</v>
      </c>
      <c r="C122" s="2" t="s">
        <v>42</v>
      </c>
      <c r="D122" s="2" t="s">
        <v>43</v>
      </c>
      <c r="E122" s="2" t="s">
        <v>289</v>
      </c>
      <c r="F122" s="2" t="s">
        <v>66</v>
      </c>
      <c r="G122" s="2" t="s">
        <v>142</v>
      </c>
      <c r="H122" s="2" t="n">
        <v>3</v>
      </c>
      <c r="I122" s="2" t="s">
        <v>41</v>
      </c>
      <c r="J122" s="2"/>
      <c r="K122" s="2" t="s">
        <v>215</v>
      </c>
      <c r="L122" s="2" t="s">
        <v>47</v>
      </c>
      <c r="M122" s="2"/>
      <c r="N122" s="2"/>
      <c r="O122" s="2" t="s">
        <v>212</v>
      </c>
    </row>
    <row r="123" customFormat="false" ht="15" hidden="false" customHeight="false" outlineLevel="0" collapsed="false">
      <c r="A123" s="2" t="s">
        <v>389</v>
      </c>
      <c r="B123" s="2" t="s">
        <v>34</v>
      </c>
      <c r="C123" s="2" t="s">
        <v>42</v>
      </c>
      <c r="D123" s="2" t="s">
        <v>43</v>
      </c>
      <c r="E123" s="2" t="s">
        <v>289</v>
      </c>
      <c r="F123" s="2" t="s">
        <v>66</v>
      </c>
      <c r="G123" s="2" t="s">
        <v>104</v>
      </c>
      <c r="H123" s="2" t="n">
        <v>3</v>
      </c>
      <c r="I123" s="2" t="s">
        <v>41</v>
      </c>
      <c r="J123" s="2"/>
      <c r="K123" s="2" t="s">
        <v>215</v>
      </c>
      <c r="L123" s="2" t="s">
        <v>47</v>
      </c>
      <c r="M123" s="2"/>
      <c r="N123" s="2"/>
      <c r="O123" s="2" t="s">
        <v>212</v>
      </c>
    </row>
    <row r="124" customFormat="false" ht="15" hidden="false" customHeight="false" outlineLevel="0" collapsed="false">
      <c r="A124" s="2" t="s">
        <v>389</v>
      </c>
      <c r="B124" s="2" t="s">
        <v>34</v>
      </c>
      <c r="C124" s="2" t="s">
        <v>42</v>
      </c>
      <c r="D124" s="2" t="s">
        <v>43</v>
      </c>
      <c r="E124" s="2" t="s">
        <v>289</v>
      </c>
      <c r="F124" s="2" t="s">
        <v>66</v>
      </c>
      <c r="G124" s="2" t="s">
        <v>145</v>
      </c>
      <c r="H124" s="2" t="n">
        <v>3</v>
      </c>
      <c r="I124" s="2" t="s">
        <v>41</v>
      </c>
      <c r="J124" s="2"/>
      <c r="K124" s="2" t="s">
        <v>215</v>
      </c>
      <c r="L124" s="2" t="s">
        <v>47</v>
      </c>
      <c r="M124" s="2"/>
      <c r="N124" s="2"/>
      <c r="O124" s="2" t="s">
        <v>212</v>
      </c>
    </row>
    <row r="125" customFormat="false" ht="15" hidden="false" customHeight="false" outlineLevel="0" collapsed="false">
      <c r="A125" s="2" t="s">
        <v>390</v>
      </c>
      <c r="B125" s="2" t="s">
        <v>34</v>
      </c>
      <c r="C125" s="2" t="s">
        <v>42</v>
      </c>
      <c r="D125" s="2" t="s">
        <v>43</v>
      </c>
      <c r="E125" s="2" t="s">
        <v>291</v>
      </c>
      <c r="F125" s="2" t="s">
        <v>52</v>
      </c>
      <c r="G125" s="2" t="s">
        <v>142</v>
      </c>
      <c r="H125" s="2" t="n">
        <v>2</v>
      </c>
      <c r="I125" s="2" t="s">
        <v>41</v>
      </c>
      <c r="J125" s="2"/>
      <c r="K125" s="2" t="s">
        <v>215</v>
      </c>
      <c r="L125" s="2" t="s">
        <v>47</v>
      </c>
      <c r="M125" s="2"/>
      <c r="N125" s="2"/>
      <c r="O125" s="2" t="s">
        <v>212</v>
      </c>
    </row>
    <row r="126" customFormat="false" ht="15" hidden="false" customHeight="false" outlineLevel="0" collapsed="false">
      <c r="A126" s="2" t="s">
        <v>390</v>
      </c>
      <c r="B126" s="2" t="s">
        <v>34</v>
      </c>
      <c r="C126" s="2" t="s">
        <v>42</v>
      </c>
      <c r="D126" s="2" t="s">
        <v>43</v>
      </c>
      <c r="E126" s="2" t="s">
        <v>291</v>
      </c>
      <c r="F126" s="2" t="s">
        <v>52</v>
      </c>
      <c r="G126" s="2" t="s">
        <v>90</v>
      </c>
      <c r="H126" s="2" t="n">
        <v>2</v>
      </c>
      <c r="I126" s="2" t="s">
        <v>41</v>
      </c>
      <c r="J126" s="2"/>
      <c r="K126" s="2" t="s">
        <v>215</v>
      </c>
      <c r="L126" s="2" t="s">
        <v>47</v>
      </c>
      <c r="M126" s="2"/>
      <c r="N126" s="2"/>
      <c r="O126" s="2" t="s">
        <v>212</v>
      </c>
    </row>
    <row r="127" customFormat="false" ht="15" hidden="false" customHeight="false" outlineLevel="0" collapsed="false">
      <c r="A127" s="2" t="s">
        <v>391</v>
      </c>
      <c r="B127" s="2" t="s">
        <v>34</v>
      </c>
      <c r="C127" s="2" t="s">
        <v>42</v>
      </c>
      <c r="D127" s="2" t="s">
        <v>43</v>
      </c>
      <c r="E127" s="2" t="s">
        <v>392</v>
      </c>
      <c r="F127" s="2" t="s">
        <v>75</v>
      </c>
      <c r="G127" s="2" t="s">
        <v>104</v>
      </c>
      <c r="H127" s="2" t="n">
        <v>2</v>
      </c>
      <c r="I127" s="2" t="s">
        <v>41</v>
      </c>
      <c r="J127" s="2"/>
      <c r="K127" s="2" t="s">
        <v>215</v>
      </c>
      <c r="L127" s="2" t="s">
        <v>40</v>
      </c>
      <c r="M127" s="2"/>
      <c r="N127" s="2"/>
      <c r="O127" s="2" t="s">
        <v>212</v>
      </c>
    </row>
    <row r="128" customFormat="false" ht="15" hidden="false" customHeight="false" outlineLevel="0" collapsed="false">
      <c r="A128" s="2" t="s">
        <v>391</v>
      </c>
      <c r="B128" s="2" t="s">
        <v>34</v>
      </c>
      <c r="C128" s="2" t="s">
        <v>42</v>
      </c>
      <c r="D128" s="2" t="s">
        <v>43</v>
      </c>
      <c r="E128" s="2" t="s">
        <v>392</v>
      </c>
      <c r="F128" s="2" t="s">
        <v>75</v>
      </c>
      <c r="G128" s="2" t="s">
        <v>124</v>
      </c>
      <c r="H128" s="2" t="n">
        <v>2</v>
      </c>
      <c r="I128" s="2" t="s">
        <v>41</v>
      </c>
      <c r="J128" s="2"/>
      <c r="K128" s="2" t="s">
        <v>215</v>
      </c>
      <c r="L128" s="2" t="s">
        <v>40</v>
      </c>
      <c r="M128" s="2"/>
      <c r="N128" s="2"/>
      <c r="O128" s="2" t="s">
        <v>212</v>
      </c>
    </row>
    <row r="129" customFormat="false" ht="15" hidden="false" customHeight="false" outlineLevel="0" collapsed="false">
      <c r="A129" s="2" t="s">
        <v>393</v>
      </c>
      <c r="B129" s="2" t="s">
        <v>34</v>
      </c>
      <c r="C129" s="2" t="s">
        <v>42</v>
      </c>
      <c r="D129" s="2" t="s">
        <v>43</v>
      </c>
      <c r="E129" s="2" t="s">
        <v>394</v>
      </c>
      <c r="F129" s="2" t="s">
        <v>69</v>
      </c>
      <c r="G129" s="2" t="s">
        <v>111</v>
      </c>
      <c r="H129" s="2" t="n">
        <v>1</v>
      </c>
      <c r="I129" s="2" t="s">
        <v>61</v>
      </c>
      <c r="J129" s="2"/>
      <c r="K129" s="2" t="s">
        <v>230</v>
      </c>
      <c r="L129" s="2" t="s">
        <v>60</v>
      </c>
      <c r="M129" s="2"/>
      <c r="N129" s="2"/>
      <c r="O129" s="2" t="s">
        <v>212</v>
      </c>
    </row>
    <row r="130" customFormat="false" ht="15" hidden="false" customHeight="false" outlineLevel="0" collapsed="false">
      <c r="A130" s="2" t="s">
        <v>395</v>
      </c>
      <c r="B130" s="2" t="s">
        <v>34</v>
      </c>
      <c r="C130" s="2" t="s">
        <v>42</v>
      </c>
      <c r="D130" s="2" t="s">
        <v>43</v>
      </c>
      <c r="E130" s="2" t="s">
        <v>396</v>
      </c>
      <c r="F130" s="2" t="s">
        <v>69</v>
      </c>
      <c r="G130" s="2" t="s">
        <v>110</v>
      </c>
      <c r="H130" s="2" t="n">
        <v>2</v>
      </c>
      <c r="I130" s="2" t="s">
        <v>41</v>
      </c>
      <c r="J130" s="2"/>
      <c r="K130" s="2" t="s">
        <v>215</v>
      </c>
      <c r="L130" s="2" t="s">
        <v>40</v>
      </c>
      <c r="M130" s="2"/>
      <c r="N130" s="2"/>
      <c r="O130" s="2" t="s">
        <v>212</v>
      </c>
    </row>
    <row r="131" customFormat="false" ht="15" hidden="false" customHeight="false" outlineLevel="0" collapsed="false">
      <c r="A131" s="2" t="s">
        <v>395</v>
      </c>
      <c r="B131" s="2" t="s">
        <v>34</v>
      </c>
      <c r="C131" s="2" t="s">
        <v>42</v>
      </c>
      <c r="D131" s="2" t="s">
        <v>43</v>
      </c>
      <c r="E131" s="2" t="s">
        <v>396</v>
      </c>
      <c r="F131" s="2" t="s">
        <v>69</v>
      </c>
      <c r="G131" s="2" t="s">
        <v>89</v>
      </c>
      <c r="H131" s="2" t="n">
        <v>2</v>
      </c>
      <c r="I131" s="2" t="s">
        <v>41</v>
      </c>
      <c r="J131" s="2"/>
      <c r="K131" s="2" t="s">
        <v>215</v>
      </c>
      <c r="L131" s="2" t="s">
        <v>40</v>
      </c>
      <c r="M131" s="2"/>
      <c r="N131" s="2"/>
      <c r="O131" s="2" t="s">
        <v>212</v>
      </c>
    </row>
    <row r="132" customFormat="false" ht="15" hidden="false" customHeight="false" outlineLevel="0" collapsed="false">
      <c r="A132" s="2" t="s">
        <v>397</v>
      </c>
      <c r="B132" s="2" t="s">
        <v>34</v>
      </c>
      <c r="C132" s="2" t="s">
        <v>42</v>
      </c>
      <c r="D132" s="2" t="s">
        <v>43</v>
      </c>
      <c r="E132" s="2" t="s">
        <v>398</v>
      </c>
      <c r="F132" s="2" t="s">
        <v>71</v>
      </c>
      <c r="G132" s="2" t="s">
        <v>128</v>
      </c>
      <c r="H132" s="2" t="n">
        <v>1</v>
      </c>
      <c r="I132" s="2" t="s">
        <v>61</v>
      </c>
      <c r="J132" s="2"/>
      <c r="K132" s="2" t="s">
        <v>215</v>
      </c>
      <c r="L132" s="2" t="s">
        <v>54</v>
      </c>
      <c r="M132" s="2"/>
      <c r="N132" s="2"/>
      <c r="O132" s="2" t="s">
        <v>212</v>
      </c>
    </row>
    <row r="133" customFormat="false" ht="15" hidden="false" customHeight="false" outlineLevel="0" collapsed="false">
      <c r="A133" s="2" t="s">
        <v>399</v>
      </c>
      <c r="B133" s="2" t="s">
        <v>34</v>
      </c>
      <c r="C133" s="2" t="s">
        <v>42</v>
      </c>
      <c r="D133" s="2" t="s">
        <v>43</v>
      </c>
      <c r="E133" s="2" t="s">
        <v>400</v>
      </c>
      <c r="F133" s="2" t="s">
        <v>45</v>
      </c>
      <c r="G133" s="2" t="s">
        <v>72</v>
      </c>
      <c r="H133" s="2" t="n">
        <v>1</v>
      </c>
      <c r="I133" s="2" t="s">
        <v>61</v>
      </c>
      <c r="J133" s="2"/>
      <c r="K133" s="2" t="s">
        <v>215</v>
      </c>
      <c r="L133" s="2" t="s">
        <v>40</v>
      </c>
      <c r="M133" s="2"/>
      <c r="N133" s="2"/>
      <c r="O133" s="2" t="s">
        <v>212</v>
      </c>
    </row>
    <row r="134" customFormat="false" ht="15" hidden="false" customHeight="false" outlineLevel="0" collapsed="false">
      <c r="A134" s="2" t="s">
        <v>401</v>
      </c>
      <c r="B134" s="2" t="s">
        <v>34</v>
      </c>
      <c r="C134" s="2" t="s">
        <v>42</v>
      </c>
      <c r="D134" s="2" t="s">
        <v>43</v>
      </c>
      <c r="E134" s="2" t="s">
        <v>402</v>
      </c>
      <c r="F134" s="2" t="s">
        <v>45</v>
      </c>
      <c r="G134" s="2" t="s">
        <v>72</v>
      </c>
      <c r="H134" s="2" t="n">
        <v>1</v>
      </c>
      <c r="I134" s="2" t="s">
        <v>61</v>
      </c>
      <c r="J134" s="2"/>
      <c r="K134" s="2" t="s">
        <v>215</v>
      </c>
      <c r="L134" s="2" t="s">
        <v>40</v>
      </c>
      <c r="M134" s="2"/>
      <c r="N134" s="2"/>
      <c r="O134" s="2" t="s">
        <v>212</v>
      </c>
    </row>
    <row r="135" customFormat="false" ht="15" hidden="false" customHeight="false" outlineLevel="0" collapsed="false">
      <c r="A135" s="2" t="s">
        <v>403</v>
      </c>
      <c r="B135" s="2" t="s">
        <v>34</v>
      </c>
      <c r="C135" s="2" t="s">
        <v>42</v>
      </c>
      <c r="D135" s="2" t="s">
        <v>43</v>
      </c>
      <c r="E135" s="2" t="s">
        <v>315</v>
      </c>
      <c r="F135" s="2" t="s">
        <v>58</v>
      </c>
      <c r="G135" s="2" t="s">
        <v>92</v>
      </c>
      <c r="H135" s="2" t="n">
        <v>1</v>
      </c>
      <c r="I135" s="2" t="s">
        <v>61</v>
      </c>
      <c r="J135" s="2"/>
      <c r="K135" s="2" t="s">
        <v>211</v>
      </c>
      <c r="L135" s="2" t="s">
        <v>47</v>
      </c>
      <c r="M135" s="2"/>
      <c r="N135" s="2"/>
      <c r="O135" s="2" t="s">
        <v>212</v>
      </c>
    </row>
    <row r="136" customFormat="false" ht="15" hidden="false" customHeight="false" outlineLevel="0" collapsed="false">
      <c r="A136" s="2" t="s">
        <v>404</v>
      </c>
      <c r="B136" s="2" t="s">
        <v>34</v>
      </c>
      <c r="C136" s="2" t="s">
        <v>42</v>
      </c>
      <c r="D136" s="2" t="s">
        <v>43</v>
      </c>
      <c r="E136" s="2" t="s">
        <v>405</v>
      </c>
      <c r="F136" s="2" t="s">
        <v>45</v>
      </c>
      <c r="G136" s="2" t="s">
        <v>51</v>
      </c>
      <c r="H136" s="2" t="n">
        <v>1</v>
      </c>
      <c r="I136" s="2" t="s">
        <v>61</v>
      </c>
      <c r="J136" s="2"/>
      <c r="K136" s="2" t="s">
        <v>215</v>
      </c>
      <c r="L136" s="2" t="s">
        <v>40</v>
      </c>
      <c r="M136" s="2"/>
      <c r="N136" s="2"/>
      <c r="O136" s="2" t="s">
        <v>212</v>
      </c>
    </row>
    <row r="137" customFormat="false" ht="15" hidden="false" customHeight="false" outlineLevel="0" collapsed="false">
      <c r="A137" s="2" t="s">
        <v>406</v>
      </c>
      <c r="B137" s="2" t="s">
        <v>34</v>
      </c>
      <c r="C137" s="2" t="s">
        <v>42</v>
      </c>
      <c r="D137" s="2" t="s">
        <v>43</v>
      </c>
      <c r="E137" s="2" t="s">
        <v>407</v>
      </c>
      <c r="F137" s="2" t="s">
        <v>58</v>
      </c>
      <c r="G137" s="2" t="s">
        <v>97</v>
      </c>
      <c r="H137" s="2" t="n">
        <v>1</v>
      </c>
      <c r="I137" s="2" t="s">
        <v>61</v>
      </c>
      <c r="J137" s="2"/>
      <c r="K137" s="2" t="s">
        <v>215</v>
      </c>
      <c r="L137" s="2" t="s">
        <v>40</v>
      </c>
      <c r="M137" s="2"/>
      <c r="N137" s="2"/>
      <c r="O137" s="2" t="s">
        <v>212</v>
      </c>
    </row>
    <row r="138" customFormat="false" ht="15" hidden="false" customHeight="false" outlineLevel="0" collapsed="false">
      <c r="A138" s="2" t="s">
        <v>408</v>
      </c>
      <c r="B138" s="2" t="s">
        <v>34</v>
      </c>
      <c r="C138" s="2" t="s">
        <v>42</v>
      </c>
      <c r="D138" s="2" t="s">
        <v>43</v>
      </c>
      <c r="E138" s="2" t="s">
        <v>333</v>
      </c>
      <c r="F138" s="2" t="s">
        <v>71</v>
      </c>
      <c r="G138" s="2" t="s">
        <v>126</v>
      </c>
      <c r="H138" s="2" t="n">
        <v>1</v>
      </c>
      <c r="I138" s="2" t="s">
        <v>61</v>
      </c>
      <c r="J138" s="2"/>
      <c r="K138" s="2" t="s">
        <v>215</v>
      </c>
      <c r="L138" s="2" t="s">
        <v>40</v>
      </c>
      <c r="M138" s="2"/>
      <c r="N138" s="2"/>
      <c r="O138" s="2" t="s">
        <v>212</v>
      </c>
    </row>
    <row r="139" customFormat="false" ht="15" hidden="false" customHeight="false" outlineLevel="0" collapsed="false">
      <c r="A139" s="2" t="s">
        <v>409</v>
      </c>
      <c r="B139" s="2" t="s">
        <v>34</v>
      </c>
      <c r="C139" s="2" t="s">
        <v>42</v>
      </c>
      <c r="D139" s="2" t="s">
        <v>43</v>
      </c>
      <c r="E139" s="2" t="s">
        <v>410</v>
      </c>
      <c r="F139" s="2" t="s">
        <v>75</v>
      </c>
      <c r="G139" s="2" t="s">
        <v>142</v>
      </c>
      <c r="H139" s="2" t="n">
        <v>1</v>
      </c>
      <c r="I139" s="2" t="s">
        <v>61</v>
      </c>
      <c r="J139" s="2"/>
      <c r="K139" s="2" t="s">
        <v>215</v>
      </c>
      <c r="L139" s="2" t="s">
        <v>47</v>
      </c>
      <c r="M139" s="2"/>
      <c r="N139" s="2"/>
      <c r="O139" s="2" t="s">
        <v>212</v>
      </c>
    </row>
    <row r="140" customFormat="false" ht="15" hidden="false" customHeight="false" outlineLevel="0" collapsed="false">
      <c r="A140" s="2" t="s">
        <v>411</v>
      </c>
      <c r="B140" s="2" t="s">
        <v>34</v>
      </c>
      <c r="C140" s="2" t="s">
        <v>42</v>
      </c>
      <c r="D140" s="2" t="s">
        <v>43</v>
      </c>
      <c r="E140" s="2" t="s">
        <v>335</v>
      </c>
      <c r="F140" s="2" t="s">
        <v>73</v>
      </c>
      <c r="G140" s="2" t="s">
        <v>130</v>
      </c>
      <c r="H140" s="2" t="n">
        <v>1</v>
      </c>
      <c r="I140" s="2" t="s">
        <v>61</v>
      </c>
      <c r="J140" s="2"/>
      <c r="K140" s="2" t="s">
        <v>215</v>
      </c>
      <c r="L140" s="2" t="s">
        <v>40</v>
      </c>
      <c r="M140" s="2"/>
      <c r="N140" s="2"/>
      <c r="O140" s="2" t="s">
        <v>212</v>
      </c>
    </row>
    <row r="141" customFormat="false" ht="15" hidden="false" customHeight="false" outlineLevel="0" collapsed="false">
      <c r="A141" s="2" t="s">
        <v>412</v>
      </c>
      <c r="B141" s="2" t="s">
        <v>34</v>
      </c>
      <c r="C141" s="2" t="s">
        <v>35</v>
      </c>
      <c r="D141" s="2" t="s">
        <v>50</v>
      </c>
      <c r="E141" s="2" t="s">
        <v>413</v>
      </c>
      <c r="F141" s="2" t="s">
        <v>73</v>
      </c>
      <c r="G141" s="2" t="s">
        <v>131</v>
      </c>
      <c r="H141" s="2" t="n">
        <v>4</v>
      </c>
      <c r="I141" s="2" t="s">
        <v>41</v>
      </c>
      <c r="J141" s="2"/>
      <c r="K141" s="2" t="s">
        <v>215</v>
      </c>
      <c r="L141" s="2" t="s">
        <v>47</v>
      </c>
      <c r="M141" s="2"/>
      <c r="N141" s="2"/>
      <c r="O141" s="2" t="s">
        <v>212</v>
      </c>
    </row>
    <row r="142" customFormat="false" ht="15" hidden="false" customHeight="false" outlineLevel="0" collapsed="false">
      <c r="A142" s="2" t="s">
        <v>412</v>
      </c>
      <c r="B142" s="2" t="s">
        <v>34</v>
      </c>
      <c r="C142" s="2" t="s">
        <v>35</v>
      </c>
      <c r="D142" s="2" t="s">
        <v>50</v>
      </c>
      <c r="E142" s="2" t="s">
        <v>413</v>
      </c>
      <c r="F142" s="2" t="s">
        <v>73</v>
      </c>
      <c r="G142" s="2" t="s">
        <v>142</v>
      </c>
      <c r="H142" s="2" t="n">
        <v>4</v>
      </c>
      <c r="I142" s="2" t="s">
        <v>41</v>
      </c>
      <c r="J142" s="2"/>
      <c r="K142" s="2" t="s">
        <v>215</v>
      </c>
      <c r="L142" s="2" t="s">
        <v>47</v>
      </c>
      <c r="M142" s="2"/>
      <c r="N142" s="2"/>
      <c r="O142" s="2" t="s">
        <v>212</v>
      </c>
    </row>
    <row r="143" customFormat="false" ht="15" hidden="false" customHeight="false" outlineLevel="0" collapsed="false">
      <c r="A143" s="2" t="s">
        <v>412</v>
      </c>
      <c r="B143" s="2" t="s">
        <v>34</v>
      </c>
      <c r="C143" s="2" t="s">
        <v>35</v>
      </c>
      <c r="D143" s="2" t="s">
        <v>50</v>
      </c>
      <c r="E143" s="2" t="s">
        <v>413</v>
      </c>
      <c r="F143" s="2" t="s">
        <v>73</v>
      </c>
      <c r="G143" s="2" t="s">
        <v>104</v>
      </c>
      <c r="H143" s="2" t="n">
        <v>4</v>
      </c>
      <c r="I143" s="2" t="s">
        <v>41</v>
      </c>
      <c r="J143" s="2"/>
      <c r="K143" s="2" t="s">
        <v>215</v>
      </c>
      <c r="L143" s="2" t="s">
        <v>47</v>
      </c>
      <c r="M143" s="2"/>
      <c r="N143" s="2"/>
      <c r="O143" s="2" t="s">
        <v>212</v>
      </c>
    </row>
    <row r="144" customFormat="false" ht="15" hidden="false" customHeight="false" outlineLevel="0" collapsed="false">
      <c r="A144" s="2" t="s">
        <v>412</v>
      </c>
      <c r="B144" s="2" t="s">
        <v>34</v>
      </c>
      <c r="C144" s="2" t="s">
        <v>35</v>
      </c>
      <c r="D144" s="2" t="s">
        <v>50</v>
      </c>
      <c r="E144" s="2" t="s">
        <v>413</v>
      </c>
      <c r="F144" s="2" t="s">
        <v>73</v>
      </c>
      <c r="G144" s="2" t="s">
        <v>82</v>
      </c>
      <c r="H144" s="2" t="n">
        <v>4</v>
      </c>
      <c r="I144" s="2" t="s">
        <v>41</v>
      </c>
      <c r="J144" s="2"/>
      <c r="K144" s="2" t="s">
        <v>215</v>
      </c>
      <c r="L144" s="2" t="s">
        <v>47</v>
      </c>
      <c r="M144" s="2"/>
      <c r="N144" s="2"/>
      <c r="O144" s="2" t="s">
        <v>212</v>
      </c>
    </row>
    <row r="145" customFormat="false" ht="15" hidden="false" customHeight="false" outlineLevel="0" collapsed="false">
      <c r="A145" s="2" t="s">
        <v>414</v>
      </c>
      <c r="B145" s="2" t="s">
        <v>34</v>
      </c>
      <c r="C145" s="2" t="s">
        <v>35</v>
      </c>
      <c r="D145" s="2" t="s">
        <v>50</v>
      </c>
      <c r="E145" s="2" t="s">
        <v>219</v>
      </c>
      <c r="F145" s="2" t="s">
        <v>66</v>
      </c>
      <c r="G145" s="2" t="s">
        <v>104</v>
      </c>
      <c r="H145" s="2" t="n">
        <v>3</v>
      </c>
      <c r="I145" s="2" t="s">
        <v>41</v>
      </c>
      <c r="J145" s="2"/>
      <c r="K145" s="2" t="s">
        <v>211</v>
      </c>
      <c r="L145" s="2" t="s">
        <v>47</v>
      </c>
      <c r="M145" s="2"/>
      <c r="N145" s="2"/>
      <c r="O145" s="2" t="s">
        <v>212</v>
      </c>
    </row>
    <row r="146" customFormat="false" ht="15" hidden="false" customHeight="false" outlineLevel="0" collapsed="false">
      <c r="A146" s="2" t="s">
        <v>414</v>
      </c>
      <c r="B146" s="2" t="s">
        <v>34</v>
      </c>
      <c r="C146" s="2" t="s">
        <v>35</v>
      </c>
      <c r="D146" s="2" t="s">
        <v>50</v>
      </c>
      <c r="E146" s="2" t="s">
        <v>219</v>
      </c>
      <c r="F146" s="2" t="s">
        <v>66</v>
      </c>
      <c r="G146" s="2" t="s">
        <v>142</v>
      </c>
      <c r="H146" s="2" t="n">
        <v>3</v>
      </c>
      <c r="I146" s="2" t="s">
        <v>41</v>
      </c>
      <c r="J146" s="2"/>
      <c r="K146" s="2" t="s">
        <v>211</v>
      </c>
      <c r="L146" s="2" t="s">
        <v>47</v>
      </c>
      <c r="M146" s="2"/>
      <c r="N146" s="2"/>
      <c r="O146" s="2" t="s">
        <v>212</v>
      </c>
    </row>
    <row r="147" customFormat="false" ht="15" hidden="false" customHeight="false" outlineLevel="0" collapsed="false">
      <c r="A147" s="2" t="s">
        <v>414</v>
      </c>
      <c r="B147" s="2" t="s">
        <v>34</v>
      </c>
      <c r="C147" s="2" t="s">
        <v>35</v>
      </c>
      <c r="D147" s="2" t="s">
        <v>50</v>
      </c>
      <c r="E147" s="2" t="s">
        <v>219</v>
      </c>
      <c r="F147" s="2" t="s">
        <v>66</v>
      </c>
      <c r="G147" s="2" t="s">
        <v>82</v>
      </c>
      <c r="H147" s="2" t="n">
        <v>3</v>
      </c>
      <c r="I147" s="2" t="s">
        <v>41</v>
      </c>
      <c r="J147" s="2"/>
      <c r="K147" s="2" t="s">
        <v>211</v>
      </c>
      <c r="L147" s="2" t="s">
        <v>47</v>
      </c>
      <c r="M147" s="2"/>
      <c r="N147" s="2"/>
      <c r="O147" s="2" t="s">
        <v>212</v>
      </c>
    </row>
    <row r="148" customFormat="false" ht="15" hidden="false" customHeight="false" outlineLevel="0" collapsed="false">
      <c r="A148" s="2" t="s">
        <v>415</v>
      </c>
      <c r="B148" s="2" t="s">
        <v>34</v>
      </c>
      <c r="C148" s="2" t="s">
        <v>35</v>
      </c>
      <c r="D148" s="2" t="s">
        <v>50</v>
      </c>
      <c r="E148" s="2" t="s">
        <v>339</v>
      </c>
      <c r="F148" s="2" t="s">
        <v>52</v>
      </c>
      <c r="G148" s="2" t="s">
        <v>90</v>
      </c>
      <c r="H148" s="2" t="n">
        <v>1</v>
      </c>
      <c r="I148" s="2" t="s">
        <v>61</v>
      </c>
      <c r="J148" s="2"/>
      <c r="K148" s="2" t="s">
        <v>230</v>
      </c>
      <c r="L148" s="2" t="s">
        <v>47</v>
      </c>
      <c r="M148" s="2"/>
      <c r="N148" s="2"/>
      <c r="O148" s="2" t="s">
        <v>212</v>
      </c>
    </row>
    <row r="149" customFormat="false" ht="15" hidden="false" customHeight="false" outlineLevel="0" collapsed="false">
      <c r="A149" s="2" t="s">
        <v>416</v>
      </c>
      <c r="B149" s="2" t="s">
        <v>34</v>
      </c>
      <c r="C149" s="2" t="s">
        <v>35</v>
      </c>
      <c r="D149" s="2" t="s">
        <v>50</v>
      </c>
      <c r="E149" s="2" t="s">
        <v>417</v>
      </c>
      <c r="F149" s="2" t="s">
        <v>69</v>
      </c>
      <c r="G149" s="2" t="s">
        <v>107</v>
      </c>
      <c r="H149" s="2" t="n">
        <v>1</v>
      </c>
      <c r="I149" s="2" t="s">
        <v>61</v>
      </c>
      <c r="J149" s="2"/>
      <c r="K149" s="2" t="s">
        <v>230</v>
      </c>
      <c r="L149" s="2" t="s">
        <v>40</v>
      </c>
      <c r="M149" s="2"/>
      <c r="N149" s="2"/>
      <c r="O149" s="2" t="s">
        <v>212</v>
      </c>
    </row>
    <row r="150" customFormat="false" ht="15" hidden="false" customHeight="false" outlineLevel="0" collapsed="false">
      <c r="A150" s="2" t="s">
        <v>418</v>
      </c>
      <c r="B150" s="2" t="s">
        <v>34</v>
      </c>
      <c r="C150" s="2" t="s">
        <v>35</v>
      </c>
      <c r="D150" s="2" t="s">
        <v>50</v>
      </c>
      <c r="E150" s="2" t="s">
        <v>419</v>
      </c>
      <c r="F150" s="2" t="s">
        <v>75</v>
      </c>
      <c r="G150" s="2" t="s">
        <v>145</v>
      </c>
      <c r="H150" s="2" t="n">
        <v>1</v>
      </c>
      <c r="I150" s="2" t="s">
        <v>61</v>
      </c>
      <c r="J150" s="2"/>
      <c r="K150" s="2" t="s">
        <v>230</v>
      </c>
      <c r="L150" s="2" t="s">
        <v>40</v>
      </c>
      <c r="M150" s="2"/>
      <c r="N150" s="2"/>
      <c r="O150" s="2" t="s">
        <v>212</v>
      </c>
    </row>
    <row r="151" customFormat="false" ht="23.85" hidden="false" customHeight="false" outlineLevel="0" collapsed="false">
      <c r="A151" s="2" t="s">
        <v>420</v>
      </c>
      <c r="B151" s="2" t="s">
        <v>34</v>
      </c>
      <c r="C151" s="2" t="s">
        <v>35</v>
      </c>
      <c r="D151" s="2" t="s">
        <v>50</v>
      </c>
      <c r="E151" s="2" t="s">
        <v>421</v>
      </c>
      <c r="F151" s="2" t="s">
        <v>75</v>
      </c>
      <c r="G151" s="2" t="s">
        <v>146</v>
      </c>
      <c r="H151" s="2" t="n">
        <v>2</v>
      </c>
      <c r="I151" s="2" t="s">
        <v>41</v>
      </c>
      <c r="J151" s="2"/>
      <c r="K151" s="2" t="s">
        <v>215</v>
      </c>
      <c r="L151" s="2" t="s">
        <v>40</v>
      </c>
      <c r="M151" s="2"/>
      <c r="N151" s="2"/>
      <c r="O151" s="2" t="s">
        <v>212</v>
      </c>
    </row>
    <row r="152" customFormat="false" ht="23.85" hidden="false" customHeight="false" outlineLevel="0" collapsed="false">
      <c r="A152" s="2" t="s">
        <v>420</v>
      </c>
      <c r="B152" s="2" t="s">
        <v>34</v>
      </c>
      <c r="C152" s="2" t="s">
        <v>35</v>
      </c>
      <c r="D152" s="2" t="s">
        <v>50</v>
      </c>
      <c r="E152" s="2" t="s">
        <v>421</v>
      </c>
      <c r="F152" s="2" t="s">
        <v>75</v>
      </c>
      <c r="G152" s="2" t="s">
        <v>148</v>
      </c>
      <c r="H152" s="2" t="n">
        <v>2</v>
      </c>
      <c r="I152" s="2" t="s">
        <v>41</v>
      </c>
      <c r="J152" s="2"/>
      <c r="K152" s="2" t="s">
        <v>215</v>
      </c>
      <c r="L152" s="2" t="s">
        <v>40</v>
      </c>
      <c r="M152" s="2"/>
      <c r="N152" s="2"/>
      <c r="O152" s="2" t="s">
        <v>212</v>
      </c>
    </row>
    <row r="153" customFormat="false" ht="15" hidden="false" customHeight="false" outlineLevel="0" collapsed="false">
      <c r="A153" s="2" t="s">
        <v>422</v>
      </c>
      <c r="B153" s="2" t="s">
        <v>34</v>
      </c>
      <c r="C153" s="2" t="s">
        <v>35</v>
      </c>
      <c r="D153" s="2" t="s">
        <v>50</v>
      </c>
      <c r="E153" s="2" t="s">
        <v>232</v>
      </c>
      <c r="F153" s="2" t="s">
        <v>45</v>
      </c>
      <c r="G153" s="2" t="s">
        <v>423</v>
      </c>
      <c r="H153" s="2" t="n">
        <v>0</v>
      </c>
      <c r="I153" s="2" t="s">
        <v>55</v>
      </c>
      <c r="J153" s="2"/>
      <c r="K153" s="2" t="s">
        <v>230</v>
      </c>
      <c r="L153" s="2" t="s">
        <v>47</v>
      </c>
      <c r="M153" s="2"/>
      <c r="N153" s="2"/>
      <c r="O153" s="2" t="s">
        <v>212</v>
      </c>
    </row>
    <row r="154" customFormat="false" ht="15" hidden="false" customHeight="false" outlineLevel="0" collapsed="false">
      <c r="A154" s="2" t="s">
        <v>424</v>
      </c>
      <c r="B154" s="2" t="s">
        <v>34</v>
      </c>
      <c r="C154" s="2" t="s">
        <v>35</v>
      </c>
      <c r="D154" s="2" t="s">
        <v>50</v>
      </c>
      <c r="E154" s="2" t="s">
        <v>425</v>
      </c>
      <c r="F154" s="2" t="s">
        <v>69</v>
      </c>
      <c r="G154" s="2" t="s">
        <v>110</v>
      </c>
      <c r="H154" s="2" t="n">
        <v>1</v>
      </c>
      <c r="I154" s="2" t="s">
        <v>61</v>
      </c>
      <c r="J154" s="2"/>
      <c r="K154" s="2" t="s">
        <v>211</v>
      </c>
      <c r="L154" s="2" t="s">
        <v>40</v>
      </c>
      <c r="M154" s="2"/>
      <c r="N154" s="2"/>
      <c r="O154" s="2" t="s">
        <v>212</v>
      </c>
    </row>
    <row r="155" customFormat="false" ht="15" hidden="false" customHeight="false" outlineLevel="0" collapsed="false">
      <c r="A155" s="2" t="s">
        <v>426</v>
      </c>
      <c r="B155" s="2" t="s">
        <v>34</v>
      </c>
      <c r="C155" s="2" t="s">
        <v>35</v>
      </c>
      <c r="D155" s="2" t="s">
        <v>50</v>
      </c>
      <c r="E155" s="2" t="s">
        <v>251</v>
      </c>
      <c r="F155" s="2" t="s">
        <v>75</v>
      </c>
      <c r="G155" s="2" t="s">
        <v>134</v>
      </c>
      <c r="H155" s="2" t="n">
        <v>1</v>
      </c>
      <c r="I155" s="2" t="s">
        <v>61</v>
      </c>
      <c r="J155" s="2"/>
      <c r="K155" s="2" t="s">
        <v>233</v>
      </c>
      <c r="L155" s="2" t="s">
        <v>40</v>
      </c>
      <c r="M155" s="2"/>
      <c r="N155" s="2"/>
      <c r="O155" s="2" t="s">
        <v>212</v>
      </c>
    </row>
    <row r="156" customFormat="false" ht="15" hidden="false" customHeight="false" outlineLevel="0" collapsed="false">
      <c r="A156" s="2" t="s">
        <v>427</v>
      </c>
      <c r="B156" s="2" t="s">
        <v>34</v>
      </c>
      <c r="C156" s="2" t="s">
        <v>35</v>
      </c>
      <c r="D156" s="2" t="s">
        <v>50</v>
      </c>
      <c r="E156" s="2" t="s">
        <v>428</v>
      </c>
      <c r="F156" s="2" t="s">
        <v>58</v>
      </c>
      <c r="G156" s="2" t="s">
        <v>51</v>
      </c>
      <c r="H156" s="2" t="n">
        <v>2</v>
      </c>
      <c r="I156" s="2" t="s">
        <v>41</v>
      </c>
      <c r="J156" s="2"/>
      <c r="K156" s="2" t="s">
        <v>230</v>
      </c>
      <c r="L156" s="2" t="s">
        <v>47</v>
      </c>
      <c r="M156" s="2"/>
      <c r="N156" s="2"/>
      <c r="O156" s="2" t="s">
        <v>212</v>
      </c>
    </row>
    <row r="157" customFormat="false" ht="15" hidden="false" customHeight="false" outlineLevel="0" collapsed="false">
      <c r="A157" s="2" t="s">
        <v>427</v>
      </c>
      <c r="B157" s="2" t="s">
        <v>34</v>
      </c>
      <c r="C157" s="2" t="s">
        <v>35</v>
      </c>
      <c r="D157" s="2" t="s">
        <v>50</v>
      </c>
      <c r="E157" s="2" t="s">
        <v>428</v>
      </c>
      <c r="F157" s="2" t="s">
        <v>58</v>
      </c>
      <c r="G157" s="2" t="s">
        <v>148</v>
      </c>
      <c r="H157" s="2" t="n">
        <v>2</v>
      </c>
      <c r="I157" s="2" t="s">
        <v>41</v>
      </c>
      <c r="J157" s="2"/>
      <c r="K157" s="2" t="s">
        <v>230</v>
      </c>
      <c r="L157" s="2" t="s">
        <v>47</v>
      </c>
      <c r="M157" s="2"/>
      <c r="N157" s="2"/>
      <c r="O157" s="2" t="s">
        <v>212</v>
      </c>
    </row>
    <row r="158" customFormat="false" ht="15" hidden="false" customHeight="false" outlineLevel="0" collapsed="false">
      <c r="A158" s="2" t="s">
        <v>429</v>
      </c>
      <c r="B158" s="2" t="s">
        <v>34</v>
      </c>
      <c r="C158" s="2" t="s">
        <v>35</v>
      </c>
      <c r="D158" s="2" t="s">
        <v>50</v>
      </c>
      <c r="E158" s="2" t="s">
        <v>259</v>
      </c>
      <c r="F158" s="2" t="s">
        <v>38</v>
      </c>
      <c r="G158" s="2" t="s">
        <v>87</v>
      </c>
      <c r="H158" s="2" t="n">
        <v>1</v>
      </c>
      <c r="I158" s="2" t="s">
        <v>61</v>
      </c>
      <c r="J158" s="2"/>
      <c r="K158" s="2" t="s">
        <v>230</v>
      </c>
      <c r="L158" s="2" t="s">
        <v>47</v>
      </c>
      <c r="M158" s="2"/>
      <c r="N158" s="2"/>
      <c r="O158" s="2" t="s">
        <v>212</v>
      </c>
    </row>
    <row r="159" customFormat="false" ht="15" hidden="false" customHeight="false" outlineLevel="0" collapsed="false">
      <c r="A159" s="2" t="s">
        <v>430</v>
      </c>
      <c r="B159" s="2" t="s">
        <v>34</v>
      </c>
      <c r="C159" s="2" t="s">
        <v>35</v>
      </c>
      <c r="D159" s="2" t="s">
        <v>50</v>
      </c>
      <c r="E159" s="2" t="s">
        <v>261</v>
      </c>
      <c r="F159" s="2" t="s">
        <v>38</v>
      </c>
      <c r="G159" s="2" t="s">
        <v>85</v>
      </c>
      <c r="H159" s="2" t="n">
        <v>1</v>
      </c>
      <c r="I159" s="2" t="s">
        <v>61</v>
      </c>
      <c r="J159" s="2"/>
      <c r="K159" s="2" t="s">
        <v>215</v>
      </c>
      <c r="L159" s="2" t="s">
        <v>47</v>
      </c>
      <c r="M159" s="2"/>
      <c r="N159" s="2"/>
      <c r="O159" s="2" t="s">
        <v>212</v>
      </c>
    </row>
    <row r="160" customFormat="false" ht="15" hidden="false" customHeight="false" outlineLevel="0" collapsed="false">
      <c r="A160" s="2" t="s">
        <v>431</v>
      </c>
      <c r="B160" s="2" t="s">
        <v>34</v>
      </c>
      <c r="C160" s="2" t="s">
        <v>35</v>
      </c>
      <c r="D160" s="2" t="s">
        <v>50</v>
      </c>
      <c r="E160" s="2" t="s">
        <v>359</v>
      </c>
      <c r="F160" s="2" t="s">
        <v>75</v>
      </c>
      <c r="G160" s="2" t="s">
        <v>140</v>
      </c>
      <c r="H160" s="2" t="n">
        <v>1</v>
      </c>
      <c r="I160" s="2" t="s">
        <v>61</v>
      </c>
      <c r="J160" s="2"/>
      <c r="K160" s="2" t="s">
        <v>233</v>
      </c>
      <c r="L160" s="2" t="s">
        <v>40</v>
      </c>
      <c r="M160" s="2"/>
      <c r="N160" s="2"/>
      <c r="O160" s="2" t="s">
        <v>212</v>
      </c>
    </row>
    <row r="161" customFormat="false" ht="15" hidden="false" customHeight="false" outlineLevel="0" collapsed="false">
      <c r="A161" s="2" t="s">
        <v>432</v>
      </c>
      <c r="B161" s="2" t="s">
        <v>34</v>
      </c>
      <c r="C161" s="2" t="s">
        <v>35</v>
      </c>
      <c r="D161" s="2" t="s">
        <v>50</v>
      </c>
      <c r="E161" s="2" t="s">
        <v>433</v>
      </c>
      <c r="F161" s="2" t="s">
        <v>73</v>
      </c>
      <c r="G161" s="2" t="s">
        <v>131</v>
      </c>
      <c r="H161" s="2" t="n">
        <v>1</v>
      </c>
      <c r="I161" s="2" t="s">
        <v>61</v>
      </c>
      <c r="J161" s="2"/>
      <c r="K161" s="2" t="s">
        <v>233</v>
      </c>
      <c r="L161" s="2" t="s">
        <v>47</v>
      </c>
      <c r="M161" s="2"/>
      <c r="N161" s="2"/>
      <c r="O161" s="2" t="s">
        <v>212</v>
      </c>
    </row>
    <row r="162" customFormat="false" ht="15" hidden="false" customHeight="false" outlineLevel="0" collapsed="false">
      <c r="A162" s="2" t="s">
        <v>434</v>
      </c>
      <c r="B162" s="2" t="s">
        <v>34</v>
      </c>
      <c r="C162" s="2" t="s">
        <v>35</v>
      </c>
      <c r="D162" s="2" t="s">
        <v>50</v>
      </c>
      <c r="E162" s="2" t="s">
        <v>277</v>
      </c>
      <c r="F162" s="2" t="s">
        <v>69</v>
      </c>
      <c r="G162" s="2" t="s">
        <v>108</v>
      </c>
      <c r="H162" s="2" t="n">
        <v>2</v>
      </c>
      <c r="I162" s="2" t="s">
        <v>41</v>
      </c>
      <c r="J162" s="2"/>
      <c r="K162" s="2" t="s">
        <v>211</v>
      </c>
      <c r="L162" s="2" t="s">
        <v>40</v>
      </c>
      <c r="M162" s="2"/>
      <c r="N162" s="2"/>
      <c r="O162" s="2" t="s">
        <v>212</v>
      </c>
    </row>
    <row r="163" customFormat="false" ht="15" hidden="false" customHeight="false" outlineLevel="0" collapsed="false">
      <c r="A163" s="2" t="s">
        <v>434</v>
      </c>
      <c r="B163" s="2" t="s">
        <v>34</v>
      </c>
      <c r="C163" s="2" t="s">
        <v>35</v>
      </c>
      <c r="D163" s="2" t="s">
        <v>50</v>
      </c>
      <c r="E163" s="2" t="s">
        <v>277</v>
      </c>
      <c r="F163" s="2" t="s">
        <v>69</v>
      </c>
      <c r="G163" s="2" t="s">
        <v>124</v>
      </c>
      <c r="H163" s="2" t="n">
        <v>2</v>
      </c>
      <c r="I163" s="2" t="s">
        <v>41</v>
      </c>
      <c r="J163" s="2"/>
      <c r="K163" s="2" t="s">
        <v>211</v>
      </c>
      <c r="L163" s="2" t="s">
        <v>40</v>
      </c>
      <c r="M163" s="2"/>
      <c r="N163" s="2"/>
      <c r="O163" s="2" t="s">
        <v>212</v>
      </c>
    </row>
    <row r="164" customFormat="false" ht="15" hidden="false" customHeight="false" outlineLevel="0" collapsed="false">
      <c r="A164" s="2" t="s">
        <v>435</v>
      </c>
      <c r="B164" s="2" t="s">
        <v>34</v>
      </c>
      <c r="C164" s="2" t="s">
        <v>35</v>
      </c>
      <c r="D164" s="2" t="s">
        <v>50</v>
      </c>
      <c r="E164" s="2" t="s">
        <v>436</v>
      </c>
      <c r="F164" s="2" t="s">
        <v>58</v>
      </c>
      <c r="G164" s="2" t="s">
        <v>97</v>
      </c>
      <c r="H164" s="2" t="n">
        <v>1</v>
      </c>
      <c r="I164" s="2" t="s">
        <v>61</v>
      </c>
      <c r="J164" s="2"/>
      <c r="K164" s="2" t="s">
        <v>211</v>
      </c>
      <c r="L164" s="2" t="s">
        <v>40</v>
      </c>
      <c r="M164" s="2"/>
      <c r="N164" s="2"/>
      <c r="O164" s="2" t="s">
        <v>212</v>
      </c>
    </row>
    <row r="165" customFormat="false" ht="15" hidden="false" customHeight="false" outlineLevel="0" collapsed="false">
      <c r="A165" s="2" t="s">
        <v>437</v>
      </c>
      <c r="B165" s="2" t="s">
        <v>34</v>
      </c>
      <c r="C165" s="2" t="s">
        <v>35</v>
      </c>
      <c r="D165" s="2" t="s">
        <v>50</v>
      </c>
      <c r="E165" s="2" t="s">
        <v>438</v>
      </c>
      <c r="F165" s="2" t="s">
        <v>69</v>
      </c>
      <c r="G165" s="2" t="s">
        <v>124</v>
      </c>
      <c r="H165" s="2" t="n">
        <v>1</v>
      </c>
      <c r="I165" s="2" t="s">
        <v>61</v>
      </c>
      <c r="J165" s="2"/>
      <c r="K165" s="2" t="s">
        <v>211</v>
      </c>
      <c r="L165" s="2" t="s">
        <v>40</v>
      </c>
      <c r="M165" s="2"/>
      <c r="N165" s="2"/>
      <c r="O165" s="2" t="s">
        <v>212</v>
      </c>
    </row>
    <row r="166" customFormat="false" ht="15" hidden="false" customHeight="false" outlineLevel="0" collapsed="false">
      <c r="A166" s="2" t="s">
        <v>439</v>
      </c>
      <c r="B166" s="2" t="s">
        <v>34</v>
      </c>
      <c r="C166" s="2" t="s">
        <v>35</v>
      </c>
      <c r="D166" s="2" t="s">
        <v>50</v>
      </c>
      <c r="E166" s="2" t="s">
        <v>440</v>
      </c>
      <c r="F166" s="2" t="s">
        <v>45</v>
      </c>
      <c r="G166" s="2" t="s">
        <v>62</v>
      </c>
      <c r="H166" s="2" t="n">
        <v>2</v>
      </c>
      <c r="I166" s="2" t="s">
        <v>41</v>
      </c>
      <c r="J166" s="2"/>
      <c r="K166" s="2" t="s">
        <v>233</v>
      </c>
      <c r="L166" s="2" t="s">
        <v>40</v>
      </c>
      <c r="M166" s="2"/>
      <c r="N166" s="2"/>
      <c r="O166" s="2" t="s">
        <v>212</v>
      </c>
    </row>
    <row r="167" customFormat="false" ht="15" hidden="false" customHeight="false" outlineLevel="0" collapsed="false">
      <c r="A167" s="2" t="s">
        <v>439</v>
      </c>
      <c r="B167" s="2" t="s">
        <v>34</v>
      </c>
      <c r="C167" s="2" t="s">
        <v>35</v>
      </c>
      <c r="D167" s="2" t="s">
        <v>50</v>
      </c>
      <c r="E167" s="2" t="s">
        <v>440</v>
      </c>
      <c r="F167" s="2" t="s">
        <v>45</v>
      </c>
      <c r="G167" s="2" t="s">
        <v>131</v>
      </c>
      <c r="H167" s="2" t="n">
        <v>2</v>
      </c>
      <c r="I167" s="2" t="s">
        <v>41</v>
      </c>
      <c r="J167" s="2"/>
      <c r="K167" s="2" t="s">
        <v>233</v>
      </c>
      <c r="L167" s="2" t="s">
        <v>40</v>
      </c>
      <c r="M167" s="2"/>
      <c r="N167" s="2"/>
      <c r="O167" s="2" t="s">
        <v>212</v>
      </c>
    </row>
    <row r="168" customFormat="false" ht="15" hidden="false" customHeight="false" outlineLevel="0" collapsed="false">
      <c r="A168" s="2" t="s">
        <v>441</v>
      </c>
      <c r="B168" s="2" t="s">
        <v>34</v>
      </c>
      <c r="C168" s="2" t="s">
        <v>35</v>
      </c>
      <c r="D168" s="2" t="s">
        <v>50</v>
      </c>
      <c r="E168" s="2" t="s">
        <v>442</v>
      </c>
      <c r="F168" s="2" t="s">
        <v>75</v>
      </c>
      <c r="G168" s="2" t="s">
        <v>147</v>
      </c>
      <c r="H168" s="2" t="n">
        <v>1</v>
      </c>
      <c r="I168" s="2" t="s">
        <v>61</v>
      </c>
      <c r="J168" s="2"/>
      <c r="K168" s="2" t="s">
        <v>233</v>
      </c>
      <c r="L168" s="2" t="s">
        <v>40</v>
      </c>
      <c r="M168" s="2"/>
      <c r="N168" s="2"/>
      <c r="O168" s="2" t="s">
        <v>212</v>
      </c>
    </row>
    <row r="169" customFormat="false" ht="15" hidden="false" customHeight="false" outlineLevel="0" collapsed="false">
      <c r="A169" s="2" t="s">
        <v>443</v>
      </c>
      <c r="B169" s="2" t="s">
        <v>34</v>
      </c>
      <c r="C169" s="2" t="s">
        <v>35</v>
      </c>
      <c r="D169" s="2" t="s">
        <v>50</v>
      </c>
      <c r="E169" s="2" t="s">
        <v>444</v>
      </c>
      <c r="F169" s="2" t="s">
        <v>45</v>
      </c>
      <c r="G169" s="2" t="s">
        <v>72</v>
      </c>
      <c r="H169" s="2" t="n">
        <v>3</v>
      </c>
      <c r="I169" s="2" t="s">
        <v>41</v>
      </c>
      <c r="J169" s="2"/>
      <c r="K169" s="2" t="s">
        <v>230</v>
      </c>
      <c r="L169" s="2" t="s">
        <v>40</v>
      </c>
      <c r="M169" s="2"/>
      <c r="N169" s="2"/>
      <c r="O169" s="2" t="s">
        <v>212</v>
      </c>
    </row>
    <row r="170" customFormat="false" ht="15" hidden="false" customHeight="false" outlineLevel="0" collapsed="false">
      <c r="A170" s="2" t="s">
        <v>443</v>
      </c>
      <c r="B170" s="2" t="s">
        <v>34</v>
      </c>
      <c r="C170" s="2" t="s">
        <v>35</v>
      </c>
      <c r="D170" s="2" t="s">
        <v>50</v>
      </c>
      <c r="E170" s="2" t="s">
        <v>444</v>
      </c>
      <c r="F170" s="2" t="s">
        <v>45</v>
      </c>
      <c r="G170" s="2" t="s">
        <v>62</v>
      </c>
      <c r="H170" s="2" t="n">
        <v>3</v>
      </c>
      <c r="I170" s="2" t="s">
        <v>41</v>
      </c>
      <c r="J170" s="2"/>
      <c r="K170" s="2" t="s">
        <v>230</v>
      </c>
      <c r="L170" s="2" t="s">
        <v>40</v>
      </c>
      <c r="M170" s="2"/>
      <c r="N170" s="2"/>
      <c r="O170" s="2" t="s">
        <v>212</v>
      </c>
    </row>
    <row r="171" customFormat="false" ht="15" hidden="false" customHeight="false" outlineLevel="0" collapsed="false">
      <c r="A171" s="2" t="s">
        <v>443</v>
      </c>
      <c r="B171" s="2" t="s">
        <v>34</v>
      </c>
      <c r="C171" s="2" t="s">
        <v>35</v>
      </c>
      <c r="D171" s="2" t="s">
        <v>50</v>
      </c>
      <c r="E171" s="2" t="s">
        <v>444</v>
      </c>
      <c r="F171" s="2" t="s">
        <v>45</v>
      </c>
      <c r="G171" s="2" t="s">
        <v>82</v>
      </c>
      <c r="H171" s="2" t="n">
        <v>3</v>
      </c>
      <c r="I171" s="2" t="s">
        <v>41</v>
      </c>
      <c r="J171" s="2"/>
      <c r="K171" s="2" t="s">
        <v>230</v>
      </c>
      <c r="L171" s="2" t="s">
        <v>40</v>
      </c>
      <c r="M171" s="2"/>
      <c r="N171" s="2"/>
      <c r="O171" s="2" t="s">
        <v>212</v>
      </c>
    </row>
    <row r="172" customFormat="false" ht="15" hidden="false" customHeight="false" outlineLevel="0" collapsed="false">
      <c r="A172" s="2" t="s">
        <v>445</v>
      </c>
      <c r="B172" s="2" t="s">
        <v>34</v>
      </c>
      <c r="C172" s="2" t="s">
        <v>35</v>
      </c>
      <c r="D172" s="2" t="s">
        <v>50</v>
      </c>
      <c r="E172" s="2" t="s">
        <v>289</v>
      </c>
      <c r="F172" s="2" t="s">
        <v>66</v>
      </c>
      <c r="G172" s="2" t="s">
        <v>142</v>
      </c>
      <c r="H172" s="2" t="n">
        <v>3</v>
      </c>
      <c r="I172" s="2" t="s">
        <v>41</v>
      </c>
      <c r="J172" s="2"/>
      <c r="K172" s="2" t="s">
        <v>211</v>
      </c>
      <c r="L172" s="2" t="s">
        <v>47</v>
      </c>
      <c r="M172" s="2"/>
      <c r="N172" s="2"/>
      <c r="O172" s="2" t="s">
        <v>212</v>
      </c>
    </row>
    <row r="173" customFormat="false" ht="15" hidden="false" customHeight="false" outlineLevel="0" collapsed="false">
      <c r="A173" s="2" t="s">
        <v>445</v>
      </c>
      <c r="B173" s="2" t="s">
        <v>34</v>
      </c>
      <c r="C173" s="2" t="s">
        <v>35</v>
      </c>
      <c r="D173" s="2" t="s">
        <v>50</v>
      </c>
      <c r="E173" s="2" t="s">
        <v>289</v>
      </c>
      <c r="F173" s="2" t="s">
        <v>66</v>
      </c>
      <c r="G173" s="2" t="s">
        <v>104</v>
      </c>
      <c r="H173" s="2" t="n">
        <v>3</v>
      </c>
      <c r="I173" s="2" t="s">
        <v>41</v>
      </c>
      <c r="J173" s="2"/>
      <c r="K173" s="2" t="s">
        <v>211</v>
      </c>
      <c r="L173" s="2" t="s">
        <v>47</v>
      </c>
      <c r="M173" s="2"/>
      <c r="N173" s="2"/>
      <c r="O173" s="2" t="s">
        <v>212</v>
      </c>
    </row>
    <row r="174" customFormat="false" ht="15" hidden="false" customHeight="false" outlineLevel="0" collapsed="false">
      <c r="A174" s="2" t="s">
        <v>445</v>
      </c>
      <c r="B174" s="2" t="s">
        <v>34</v>
      </c>
      <c r="C174" s="2" t="s">
        <v>35</v>
      </c>
      <c r="D174" s="2" t="s">
        <v>50</v>
      </c>
      <c r="E174" s="2" t="s">
        <v>289</v>
      </c>
      <c r="F174" s="2" t="s">
        <v>66</v>
      </c>
      <c r="G174" s="2" t="s">
        <v>87</v>
      </c>
      <c r="H174" s="2" t="n">
        <v>3</v>
      </c>
      <c r="I174" s="2" t="s">
        <v>41</v>
      </c>
      <c r="J174" s="2"/>
      <c r="K174" s="2" t="s">
        <v>211</v>
      </c>
      <c r="L174" s="2" t="s">
        <v>47</v>
      </c>
      <c r="M174" s="2"/>
      <c r="N174" s="2"/>
      <c r="O174" s="2" t="s">
        <v>212</v>
      </c>
    </row>
    <row r="175" customFormat="false" ht="15" hidden="false" customHeight="false" outlineLevel="0" collapsed="false">
      <c r="A175" s="2" t="s">
        <v>446</v>
      </c>
      <c r="B175" s="2" t="s">
        <v>34</v>
      </c>
      <c r="C175" s="2" t="s">
        <v>35</v>
      </c>
      <c r="D175" s="2" t="s">
        <v>50</v>
      </c>
      <c r="E175" s="2" t="s">
        <v>291</v>
      </c>
      <c r="F175" s="2" t="s">
        <v>52</v>
      </c>
      <c r="G175" s="2" t="s">
        <v>90</v>
      </c>
      <c r="H175" s="2" t="n">
        <v>1</v>
      </c>
      <c r="I175" s="2" t="s">
        <v>61</v>
      </c>
      <c r="J175" s="2"/>
      <c r="K175" s="2" t="s">
        <v>230</v>
      </c>
      <c r="L175" s="2" t="s">
        <v>47</v>
      </c>
      <c r="M175" s="2"/>
      <c r="N175" s="2"/>
      <c r="O175" s="2" t="s">
        <v>212</v>
      </c>
    </row>
    <row r="176" customFormat="false" ht="15" hidden="false" customHeight="false" outlineLevel="0" collapsed="false">
      <c r="A176" s="2" t="s">
        <v>447</v>
      </c>
      <c r="B176" s="2" t="s">
        <v>34</v>
      </c>
      <c r="C176" s="2" t="s">
        <v>35</v>
      </c>
      <c r="D176" s="2" t="s">
        <v>50</v>
      </c>
      <c r="E176" s="2" t="s">
        <v>392</v>
      </c>
      <c r="F176" s="2" t="s">
        <v>75</v>
      </c>
      <c r="G176" s="2" t="s">
        <v>104</v>
      </c>
      <c r="H176" s="2" t="n">
        <v>1</v>
      </c>
      <c r="I176" s="2" t="s">
        <v>61</v>
      </c>
      <c r="J176" s="2"/>
      <c r="K176" s="2" t="s">
        <v>448</v>
      </c>
      <c r="L176" s="2" t="s">
        <v>47</v>
      </c>
      <c r="M176" s="2"/>
      <c r="N176" s="2"/>
      <c r="O176" s="2" t="s">
        <v>212</v>
      </c>
    </row>
    <row r="177" customFormat="false" ht="15" hidden="false" customHeight="false" outlineLevel="0" collapsed="false">
      <c r="A177" s="2" t="s">
        <v>449</v>
      </c>
      <c r="B177" s="2" t="s">
        <v>34</v>
      </c>
      <c r="C177" s="2" t="s">
        <v>35</v>
      </c>
      <c r="D177" s="2" t="s">
        <v>50</v>
      </c>
      <c r="E177" s="2" t="s">
        <v>450</v>
      </c>
      <c r="F177" s="2" t="s">
        <v>58</v>
      </c>
      <c r="G177" s="2" t="s">
        <v>137</v>
      </c>
      <c r="H177" s="2" t="n">
        <v>4</v>
      </c>
      <c r="I177" s="2" t="s">
        <v>41</v>
      </c>
      <c r="J177" s="2"/>
      <c r="K177" s="2" t="s">
        <v>230</v>
      </c>
      <c r="L177" s="2" t="s">
        <v>40</v>
      </c>
      <c r="M177" s="2"/>
      <c r="N177" s="2"/>
      <c r="O177" s="2" t="s">
        <v>212</v>
      </c>
    </row>
    <row r="178" customFormat="false" ht="15" hidden="false" customHeight="false" outlineLevel="0" collapsed="false">
      <c r="A178" s="2" t="s">
        <v>449</v>
      </c>
      <c r="B178" s="2" t="s">
        <v>34</v>
      </c>
      <c r="C178" s="2" t="s">
        <v>35</v>
      </c>
      <c r="D178" s="2" t="s">
        <v>50</v>
      </c>
      <c r="E178" s="2" t="s">
        <v>450</v>
      </c>
      <c r="F178" s="2" t="s">
        <v>58</v>
      </c>
      <c r="G178" s="2" t="s">
        <v>97</v>
      </c>
      <c r="H178" s="2" t="n">
        <v>4</v>
      </c>
      <c r="I178" s="2" t="s">
        <v>41</v>
      </c>
      <c r="J178" s="2"/>
      <c r="K178" s="2" t="s">
        <v>230</v>
      </c>
      <c r="L178" s="2" t="s">
        <v>40</v>
      </c>
      <c r="M178" s="2"/>
      <c r="N178" s="2"/>
      <c r="O178" s="2" t="s">
        <v>212</v>
      </c>
    </row>
    <row r="179" customFormat="false" ht="15" hidden="false" customHeight="false" outlineLevel="0" collapsed="false">
      <c r="A179" s="2" t="s">
        <v>449</v>
      </c>
      <c r="B179" s="2" t="s">
        <v>34</v>
      </c>
      <c r="C179" s="2" t="s">
        <v>35</v>
      </c>
      <c r="D179" s="2" t="s">
        <v>50</v>
      </c>
      <c r="E179" s="2" t="s">
        <v>450</v>
      </c>
      <c r="F179" s="2" t="s">
        <v>58</v>
      </c>
      <c r="G179" s="2" t="s">
        <v>86</v>
      </c>
      <c r="H179" s="2" t="n">
        <v>4</v>
      </c>
      <c r="I179" s="2" t="s">
        <v>41</v>
      </c>
      <c r="J179" s="2"/>
      <c r="K179" s="2" t="s">
        <v>230</v>
      </c>
      <c r="L179" s="2" t="s">
        <v>40</v>
      </c>
      <c r="M179" s="2"/>
      <c r="N179" s="2"/>
      <c r="O179" s="2" t="s">
        <v>212</v>
      </c>
    </row>
    <row r="180" customFormat="false" ht="15" hidden="false" customHeight="false" outlineLevel="0" collapsed="false">
      <c r="A180" s="2" t="s">
        <v>449</v>
      </c>
      <c r="B180" s="2" t="s">
        <v>34</v>
      </c>
      <c r="C180" s="2" t="s">
        <v>35</v>
      </c>
      <c r="D180" s="2" t="s">
        <v>50</v>
      </c>
      <c r="E180" s="2" t="s">
        <v>450</v>
      </c>
      <c r="F180" s="2" t="s">
        <v>58</v>
      </c>
      <c r="G180" s="2" t="s">
        <v>131</v>
      </c>
      <c r="H180" s="2" t="n">
        <v>4</v>
      </c>
      <c r="I180" s="2" t="s">
        <v>41</v>
      </c>
      <c r="J180" s="2"/>
      <c r="K180" s="2" t="s">
        <v>230</v>
      </c>
      <c r="L180" s="2" t="s">
        <v>40</v>
      </c>
      <c r="M180" s="2"/>
      <c r="N180" s="2"/>
      <c r="O180" s="2" t="s">
        <v>212</v>
      </c>
    </row>
    <row r="181" customFormat="false" ht="15" hidden="false" customHeight="false" outlineLevel="0" collapsed="false">
      <c r="A181" s="2" t="s">
        <v>451</v>
      </c>
      <c r="B181" s="2" t="s">
        <v>34</v>
      </c>
      <c r="C181" s="2" t="s">
        <v>35</v>
      </c>
      <c r="D181" s="2" t="s">
        <v>50</v>
      </c>
      <c r="E181" s="2" t="s">
        <v>301</v>
      </c>
      <c r="F181" s="2" t="s">
        <v>73</v>
      </c>
      <c r="G181" s="2" t="s">
        <v>131</v>
      </c>
      <c r="H181" s="2" t="n">
        <v>1</v>
      </c>
      <c r="I181" s="2" t="s">
        <v>61</v>
      </c>
      <c r="J181" s="2"/>
      <c r="K181" s="2" t="s">
        <v>215</v>
      </c>
      <c r="L181" s="2" t="s">
        <v>47</v>
      </c>
      <c r="M181" s="2"/>
      <c r="N181" s="2"/>
      <c r="O181" s="2" t="s">
        <v>212</v>
      </c>
    </row>
    <row r="182" customFormat="false" ht="15" hidden="false" customHeight="false" outlineLevel="0" collapsed="false">
      <c r="A182" s="2" t="s">
        <v>452</v>
      </c>
      <c r="B182" s="2" t="s">
        <v>34</v>
      </c>
      <c r="C182" s="2" t="s">
        <v>35</v>
      </c>
      <c r="D182" s="2" t="s">
        <v>50</v>
      </c>
      <c r="E182" s="2" t="s">
        <v>305</v>
      </c>
      <c r="F182" s="2" t="s">
        <v>75</v>
      </c>
      <c r="G182" s="2" t="s">
        <v>138</v>
      </c>
      <c r="H182" s="2" t="n">
        <v>2</v>
      </c>
      <c r="I182" s="2" t="s">
        <v>41</v>
      </c>
      <c r="J182" s="2"/>
      <c r="K182" s="2" t="s">
        <v>211</v>
      </c>
      <c r="L182" s="2" t="s">
        <v>40</v>
      </c>
      <c r="M182" s="2"/>
      <c r="N182" s="2"/>
      <c r="O182" s="2" t="s">
        <v>212</v>
      </c>
    </row>
    <row r="183" customFormat="false" ht="15" hidden="false" customHeight="false" outlineLevel="0" collapsed="false">
      <c r="A183" s="2" t="s">
        <v>452</v>
      </c>
      <c r="B183" s="2" t="s">
        <v>34</v>
      </c>
      <c r="C183" s="2" t="s">
        <v>35</v>
      </c>
      <c r="D183" s="2" t="s">
        <v>50</v>
      </c>
      <c r="E183" s="2" t="s">
        <v>305</v>
      </c>
      <c r="F183" s="2" t="s">
        <v>75</v>
      </c>
      <c r="G183" s="2" t="s">
        <v>140</v>
      </c>
      <c r="H183" s="2" t="n">
        <v>2</v>
      </c>
      <c r="I183" s="2" t="s">
        <v>41</v>
      </c>
      <c r="J183" s="2"/>
      <c r="K183" s="2" t="s">
        <v>211</v>
      </c>
      <c r="L183" s="2" t="s">
        <v>40</v>
      </c>
      <c r="M183" s="2"/>
      <c r="N183" s="2"/>
      <c r="O183" s="2" t="s">
        <v>212</v>
      </c>
    </row>
    <row r="184" customFormat="false" ht="15" hidden="false" customHeight="false" outlineLevel="0" collapsed="false">
      <c r="A184" s="2" t="s">
        <v>453</v>
      </c>
      <c r="B184" s="2" t="s">
        <v>34</v>
      </c>
      <c r="C184" s="2" t="s">
        <v>35</v>
      </c>
      <c r="D184" s="2" t="s">
        <v>50</v>
      </c>
      <c r="E184" s="2" t="s">
        <v>400</v>
      </c>
      <c r="F184" s="2" t="s">
        <v>45</v>
      </c>
      <c r="G184" s="2" t="s">
        <v>72</v>
      </c>
      <c r="H184" s="2" t="n">
        <v>1</v>
      </c>
      <c r="I184" s="2" t="s">
        <v>61</v>
      </c>
      <c r="J184" s="2"/>
      <c r="K184" s="2" t="s">
        <v>211</v>
      </c>
      <c r="L184" s="2" t="s">
        <v>40</v>
      </c>
      <c r="M184" s="2"/>
      <c r="N184" s="2"/>
      <c r="O184" s="2" t="s">
        <v>212</v>
      </c>
    </row>
    <row r="185" customFormat="false" ht="15" hidden="false" customHeight="false" outlineLevel="0" collapsed="false">
      <c r="A185" s="2" t="s">
        <v>454</v>
      </c>
      <c r="B185" s="2" t="s">
        <v>34</v>
      </c>
      <c r="C185" s="2" t="s">
        <v>35</v>
      </c>
      <c r="D185" s="2" t="s">
        <v>50</v>
      </c>
      <c r="E185" s="2" t="s">
        <v>455</v>
      </c>
      <c r="F185" s="2" t="s">
        <v>69</v>
      </c>
      <c r="G185" s="2" t="s">
        <v>120</v>
      </c>
      <c r="H185" s="2" t="n">
        <v>1</v>
      </c>
      <c r="I185" s="2" t="s">
        <v>61</v>
      </c>
      <c r="J185" s="2"/>
      <c r="K185" s="2" t="s">
        <v>230</v>
      </c>
      <c r="L185" s="2" t="s">
        <v>40</v>
      </c>
      <c r="M185" s="2"/>
      <c r="N185" s="2"/>
      <c r="O185" s="2" t="s">
        <v>212</v>
      </c>
    </row>
    <row r="186" customFormat="false" ht="15" hidden="false" customHeight="false" outlineLevel="0" collapsed="false">
      <c r="A186" s="2" t="s">
        <v>456</v>
      </c>
      <c r="B186" s="2" t="s">
        <v>34</v>
      </c>
      <c r="C186" s="2" t="s">
        <v>35</v>
      </c>
      <c r="D186" s="2" t="s">
        <v>50</v>
      </c>
      <c r="E186" s="2" t="s">
        <v>457</v>
      </c>
      <c r="F186" s="2" t="s">
        <v>71</v>
      </c>
      <c r="G186" s="2" t="s">
        <v>126</v>
      </c>
      <c r="H186" s="2" t="n">
        <v>1</v>
      </c>
      <c r="I186" s="2" t="s">
        <v>61</v>
      </c>
      <c r="J186" s="2"/>
      <c r="K186" s="2" t="s">
        <v>211</v>
      </c>
      <c r="L186" s="2" t="s">
        <v>40</v>
      </c>
      <c r="M186" s="2"/>
      <c r="N186" s="2"/>
      <c r="O186" s="2" t="s">
        <v>212</v>
      </c>
    </row>
    <row r="187" customFormat="false" ht="15" hidden="false" customHeight="false" outlineLevel="0" collapsed="false">
      <c r="A187" s="2" t="s">
        <v>458</v>
      </c>
      <c r="B187" s="2" t="s">
        <v>34</v>
      </c>
      <c r="C187" s="2" t="s">
        <v>35</v>
      </c>
      <c r="D187" s="2" t="s">
        <v>50</v>
      </c>
      <c r="E187" s="2" t="s">
        <v>410</v>
      </c>
      <c r="F187" s="2" t="s">
        <v>75</v>
      </c>
      <c r="G187" s="2" t="s">
        <v>142</v>
      </c>
      <c r="H187" s="2" t="n">
        <v>3</v>
      </c>
      <c r="I187" s="2" t="s">
        <v>41</v>
      </c>
      <c r="J187" s="2"/>
      <c r="K187" s="2" t="s">
        <v>215</v>
      </c>
      <c r="L187" s="2" t="s">
        <v>47</v>
      </c>
      <c r="M187" s="2"/>
      <c r="N187" s="2"/>
      <c r="O187" s="2" t="s">
        <v>212</v>
      </c>
    </row>
    <row r="188" customFormat="false" ht="15" hidden="false" customHeight="false" outlineLevel="0" collapsed="false">
      <c r="A188" s="2" t="s">
        <v>458</v>
      </c>
      <c r="B188" s="2" t="s">
        <v>34</v>
      </c>
      <c r="C188" s="2" t="s">
        <v>35</v>
      </c>
      <c r="D188" s="2" t="s">
        <v>50</v>
      </c>
      <c r="E188" s="2" t="s">
        <v>410</v>
      </c>
      <c r="F188" s="2" t="s">
        <v>75</v>
      </c>
      <c r="G188" s="2" t="s">
        <v>131</v>
      </c>
      <c r="H188" s="2" t="n">
        <v>3</v>
      </c>
      <c r="I188" s="2" t="s">
        <v>41</v>
      </c>
      <c r="J188" s="2"/>
      <c r="K188" s="2" t="s">
        <v>215</v>
      </c>
      <c r="L188" s="2" t="s">
        <v>47</v>
      </c>
      <c r="M188" s="2"/>
      <c r="N188" s="2"/>
      <c r="O188" s="2" t="s">
        <v>212</v>
      </c>
    </row>
    <row r="189" customFormat="false" ht="15" hidden="false" customHeight="false" outlineLevel="0" collapsed="false">
      <c r="A189" s="2" t="s">
        <v>458</v>
      </c>
      <c r="B189" s="2" t="s">
        <v>34</v>
      </c>
      <c r="C189" s="2" t="s">
        <v>35</v>
      </c>
      <c r="D189" s="2" t="s">
        <v>50</v>
      </c>
      <c r="E189" s="2" t="s">
        <v>410</v>
      </c>
      <c r="F189" s="2" t="s">
        <v>75</v>
      </c>
      <c r="G189" s="2" t="s">
        <v>82</v>
      </c>
      <c r="H189" s="2" t="n">
        <v>3</v>
      </c>
      <c r="I189" s="2" t="s">
        <v>41</v>
      </c>
      <c r="J189" s="2"/>
      <c r="K189" s="2" t="s">
        <v>215</v>
      </c>
      <c r="L189" s="2" t="s">
        <v>47</v>
      </c>
      <c r="M189" s="2"/>
      <c r="N189" s="2"/>
      <c r="O189" s="2" t="s">
        <v>212</v>
      </c>
    </row>
    <row r="190" customFormat="false" ht="23.85" hidden="false" customHeight="false" outlineLevel="0" collapsed="false">
      <c r="A190" s="2" t="s">
        <v>459</v>
      </c>
      <c r="B190" s="2" t="s">
        <v>34</v>
      </c>
      <c r="C190" s="2" t="s">
        <v>35</v>
      </c>
      <c r="D190" s="2" t="s">
        <v>56</v>
      </c>
      <c r="E190" s="2" t="s">
        <v>460</v>
      </c>
      <c r="F190" s="2" t="s">
        <v>75</v>
      </c>
      <c r="G190" s="2" t="s">
        <v>147</v>
      </c>
      <c r="H190" s="2" t="n">
        <v>1</v>
      </c>
      <c r="I190" s="2" t="s">
        <v>61</v>
      </c>
      <c r="J190" s="2" t="s">
        <v>46</v>
      </c>
      <c r="K190" s="2" t="s">
        <v>230</v>
      </c>
      <c r="L190" s="2" t="s">
        <v>67</v>
      </c>
      <c r="M190" s="2" t="s">
        <v>461</v>
      </c>
      <c r="N190" s="2" t="n">
        <v>2</v>
      </c>
      <c r="O190" s="2" t="s">
        <v>462</v>
      </c>
    </row>
    <row r="191" customFormat="false" ht="23.85" hidden="false" customHeight="false" outlineLevel="0" collapsed="false">
      <c r="A191" s="2" t="s">
        <v>463</v>
      </c>
      <c r="B191" s="2" t="s">
        <v>34</v>
      </c>
      <c r="C191" s="2" t="s">
        <v>35</v>
      </c>
      <c r="D191" s="2" t="s">
        <v>56</v>
      </c>
      <c r="E191" s="2" t="s">
        <v>214</v>
      </c>
      <c r="F191" s="2" t="s">
        <v>75</v>
      </c>
      <c r="G191" s="2" t="s">
        <v>139</v>
      </c>
      <c r="H191" s="2" t="n">
        <v>1</v>
      </c>
      <c r="I191" s="2" t="s">
        <v>61</v>
      </c>
      <c r="J191" s="2" t="s">
        <v>39</v>
      </c>
      <c r="K191" s="2" t="s">
        <v>215</v>
      </c>
      <c r="L191" s="2" t="s">
        <v>67</v>
      </c>
      <c r="M191" s="2" t="s">
        <v>461</v>
      </c>
      <c r="N191" s="2" t="n">
        <v>4</v>
      </c>
      <c r="O191" s="2" t="s">
        <v>462</v>
      </c>
    </row>
    <row r="192" customFormat="false" ht="23.85" hidden="false" customHeight="false" outlineLevel="0" collapsed="false">
      <c r="A192" s="2" t="s">
        <v>464</v>
      </c>
      <c r="B192" s="2" t="s">
        <v>34</v>
      </c>
      <c r="C192" s="2" t="s">
        <v>35</v>
      </c>
      <c r="D192" s="2" t="s">
        <v>56</v>
      </c>
      <c r="E192" s="2" t="s">
        <v>465</v>
      </c>
      <c r="F192" s="2" t="s">
        <v>75</v>
      </c>
      <c r="G192" s="2" t="s">
        <v>145</v>
      </c>
      <c r="H192" s="2" t="n">
        <v>1</v>
      </c>
      <c r="I192" s="2" t="s">
        <v>61</v>
      </c>
      <c r="J192" s="2" t="s">
        <v>53</v>
      </c>
      <c r="K192" s="2" t="s">
        <v>233</v>
      </c>
      <c r="L192" s="2" t="s">
        <v>67</v>
      </c>
      <c r="M192" s="2" t="s">
        <v>461</v>
      </c>
      <c r="N192" s="2" t="n">
        <v>2</v>
      </c>
      <c r="O192" s="2" t="s">
        <v>462</v>
      </c>
    </row>
    <row r="193" customFormat="false" ht="23.85" hidden="false" customHeight="false" outlineLevel="0" collapsed="false">
      <c r="A193" s="2" t="s">
        <v>466</v>
      </c>
      <c r="B193" s="2" t="s">
        <v>34</v>
      </c>
      <c r="C193" s="2" t="s">
        <v>35</v>
      </c>
      <c r="D193" s="2" t="s">
        <v>56</v>
      </c>
      <c r="E193" s="2" t="s">
        <v>413</v>
      </c>
      <c r="F193" s="2" t="s">
        <v>73</v>
      </c>
      <c r="G193" s="2" t="s">
        <v>82</v>
      </c>
      <c r="H193" s="2" t="n">
        <v>3</v>
      </c>
      <c r="I193" s="2" t="s">
        <v>41</v>
      </c>
      <c r="J193" s="2" t="s">
        <v>39</v>
      </c>
      <c r="K193" s="2" t="s">
        <v>215</v>
      </c>
      <c r="L193" s="2" t="s">
        <v>64</v>
      </c>
      <c r="M193" s="2" t="s">
        <v>461</v>
      </c>
      <c r="N193" s="2" t="n">
        <v>1</v>
      </c>
      <c r="O193" s="2" t="s">
        <v>462</v>
      </c>
    </row>
    <row r="194" customFormat="false" ht="23.85" hidden="false" customHeight="false" outlineLevel="0" collapsed="false">
      <c r="A194" s="2" t="s">
        <v>466</v>
      </c>
      <c r="B194" s="2" t="s">
        <v>34</v>
      </c>
      <c r="C194" s="2" t="s">
        <v>35</v>
      </c>
      <c r="D194" s="2" t="s">
        <v>56</v>
      </c>
      <c r="E194" s="2" t="s">
        <v>413</v>
      </c>
      <c r="F194" s="2" t="s">
        <v>73</v>
      </c>
      <c r="G194" s="2" t="s">
        <v>131</v>
      </c>
      <c r="H194" s="2" t="n">
        <v>3</v>
      </c>
      <c r="I194" s="2" t="s">
        <v>41</v>
      </c>
      <c r="J194" s="2" t="s">
        <v>39</v>
      </c>
      <c r="K194" s="2" t="s">
        <v>215</v>
      </c>
      <c r="L194" s="2" t="s">
        <v>64</v>
      </c>
      <c r="M194" s="2" t="s">
        <v>461</v>
      </c>
      <c r="N194" s="2" t="n">
        <v>1</v>
      </c>
      <c r="O194" s="2" t="s">
        <v>462</v>
      </c>
    </row>
    <row r="195" customFormat="false" ht="23.85" hidden="false" customHeight="false" outlineLevel="0" collapsed="false">
      <c r="A195" s="2" t="s">
        <v>466</v>
      </c>
      <c r="B195" s="2" t="s">
        <v>34</v>
      </c>
      <c r="C195" s="2" t="s">
        <v>35</v>
      </c>
      <c r="D195" s="2" t="s">
        <v>56</v>
      </c>
      <c r="E195" s="2" t="s">
        <v>413</v>
      </c>
      <c r="F195" s="2" t="s">
        <v>73</v>
      </c>
      <c r="G195" s="2" t="s">
        <v>142</v>
      </c>
      <c r="H195" s="2" t="n">
        <v>3</v>
      </c>
      <c r="I195" s="2" t="s">
        <v>41</v>
      </c>
      <c r="J195" s="2" t="s">
        <v>39</v>
      </c>
      <c r="K195" s="2" t="s">
        <v>215</v>
      </c>
      <c r="L195" s="2" t="s">
        <v>64</v>
      </c>
      <c r="M195" s="2" t="s">
        <v>461</v>
      </c>
      <c r="N195" s="2" t="n">
        <v>1</v>
      </c>
      <c r="O195" s="2" t="s">
        <v>462</v>
      </c>
    </row>
    <row r="196" customFormat="false" ht="23.85" hidden="false" customHeight="false" outlineLevel="0" collapsed="false">
      <c r="A196" s="2" t="s">
        <v>467</v>
      </c>
      <c r="B196" s="2" t="s">
        <v>34</v>
      </c>
      <c r="C196" s="2" t="s">
        <v>35</v>
      </c>
      <c r="D196" s="2" t="s">
        <v>56</v>
      </c>
      <c r="E196" s="2" t="s">
        <v>219</v>
      </c>
      <c r="F196" s="2" t="s">
        <v>66</v>
      </c>
      <c r="G196" s="2" t="s">
        <v>104</v>
      </c>
      <c r="H196" s="2" t="n">
        <v>1</v>
      </c>
      <c r="I196" s="2" t="s">
        <v>61</v>
      </c>
      <c r="J196" s="2" t="s">
        <v>59</v>
      </c>
      <c r="K196" s="2" t="s">
        <v>211</v>
      </c>
      <c r="L196" s="2" t="s">
        <v>64</v>
      </c>
      <c r="M196" s="2" t="s">
        <v>461</v>
      </c>
      <c r="N196" s="2" t="n">
        <v>1</v>
      </c>
      <c r="O196" s="2" t="s">
        <v>462</v>
      </c>
    </row>
    <row r="197" customFormat="false" ht="23.85" hidden="false" customHeight="false" outlineLevel="0" collapsed="false">
      <c r="A197" s="2" t="s">
        <v>468</v>
      </c>
      <c r="B197" s="2" t="s">
        <v>34</v>
      </c>
      <c r="C197" s="2" t="s">
        <v>35</v>
      </c>
      <c r="D197" s="2" t="s">
        <v>56</v>
      </c>
      <c r="E197" s="2" t="s">
        <v>339</v>
      </c>
      <c r="F197" s="2" t="s">
        <v>52</v>
      </c>
      <c r="G197" s="2" t="s">
        <v>90</v>
      </c>
      <c r="H197" s="2" t="n">
        <v>1</v>
      </c>
      <c r="I197" s="2" t="s">
        <v>61</v>
      </c>
      <c r="J197" s="2" t="s">
        <v>46</v>
      </c>
      <c r="K197" s="2" t="s">
        <v>230</v>
      </c>
      <c r="L197" s="2" t="s">
        <v>64</v>
      </c>
      <c r="M197" s="2" t="s">
        <v>461</v>
      </c>
      <c r="N197" s="2" t="n">
        <v>1</v>
      </c>
      <c r="O197" s="2" t="s">
        <v>462</v>
      </c>
    </row>
    <row r="198" customFormat="false" ht="23.85" hidden="false" customHeight="false" outlineLevel="0" collapsed="false">
      <c r="A198" s="2" t="s">
        <v>469</v>
      </c>
      <c r="B198" s="2" t="s">
        <v>34</v>
      </c>
      <c r="C198" s="2" t="s">
        <v>35</v>
      </c>
      <c r="D198" s="2" t="s">
        <v>56</v>
      </c>
      <c r="E198" s="2" t="s">
        <v>221</v>
      </c>
      <c r="F198" s="2" t="s">
        <v>75</v>
      </c>
      <c r="G198" s="2" t="s">
        <v>141</v>
      </c>
      <c r="H198" s="2" t="n">
        <v>1</v>
      </c>
      <c r="I198" s="2" t="s">
        <v>61</v>
      </c>
      <c r="J198" s="2" t="s">
        <v>39</v>
      </c>
      <c r="K198" s="2" t="s">
        <v>215</v>
      </c>
      <c r="L198" s="2" t="s">
        <v>67</v>
      </c>
      <c r="M198" s="2" t="s">
        <v>461</v>
      </c>
      <c r="N198" s="2" t="n">
        <v>3</v>
      </c>
      <c r="O198" s="2" t="s">
        <v>462</v>
      </c>
    </row>
    <row r="199" customFormat="false" ht="23.85" hidden="false" customHeight="false" outlineLevel="0" collapsed="false">
      <c r="A199" s="2" t="s">
        <v>470</v>
      </c>
      <c r="B199" s="2" t="s">
        <v>34</v>
      </c>
      <c r="C199" s="2" t="s">
        <v>35</v>
      </c>
      <c r="D199" s="2" t="s">
        <v>56</v>
      </c>
      <c r="E199" s="2" t="s">
        <v>342</v>
      </c>
      <c r="F199" s="2" t="s">
        <v>66</v>
      </c>
      <c r="G199" s="2" t="s">
        <v>98</v>
      </c>
      <c r="H199" s="2" t="n">
        <v>1</v>
      </c>
      <c r="I199" s="2" t="s">
        <v>61</v>
      </c>
      <c r="J199" s="2" t="s">
        <v>39</v>
      </c>
      <c r="K199" s="2" t="s">
        <v>215</v>
      </c>
      <c r="L199" s="2" t="s">
        <v>67</v>
      </c>
      <c r="M199" s="2" t="s">
        <v>461</v>
      </c>
      <c r="N199" s="2" t="n">
        <v>3</v>
      </c>
      <c r="O199" s="2" t="s">
        <v>462</v>
      </c>
    </row>
    <row r="200" customFormat="false" ht="23.85" hidden="false" customHeight="false" outlineLevel="0" collapsed="false">
      <c r="A200" s="2" t="s">
        <v>471</v>
      </c>
      <c r="B200" s="2" t="s">
        <v>34</v>
      </c>
      <c r="C200" s="2" t="s">
        <v>35</v>
      </c>
      <c r="D200" s="2" t="s">
        <v>56</v>
      </c>
      <c r="E200" s="2" t="s">
        <v>472</v>
      </c>
      <c r="F200" s="2" t="s">
        <v>69</v>
      </c>
      <c r="G200" s="2" t="s">
        <v>106</v>
      </c>
      <c r="H200" s="2" t="n">
        <v>1</v>
      </c>
      <c r="I200" s="2" t="s">
        <v>61</v>
      </c>
      <c r="J200" s="2" t="s">
        <v>39</v>
      </c>
      <c r="K200" s="2" t="s">
        <v>215</v>
      </c>
      <c r="L200" s="2" t="s">
        <v>67</v>
      </c>
      <c r="M200" s="2" t="s">
        <v>461</v>
      </c>
      <c r="N200" s="2" t="n">
        <v>3</v>
      </c>
      <c r="O200" s="2" t="s">
        <v>462</v>
      </c>
    </row>
    <row r="201" customFormat="false" ht="15" hidden="false" customHeight="false" outlineLevel="0" collapsed="false">
      <c r="A201" s="2" t="s">
        <v>473</v>
      </c>
      <c r="B201" s="2" t="s">
        <v>34</v>
      </c>
      <c r="C201" s="2" t="s">
        <v>35</v>
      </c>
      <c r="D201" s="2" t="s">
        <v>56</v>
      </c>
      <c r="E201" s="2" t="s">
        <v>474</v>
      </c>
      <c r="F201" s="2" t="s">
        <v>69</v>
      </c>
      <c r="G201" s="2" t="s">
        <v>423</v>
      </c>
      <c r="H201" s="2" t="n">
        <v>0</v>
      </c>
      <c r="I201" s="2" t="s">
        <v>55</v>
      </c>
      <c r="J201" s="2"/>
      <c r="K201" s="2"/>
      <c r="L201" s="2"/>
      <c r="M201" s="2"/>
      <c r="N201" s="2"/>
      <c r="O201" s="2" t="s">
        <v>212</v>
      </c>
    </row>
    <row r="202" customFormat="false" ht="23.85" hidden="false" customHeight="false" outlineLevel="0" collapsed="false">
      <c r="A202" s="2" t="s">
        <v>475</v>
      </c>
      <c r="B202" s="2" t="s">
        <v>34</v>
      </c>
      <c r="C202" s="2" t="s">
        <v>35</v>
      </c>
      <c r="D202" s="2" t="s">
        <v>56</v>
      </c>
      <c r="E202" s="2" t="s">
        <v>476</v>
      </c>
      <c r="F202" s="2" t="s">
        <v>69</v>
      </c>
      <c r="G202" s="2" t="s">
        <v>106</v>
      </c>
      <c r="H202" s="2" t="n">
        <v>1</v>
      </c>
      <c r="I202" s="2" t="s">
        <v>61</v>
      </c>
      <c r="J202" s="2" t="s">
        <v>39</v>
      </c>
      <c r="K202" s="2" t="s">
        <v>215</v>
      </c>
      <c r="L202" s="2" t="s">
        <v>67</v>
      </c>
      <c r="M202" s="2" t="s">
        <v>461</v>
      </c>
      <c r="N202" s="2" t="n">
        <v>3</v>
      </c>
      <c r="O202" s="2" t="s">
        <v>462</v>
      </c>
    </row>
    <row r="203" customFormat="false" ht="23.85" hidden="false" customHeight="false" outlineLevel="0" collapsed="false">
      <c r="A203" s="2" t="s">
        <v>477</v>
      </c>
      <c r="B203" s="2" t="s">
        <v>34</v>
      </c>
      <c r="C203" s="2" t="s">
        <v>35</v>
      </c>
      <c r="D203" s="2" t="s">
        <v>56</v>
      </c>
      <c r="E203" s="2" t="s">
        <v>227</v>
      </c>
      <c r="F203" s="2" t="s">
        <v>75</v>
      </c>
      <c r="G203" s="2" t="s">
        <v>98</v>
      </c>
      <c r="H203" s="2" t="n">
        <v>2</v>
      </c>
      <c r="I203" s="2" t="s">
        <v>41</v>
      </c>
      <c r="J203" s="2" t="s">
        <v>39</v>
      </c>
      <c r="K203" s="2" t="s">
        <v>215</v>
      </c>
      <c r="L203" s="2" t="s">
        <v>67</v>
      </c>
      <c r="M203" s="2" t="s">
        <v>461</v>
      </c>
      <c r="N203" s="2" t="n">
        <v>3</v>
      </c>
      <c r="O203" s="2" t="s">
        <v>462</v>
      </c>
    </row>
    <row r="204" customFormat="false" ht="23.85" hidden="false" customHeight="false" outlineLevel="0" collapsed="false">
      <c r="A204" s="2" t="s">
        <v>477</v>
      </c>
      <c r="B204" s="2" t="s">
        <v>34</v>
      </c>
      <c r="C204" s="2" t="s">
        <v>35</v>
      </c>
      <c r="D204" s="2" t="s">
        <v>56</v>
      </c>
      <c r="E204" s="2" t="s">
        <v>227</v>
      </c>
      <c r="F204" s="2" t="s">
        <v>75</v>
      </c>
      <c r="G204" s="2" t="s">
        <v>141</v>
      </c>
      <c r="H204" s="2" t="n">
        <v>2</v>
      </c>
      <c r="I204" s="2" t="s">
        <v>41</v>
      </c>
      <c r="J204" s="2" t="s">
        <v>39</v>
      </c>
      <c r="K204" s="2" t="s">
        <v>215</v>
      </c>
      <c r="L204" s="2" t="s">
        <v>67</v>
      </c>
      <c r="M204" s="2" t="s">
        <v>461</v>
      </c>
      <c r="N204" s="2" t="n">
        <v>3</v>
      </c>
      <c r="O204" s="2" t="s">
        <v>462</v>
      </c>
    </row>
    <row r="205" customFormat="false" ht="23.85" hidden="false" customHeight="false" outlineLevel="0" collapsed="false">
      <c r="A205" s="2" t="s">
        <v>478</v>
      </c>
      <c r="B205" s="2" t="s">
        <v>34</v>
      </c>
      <c r="C205" s="2" t="s">
        <v>35</v>
      </c>
      <c r="D205" s="2" t="s">
        <v>56</v>
      </c>
      <c r="E205" s="2" t="s">
        <v>479</v>
      </c>
      <c r="F205" s="2" t="s">
        <v>75</v>
      </c>
      <c r="G205" s="2" t="s">
        <v>141</v>
      </c>
      <c r="H205" s="2" t="n">
        <v>1</v>
      </c>
      <c r="I205" s="2" t="s">
        <v>61</v>
      </c>
      <c r="J205" s="2" t="s">
        <v>39</v>
      </c>
      <c r="K205" s="2" t="s">
        <v>215</v>
      </c>
      <c r="L205" s="2" t="s">
        <v>67</v>
      </c>
      <c r="M205" s="2" t="s">
        <v>461</v>
      </c>
      <c r="N205" s="2" t="n">
        <v>3</v>
      </c>
      <c r="O205" s="2" t="s">
        <v>462</v>
      </c>
    </row>
    <row r="206" customFormat="false" ht="23.85" hidden="false" customHeight="false" outlineLevel="0" collapsed="false">
      <c r="A206" s="2" t="s">
        <v>480</v>
      </c>
      <c r="B206" s="2" t="s">
        <v>34</v>
      </c>
      <c r="C206" s="2" t="s">
        <v>35</v>
      </c>
      <c r="D206" s="2" t="s">
        <v>56</v>
      </c>
      <c r="E206" s="2" t="s">
        <v>481</v>
      </c>
      <c r="F206" s="2" t="s">
        <v>45</v>
      </c>
      <c r="G206" s="2" t="s">
        <v>76</v>
      </c>
      <c r="H206" s="2" t="n">
        <v>1</v>
      </c>
      <c r="I206" s="2" t="s">
        <v>61</v>
      </c>
      <c r="J206" s="2" t="s">
        <v>39</v>
      </c>
      <c r="K206" s="2" t="s">
        <v>215</v>
      </c>
      <c r="L206" s="2" t="s">
        <v>64</v>
      </c>
      <c r="M206" s="2" t="s">
        <v>461</v>
      </c>
      <c r="N206" s="2" t="n">
        <v>4</v>
      </c>
      <c r="O206" s="2" t="s">
        <v>462</v>
      </c>
    </row>
    <row r="207" customFormat="false" ht="23.85" hidden="false" customHeight="false" outlineLevel="0" collapsed="false">
      <c r="A207" s="2" t="s">
        <v>482</v>
      </c>
      <c r="B207" s="2" t="s">
        <v>34</v>
      </c>
      <c r="C207" s="2" t="s">
        <v>35</v>
      </c>
      <c r="D207" s="2" t="s">
        <v>56</v>
      </c>
      <c r="E207" s="2" t="s">
        <v>229</v>
      </c>
      <c r="F207" s="2" t="s">
        <v>45</v>
      </c>
      <c r="G207" s="2" t="s">
        <v>74</v>
      </c>
      <c r="H207" s="2" t="n">
        <v>1</v>
      </c>
      <c r="I207" s="2" t="s">
        <v>61</v>
      </c>
      <c r="J207" s="2" t="s">
        <v>39</v>
      </c>
      <c r="K207" s="2" t="s">
        <v>215</v>
      </c>
      <c r="L207" s="2" t="s">
        <v>64</v>
      </c>
      <c r="M207" s="2" t="s">
        <v>461</v>
      </c>
      <c r="N207" s="2" t="n">
        <v>5</v>
      </c>
      <c r="O207" s="2" t="s">
        <v>462</v>
      </c>
    </row>
    <row r="208" customFormat="false" ht="23.85" hidden="false" customHeight="false" outlineLevel="0" collapsed="false">
      <c r="A208" s="2" t="s">
        <v>483</v>
      </c>
      <c r="B208" s="2" t="s">
        <v>34</v>
      </c>
      <c r="C208" s="2" t="s">
        <v>35</v>
      </c>
      <c r="D208" s="2" t="s">
        <v>56</v>
      </c>
      <c r="E208" s="2" t="s">
        <v>484</v>
      </c>
      <c r="F208" s="2" t="s">
        <v>58</v>
      </c>
      <c r="G208" s="2" t="s">
        <v>91</v>
      </c>
      <c r="H208" s="2" t="n">
        <v>1</v>
      </c>
      <c r="I208" s="2" t="s">
        <v>61</v>
      </c>
      <c r="J208" s="2" t="s">
        <v>39</v>
      </c>
      <c r="K208" s="2" t="s">
        <v>215</v>
      </c>
      <c r="L208" s="2" t="s">
        <v>64</v>
      </c>
      <c r="M208" s="2" t="s">
        <v>461</v>
      </c>
      <c r="N208" s="2" t="n">
        <v>3</v>
      </c>
      <c r="O208" s="2" t="s">
        <v>462</v>
      </c>
    </row>
    <row r="209" customFormat="false" ht="23.85" hidden="false" customHeight="false" outlineLevel="0" collapsed="false">
      <c r="A209" s="2" t="s">
        <v>485</v>
      </c>
      <c r="B209" s="2" t="s">
        <v>34</v>
      </c>
      <c r="C209" s="2" t="s">
        <v>35</v>
      </c>
      <c r="D209" s="2" t="s">
        <v>56</v>
      </c>
      <c r="E209" s="2" t="s">
        <v>232</v>
      </c>
      <c r="F209" s="2" t="s">
        <v>45</v>
      </c>
      <c r="G209" s="2" t="s">
        <v>70</v>
      </c>
      <c r="H209" s="2" t="n">
        <v>1</v>
      </c>
      <c r="I209" s="2" t="s">
        <v>61</v>
      </c>
      <c r="J209" s="2" t="s">
        <v>39</v>
      </c>
      <c r="K209" s="2" t="s">
        <v>215</v>
      </c>
      <c r="L209" s="2" t="s">
        <v>64</v>
      </c>
      <c r="M209" s="2" t="s">
        <v>461</v>
      </c>
      <c r="N209" s="2" t="n">
        <v>4</v>
      </c>
      <c r="O209" s="2" t="s">
        <v>462</v>
      </c>
    </row>
    <row r="210" customFormat="false" ht="23.85" hidden="false" customHeight="false" outlineLevel="0" collapsed="false">
      <c r="A210" s="2" t="s">
        <v>486</v>
      </c>
      <c r="B210" s="2" t="s">
        <v>34</v>
      </c>
      <c r="C210" s="2" t="s">
        <v>35</v>
      </c>
      <c r="D210" s="2" t="s">
        <v>56</v>
      </c>
      <c r="E210" s="2" t="s">
        <v>235</v>
      </c>
      <c r="F210" s="2" t="s">
        <v>45</v>
      </c>
      <c r="G210" s="2" t="s">
        <v>78</v>
      </c>
      <c r="H210" s="2" t="n">
        <v>1</v>
      </c>
      <c r="I210" s="2" t="s">
        <v>61</v>
      </c>
      <c r="J210" s="2" t="s">
        <v>46</v>
      </c>
      <c r="K210" s="2" t="s">
        <v>230</v>
      </c>
      <c r="L210" s="2" t="s">
        <v>64</v>
      </c>
      <c r="M210" s="2" t="s">
        <v>461</v>
      </c>
      <c r="N210" s="2" t="n">
        <v>5</v>
      </c>
      <c r="O210" s="2" t="s">
        <v>462</v>
      </c>
    </row>
    <row r="211" customFormat="false" ht="23.85" hidden="false" customHeight="false" outlineLevel="0" collapsed="false">
      <c r="A211" s="2" t="s">
        <v>487</v>
      </c>
      <c r="B211" s="2" t="s">
        <v>34</v>
      </c>
      <c r="C211" s="2" t="s">
        <v>35</v>
      </c>
      <c r="D211" s="2" t="s">
        <v>56</v>
      </c>
      <c r="E211" s="2" t="s">
        <v>239</v>
      </c>
      <c r="F211" s="2" t="s">
        <v>45</v>
      </c>
      <c r="G211" s="2" t="s">
        <v>96</v>
      </c>
      <c r="H211" s="2" t="n">
        <v>1</v>
      </c>
      <c r="I211" s="2" t="s">
        <v>61</v>
      </c>
      <c r="J211" s="2" t="s">
        <v>39</v>
      </c>
      <c r="K211" s="2" t="s">
        <v>215</v>
      </c>
      <c r="L211" s="2" t="s">
        <v>64</v>
      </c>
      <c r="M211" s="2" t="s">
        <v>461</v>
      </c>
      <c r="N211" s="2" t="n">
        <v>4</v>
      </c>
      <c r="O211" s="2" t="s">
        <v>462</v>
      </c>
    </row>
    <row r="212" customFormat="false" ht="23.85" hidden="false" customHeight="false" outlineLevel="0" collapsed="false">
      <c r="A212" s="2" t="s">
        <v>488</v>
      </c>
      <c r="B212" s="2" t="s">
        <v>34</v>
      </c>
      <c r="C212" s="2" t="s">
        <v>35</v>
      </c>
      <c r="D212" s="2" t="s">
        <v>56</v>
      </c>
      <c r="E212" s="2" t="s">
        <v>489</v>
      </c>
      <c r="F212" s="2" t="s">
        <v>45</v>
      </c>
      <c r="G212" s="2" t="s">
        <v>94</v>
      </c>
      <c r="H212" s="2" t="n">
        <v>1</v>
      </c>
      <c r="I212" s="2" t="s">
        <v>61</v>
      </c>
      <c r="J212" s="2" t="s">
        <v>46</v>
      </c>
      <c r="K212" s="2" t="s">
        <v>230</v>
      </c>
      <c r="L212" s="2" t="s">
        <v>64</v>
      </c>
      <c r="M212" s="2" t="s">
        <v>461</v>
      </c>
      <c r="N212" s="2" t="n">
        <v>3</v>
      </c>
      <c r="O212" s="2" t="s">
        <v>462</v>
      </c>
    </row>
    <row r="213" customFormat="false" ht="23.85" hidden="false" customHeight="false" outlineLevel="0" collapsed="false">
      <c r="A213" s="2" t="s">
        <v>490</v>
      </c>
      <c r="B213" s="2" t="s">
        <v>34</v>
      </c>
      <c r="C213" s="2" t="s">
        <v>35</v>
      </c>
      <c r="D213" s="2" t="s">
        <v>56</v>
      </c>
      <c r="E213" s="2" t="s">
        <v>243</v>
      </c>
      <c r="F213" s="2" t="s">
        <v>45</v>
      </c>
      <c r="G213" s="2" t="s">
        <v>96</v>
      </c>
      <c r="H213" s="2" t="n">
        <v>1</v>
      </c>
      <c r="I213" s="2" t="s">
        <v>61</v>
      </c>
      <c r="J213" s="2" t="s">
        <v>39</v>
      </c>
      <c r="K213" s="2" t="s">
        <v>215</v>
      </c>
      <c r="L213" s="2" t="s">
        <v>64</v>
      </c>
      <c r="M213" s="2" t="s">
        <v>461</v>
      </c>
      <c r="N213" s="2" t="n">
        <v>4</v>
      </c>
      <c r="O213" s="2" t="s">
        <v>462</v>
      </c>
    </row>
    <row r="214" customFormat="false" ht="23.85" hidden="false" customHeight="false" outlineLevel="0" collapsed="false">
      <c r="A214" s="2" t="s">
        <v>491</v>
      </c>
      <c r="B214" s="2" t="s">
        <v>34</v>
      </c>
      <c r="C214" s="2" t="s">
        <v>35</v>
      </c>
      <c r="D214" s="2" t="s">
        <v>56</v>
      </c>
      <c r="E214" s="2" t="s">
        <v>492</v>
      </c>
      <c r="F214" s="2" t="s">
        <v>38</v>
      </c>
      <c r="G214" s="2" t="s">
        <v>83</v>
      </c>
      <c r="H214" s="2" t="n">
        <v>2</v>
      </c>
      <c r="I214" s="2" t="s">
        <v>41</v>
      </c>
      <c r="J214" s="2" t="s">
        <v>59</v>
      </c>
      <c r="K214" s="2" t="s">
        <v>211</v>
      </c>
      <c r="L214" s="2" t="s">
        <v>67</v>
      </c>
      <c r="M214" s="2" t="s">
        <v>461</v>
      </c>
      <c r="N214" s="2" t="n">
        <v>1</v>
      </c>
      <c r="O214" s="2" t="s">
        <v>462</v>
      </c>
    </row>
    <row r="215" customFormat="false" ht="23.85" hidden="false" customHeight="false" outlineLevel="0" collapsed="false">
      <c r="A215" s="2" t="s">
        <v>491</v>
      </c>
      <c r="B215" s="2" t="s">
        <v>34</v>
      </c>
      <c r="C215" s="2" t="s">
        <v>35</v>
      </c>
      <c r="D215" s="2" t="s">
        <v>56</v>
      </c>
      <c r="E215" s="2" t="s">
        <v>492</v>
      </c>
      <c r="F215" s="2" t="s">
        <v>38</v>
      </c>
      <c r="G215" s="2" t="s">
        <v>142</v>
      </c>
      <c r="H215" s="2" t="n">
        <v>2</v>
      </c>
      <c r="I215" s="2" t="s">
        <v>41</v>
      </c>
      <c r="J215" s="2" t="s">
        <v>59</v>
      </c>
      <c r="K215" s="2" t="s">
        <v>211</v>
      </c>
      <c r="L215" s="2" t="s">
        <v>67</v>
      </c>
      <c r="M215" s="2" t="s">
        <v>461</v>
      </c>
      <c r="N215" s="2" t="n">
        <v>1</v>
      </c>
      <c r="O215" s="2" t="s">
        <v>462</v>
      </c>
    </row>
    <row r="216" customFormat="false" ht="23.85" hidden="false" customHeight="false" outlineLevel="0" collapsed="false">
      <c r="A216" s="2" t="s">
        <v>493</v>
      </c>
      <c r="B216" s="2" t="s">
        <v>34</v>
      </c>
      <c r="C216" s="2" t="s">
        <v>35</v>
      </c>
      <c r="D216" s="2" t="s">
        <v>56</v>
      </c>
      <c r="E216" s="2" t="s">
        <v>494</v>
      </c>
      <c r="F216" s="2" t="s">
        <v>71</v>
      </c>
      <c r="G216" s="2" t="s">
        <v>126</v>
      </c>
      <c r="H216" s="2" t="n">
        <v>1</v>
      </c>
      <c r="I216" s="2" t="s">
        <v>61</v>
      </c>
      <c r="J216" s="2" t="s">
        <v>59</v>
      </c>
      <c r="K216" s="2" t="s">
        <v>211</v>
      </c>
      <c r="L216" s="2" t="s">
        <v>67</v>
      </c>
      <c r="M216" s="2" t="s">
        <v>495</v>
      </c>
      <c r="N216" s="2" t="n">
        <v>3</v>
      </c>
      <c r="O216" s="2" t="s">
        <v>462</v>
      </c>
    </row>
    <row r="217" customFormat="false" ht="23.85" hidden="false" customHeight="false" outlineLevel="0" collapsed="false">
      <c r="A217" s="2" t="s">
        <v>496</v>
      </c>
      <c r="B217" s="2" t="s">
        <v>34</v>
      </c>
      <c r="C217" s="2" t="s">
        <v>35</v>
      </c>
      <c r="D217" s="2" t="s">
        <v>56</v>
      </c>
      <c r="E217" s="2" t="s">
        <v>251</v>
      </c>
      <c r="F217" s="2" t="s">
        <v>75</v>
      </c>
      <c r="G217" s="2" t="s">
        <v>134</v>
      </c>
      <c r="H217" s="2" t="n">
        <v>1</v>
      </c>
      <c r="I217" s="2" t="s">
        <v>61</v>
      </c>
      <c r="J217" s="2" t="s">
        <v>59</v>
      </c>
      <c r="K217" s="2" t="s">
        <v>211</v>
      </c>
      <c r="L217" s="2" t="s">
        <v>67</v>
      </c>
      <c r="M217" s="2" t="s">
        <v>448</v>
      </c>
      <c r="N217" s="2" t="n">
        <v>4</v>
      </c>
      <c r="O217" s="2" t="s">
        <v>462</v>
      </c>
    </row>
    <row r="218" customFormat="false" ht="23.85" hidden="false" customHeight="false" outlineLevel="0" collapsed="false">
      <c r="A218" s="2" t="s">
        <v>497</v>
      </c>
      <c r="B218" s="2" t="s">
        <v>34</v>
      </c>
      <c r="C218" s="2" t="s">
        <v>35</v>
      </c>
      <c r="D218" s="2" t="s">
        <v>56</v>
      </c>
      <c r="E218" s="2" t="s">
        <v>428</v>
      </c>
      <c r="F218" s="2" t="s">
        <v>58</v>
      </c>
      <c r="G218" s="2" t="s">
        <v>95</v>
      </c>
      <c r="H218" s="2" t="n">
        <v>2</v>
      </c>
      <c r="I218" s="2" t="s">
        <v>41</v>
      </c>
      <c r="J218" s="2" t="s">
        <v>59</v>
      </c>
      <c r="K218" s="2" t="s">
        <v>211</v>
      </c>
      <c r="L218" s="2" t="s">
        <v>67</v>
      </c>
      <c r="M218" s="2" t="s">
        <v>448</v>
      </c>
      <c r="N218" s="2" t="n">
        <v>3</v>
      </c>
      <c r="O218" s="2" t="s">
        <v>462</v>
      </c>
    </row>
    <row r="219" customFormat="false" ht="23.85" hidden="false" customHeight="false" outlineLevel="0" collapsed="false">
      <c r="A219" s="2" t="s">
        <v>497</v>
      </c>
      <c r="B219" s="2" t="s">
        <v>34</v>
      </c>
      <c r="C219" s="2" t="s">
        <v>35</v>
      </c>
      <c r="D219" s="2" t="s">
        <v>56</v>
      </c>
      <c r="E219" s="2" t="s">
        <v>428</v>
      </c>
      <c r="F219" s="2" t="s">
        <v>58</v>
      </c>
      <c r="G219" s="2" t="s">
        <v>132</v>
      </c>
      <c r="H219" s="2" t="n">
        <v>2</v>
      </c>
      <c r="I219" s="2" t="s">
        <v>41</v>
      </c>
      <c r="J219" s="2" t="s">
        <v>59</v>
      </c>
      <c r="K219" s="2" t="s">
        <v>211</v>
      </c>
      <c r="L219" s="2" t="s">
        <v>67</v>
      </c>
      <c r="M219" s="2" t="s">
        <v>448</v>
      </c>
      <c r="N219" s="2" t="n">
        <v>3</v>
      </c>
      <c r="O219" s="2" t="s">
        <v>462</v>
      </c>
    </row>
    <row r="220" customFormat="false" ht="23.85" hidden="false" customHeight="false" outlineLevel="0" collapsed="false">
      <c r="A220" s="2" t="s">
        <v>498</v>
      </c>
      <c r="B220" s="2" t="s">
        <v>34</v>
      </c>
      <c r="C220" s="2" t="s">
        <v>35</v>
      </c>
      <c r="D220" s="2" t="s">
        <v>56</v>
      </c>
      <c r="E220" s="2" t="s">
        <v>257</v>
      </c>
      <c r="F220" s="2" t="s">
        <v>45</v>
      </c>
      <c r="G220" s="2" t="s">
        <v>77</v>
      </c>
      <c r="H220" s="2" t="n">
        <v>1</v>
      </c>
      <c r="I220" s="2" t="s">
        <v>61</v>
      </c>
      <c r="J220" s="2" t="s">
        <v>59</v>
      </c>
      <c r="K220" s="2" t="s">
        <v>211</v>
      </c>
      <c r="L220" s="2" t="s">
        <v>67</v>
      </c>
      <c r="M220" s="2" t="s">
        <v>461</v>
      </c>
      <c r="N220" s="2" t="n">
        <v>3</v>
      </c>
      <c r="O220" s="2" t="s">
        <v>462</v>
      </c>
    </row>
    <row r="221" customFormat="false" ht="23.85" hidden="false" customHeight="false" outlineLevel="0" collapsed="false">
      <c r="A221" s="2" t="s">
        <v>499</v>
      </c>
      <c r="B221" s="2" t="s">
        <v>34</v>
      </c>
      <c r="C221" s="2" t="s">
        <v>35</v>
      </c>
      <c r="D221" s="2" t="s">
        <v>56</v>
      </c>
      <c r="E221" s="2" t="s">
        <v>259</v>
      </c>
      <c r="F221" s="2" t="s">
        <v>38</v>
      </c>
      <c r="G221" s="2" t="s">
        <v>87</v>
      </c>
      <c r="H221" s="2" t="n">
        <v>1</v>
      </c>
      <c r="I221" s="2" t="s">
        <v>61</v>
      </c>
      <c r="J221" s="2" t="s">
        <v>39</v>
      </c>
      <c r="K221" s="2" t="s">
        <v>215</v>
      </c>
      <c r="L221" s="2" t="s">
        <v>64</v>
      </c>
      <c r="M221" s="2" t="s">
        <v>461</v>
      </c>
      <c r="N221" s="2" t="n">
        <v>1</v>
      </c>
      <c r="O221" s="2" t="s">
        <v>462</v>
      </c>
    </row>
    <row r="222" customFormat="false" ht="23.85" hidden="false" customHeight="false" outlineLevel="0" collapsed="false">
      <c r="A222" s="2" t="s">
        <v>500</v>
      </c>
      <c r="B222" s="2" t="s">
        <v>34</v>
      </c>
      <c r="C222" s="2" t="s">
        <v>35</v>
      </c>
      <c r="D222" s="2" t="s">
        <v>56</v>
      </c>
      <c r="E222" s="2" t="s">
        <v>359</v>
      </c>
      <c r="F222" s="2" t="s">
        <v>75</v>
      </c>
      <c r="G222" s="2" t="s">
        <v>140</v>
      </c>
      <c r="H222" s="2" t="n">
        <v>1</v>
      </c>
      <c r="I222" s="2" t="s">
        <v>61</v>
      </c>
      <c r="J222" s="2" t="s">
        <v>53</v>
      </c>
      <c r="K222" s="2" t="s">
        <v>233</v>
      </c>
      <c r="L222" s="2" t="s">
        <v>67</v>
      </c>
      <c r="M222" s="2" t="s">
        <v>495</v>
      </c>
      <c r="N222" s="2" t="n">
        <v>2</v>
      </c>
      <c r="O222" s="2" t="s">
        <v>462</v>
      </c>
    </row>
    <row r="223" customFormat="false" ht="23.85" hidden="false" customHeight="false" outlineLevel="0" collapsed="false">
      <c r="A223" s="2" t="s">
        <v>501</v>
      </c>
      <c r="B223" s="2" t="s">
        <v>34</v>
      </c>
      <c r="C223" s="2" t="s">
        <v>35</v>
      </c>
      <c r="D223" s="2" t="s">
        <v>56</v>
      </c>
      <c r="E223" s="2" t="s">
        <v>502</v>
      </c>
      <c r="F223" s="2" t="s">
        <v>69</v>
      </c>
      <c r="G223" s="2" t="s">
        <v>105</v>
      </c>
      <c r="H223" s="2" t="n">
        <v>1</v>
      </c>
      <c r="I223" s="2" t="s">
        <v>61</v>
      </c>
      <c r="J223" s="2" t="s">
        <v>46</v>
      </c>
      <c r="K223" s="2" t="s">
        <v>230</v>
      </c>
      <c r="L223" s="2" t="s">
        <v>64</v>
      </c>
      <c r="M223" s="2" t="s">
        <v>461</v>
      </c>
      <c r="N223" s="2" t="n">
        <v>1</v>
      </c>
      <c r="O223" s="2" t="s">
        <v>462</v>
      </c>
    </row>
    <row r="224" customFormat="false" ht="23.85" hidden="false" customHeight="false" outlineLevel="0" collapsed="false">
      <c r="A224" s="2" t="s">
        <v>503</v>
      </c>
      <c r="B224" s="2" t="s">
        <v>34</v>
      </c>
      <c r="C224" s="2" t="s">
        <v>35</v>
      </c>
      <c r="D224" s="2" t="s">
        <v>56</v>
      </c>
      <c r="E224" s="2" t="s">
        <v>265</v>
      </c>
      <c r="F224" s="2" t="s">
        <v>38</v>
      </c>
      <c r="G224" s="2" t="s">
        <v>82</v>
      </c>
      <c r="H224" s="2" t="n">
        <v>1</v>
      </c>
      <c r="I224" s="2" t="s">
        <v>61</v>
      </c>
      <c r="J224" s="2" t="s">
        <v>39</v>
      </c>
      <c r="K224" s="2" t="s">
        <v>215</v>
      </c>
      <c r="L224" s="2" t="s">
        <v>64</v>
      </c>
      <c r="M224" s="2" t="s">
        <v>461</v>
      </c>
      <c r="N224" s="2" t="n">
        <v>1</v>
      </c>
      <c r="O224" s="2" t="s">
        <v>462</v>
      </c>
    </row>
    <row r="225" customFormat="false" ht="23.85" hidden="false" customHeight="false" outlineLevel="0" collapsed="false">
      <c r="A225" s="2" t="s">
        <v>504</v>
      </c>
      <c r="B225" s="2" t="s">
        <v>34</v>
      </c>
      <c r="C225" s="2" t="s">
        <v>35</v>
      </c>
      <c r="D225" s="2" t="s">
        <v>56</v>
      </c>
      <c r="E225" s="2" t="s">
        <v>505</v>
      </c>
      <c r="F225" s="2" t="s">
        <v>69</v>
      </c>
      <c r="G225" s="2" t="s">
        <v>107</v>
      </c>
      <c r="H225" s="2" t="n">
        <v>1</v>
      </c>
      <c r="I225" s="2" t="s">
        <v>61</v>
      </c>
      <c r="J225" s="2" t="s">
        <v>53</v>
      </c>
      <c r="K225" s="2" t="s">
        <v>233</v>
      </c>
      <c r="L225" s="2" t="s">
        <v>67</v>
      </c>
      <c r="M225" s="2" t="s">
        <v>495</v>
      </c>
      <c r="N225" s="2" t="n">
        <v>2</v>
      </c>
      <c r="O225" s="2" t="s">
        <v>462</v>
      </c>
    </row>
    <row r="226" customFormat="false" ht="23.85" hidden="false" customHeight="false" outlineLevel="0" collapsed="false">
      <c r="A226" s="2" t="s">
        <v>506</v>
      </c>
      <c r="B226" s="2" t="s">
        <v>34</v>
      </c>
      <c r="C226" s="2" t="s">
        <v>35</v>
      </c>
      <c r="D226" s="2" t="s">
        <v>56</v>
      </c>
      <c r="E226" s="2" t="s">
        <v>507</v>
      </c>
      <c r="F226" s="2" t="s">
        <v>69</v>
      </c>
      <c r="G226" s="2" t="s">
        <v>110</v>
      </c>
      <c r="H226" s="2" t="n">
        <v>1</v>
      </c>
      <c r="I226" s="2" t="s">
        <v>61</v>
      </c>
      <c r="J226" s="2" t="s">
        <v>53</v>
      </c>
      <c r="K226" s="2" t="s">
        <v>233</v>
      </c>
      <c r="L226" s="2" t="s">
        <v>67</v>
      </c>
      <c r="M226" s="2" t="s">
        <v>495</v>
      </c>
      <c r="N226" s="2" t="n">
        <v>2</v>
      </c>
      <c r="O226" s="2" t="s">
        <v>462</v>
      </c>
    </row>
    <row r="227" customFormat="false" ht="23.85" hidden="false" customHeight="false" outlineLevel="0" collapsed="false">
      <c r="A227" s="2" t="s">
        <v>508</v>
      </c>
      <c r="B227" s="2" t="s">
        <v>34</v>
      </c>
      <c r="C227" s="2" t="s">
        <v>35</v>
      </c>
      <c r="D227" s="2" t="s">
        <v>56</v>
      </c>
      <c r="E227" s="2" t="s">
        <v>267</v>
      </c>
      <c r="F227" s="2" t="s">
        <v>75</v>
      </c>
      <c r="G227" s="2" t="s">
        <v>88</v>
      </c>
      <c r="H227" s="2" t="n">
        <v>1</v>
      </c>
      <c r="I227" s="2" t="s">
        <v>61</v>
      </c>
      <c r="J227" s="2" t="s">
        <v>39</v>
      </c>
      <c r="K227" s="2" t="s">
        <v>215</v>
      </c>
      <c r="L227" s="2" t="s">
        <v>64</v>
      </c>
      <c r="M227" s="2" t="s">
        <v>448</v>
      </c>
      <c r="N227" s="2" t="n">
        <v>2</v>
      </c>
      <c r="O227" s="2" t="s">
        <v>462</v>
      </c>
    </row>
    <row r="228" customFormat="false" ht="23.85" hidden="false" customHeight="false" outlineLevel="0" collapsed="false">
      <c r="A228" s="2" t="s">
        <v>509</v>
      </c>
      <c r="B228" s="2" t="s">
        <v>34</v>
      </c>
      <c r="C228" s="2" t="s">
        <v>35</v>
      </c>
      <c r="D228" s="2" t="s">
        <v>56</v>
      </c>
      <c r="E228" s="2" t="s">
        <v>510</v>
      </c>
      <c r="F228" s="2" t="s">
        <v>75</v>
      </c>
      <c r="G228" s="2" t="s">
        <v>138</v>
      </c>
      <c r="H228" s="2" t="n">
        <v>1</v>
      </c>
      <c r="I228" s="2" t="s">
        <v>61</v>
      </c>
      <c r="J228" s="2" t="s">
        <v>59</v>
      </c>
      <c r="K228" s="2" t="s">
        <v>211</v>
      </c>
      <c r="L228" s="2" t="s">
        <v>67</v>
      </c>
      <c r="M228" s="2" t="s">
        <v>448</v>
      </c>
      <c r="N228" s="2" t="n">
        <v>3</v>
      </c>
      <c r="O228" s="2" t="s">
        <v>462</v>
      </c>
    </row>
    <row r="229" customFormat="false" ht="23.85" hidden="false" customHeight="false" outlineLevel="0" collapsed="false">
      <c r="A229" s="2" t="s">
        <v>511</v>
      </c>
      <c r="B229" s="2" t="s">
        <v>34</v>
      </c>
      <c r="C229" s="2" t="s">
        <v>35</v>
      </c>
      <c r="D229" s="2" t="s">
        <v>56</v>
      </c>
      <c r="E229" s="2" t="s">
        <v>271</v>
      </c>
      <c r="F229" s="2" t="s">
        <v>58</v>
      </c>
      <c r="G229" s="2" t="s">
        <v>87</v>
      </c>
      <c r="H229" s="2" t="n">
        <v>3</v>
      </c>
      <c r="I229" s="2" t="s">
        <v>41</v>
      </c>
      <c r="J229" s="2" t="s">
        <v>59</v>
      </c>
      <c r="K229" s="2" t="s">
        <v>211</v>
      </c>
      <c r="L229" s="2" t="s">
        <v>67</v>
      </c>
      <c r="M229" s="2" t="s">
        <v>448</v>
      </c>
      <c r="N229" s="2" t="n">
        <v>2</v>
      </c>
      <c r="O229" s="2" t="s">
        <v>462</v>
      </c>
    </row>
    <row r="230" customFormat="false" ht="23.85" hidden="false" customHeight="false" outlineLevel="0" collapsed="false">
      <c r="A230" s="2" t="s">
        <v>511</v>
      </c>
      <c r="B230" s="2" t="s">
        <v>34</v>
      </c>
      <c r="C230" s="2" t="s">
        <v>35</v>
      </c>
      <c r="D230" s="2" t="s">
        <v>56</v>
      </c>
      <c r="E230" s="2" t="s">
        <v>271</v>
      </c>
      <c r="F230" s="2" t="s">
        <v>58</v>
      </c>
      <c r="G230" s="2" t="s">
        <v>134</v>
      </c>
      <c r="H230" s="2" t="n">
        <v>3</v>
      </c>
      <c r="I230" s="2" t="s">
        <v>41</v>
      </c>
      <c r="J230" s="2" t="s">
        <v>59</v>
      </c>
      <c r="K230" s="2" t="s">
        <v>211</v>
      </c>
      <c r="L230" s="2" t="s">
        <v>67</v>
      </c>
      <c r="M230" s="2" t="s">
        <v>448</v>
      </c>
      <c r="N230" s="2" t="n">
        <v>2</v>
      </c>
      <c r="O230" s="2" t="s">
        <v>462</v>
      </c>
    </row>
    <row r="231" customFormat="false" ht="23.85" hidden="false" customHeight="false" outlineLevel="0" collapsed="false">
      <c r="A231" s="2" t="s">
        <v>511</v>
      </c>
      <c r="B231" s="2" t="s">
        <v>34</v>
      </c>
      <c r="C231" s="2" t="s">
        <v>35</v>
      </c>
      <c r="D231" s="2" t="s">
        <v>56</v>
      </c>
      <c r="E231" s="2" t="s">
        <v>271</v>
      </c>
      <c r="F231" s="2" t="s">
        <v>58</v>
      </c>
      <c r="G231" s="2" t="s">
        <v>136</v>
      </c>
      <c r="H231" s="2" t="n">
        <v>3</v>
      </c>
      <c r="I231" s="2" t="s">
        <v>41</v>
      </c>
      <c r="J231" s="2" t="s">
        <v>59</v>
      </c>
      <c r="K231" s="2" t="s">
        <v>211</v>
      </c>
      <c r="L231" s="2" t="s">
        <v>67</v>
      </c>
      <c r="M231" s="2" t="s">
        <v>448</v>
      </c>
      <c r="N231" s="2" t="n">
        <v>2</v>
      </c>
      <c r="O231" s="2" t="s">
        <v>462</v>
      </c>
    </row>
    <row r="232" customFormat="false" ht="23.85" hidden="false" customHeight="false" outlineLevel="0" collapsed="false">
      <c r="A232" s="2" t="s">
        <v>512</v>
      </c>
      <c r="B232" s="2" t="s">
        <v>34</v>
      </c>
      <c r="C232" s="2" t="s">
        <v>35</v>
      </c>
      <c r="D232" s="2" t="s">
        <v>56</v>
      </c>
      <c r="E232" s="2" t="s">
        <v>513</v>
      </c>
      <c r="F232" s="2" t="s">
        <v>58</v>
      </c>
      <c r="G232" s="2" t="s">
        <v>84</v>
      </c>
      <c r="H232" s="2" t="n">
        <v>1</v>
      </c>
      <c r="I232" s="2" t="s">
        <v>61</v>
      </c>
      <c r="J232" s="2" t="s">
        <v>53</v>
      </c>
      <c r="K232" s="2" t="s">
        <v>233</v>
      </c>
      <c r="L232" s="2" t="s">
        <v>67</v>
      </c>
      <c r="M232" s="2" t="s">
        <v>448</v>
      </c>
      <c r="N232" s="2" t="n">
        <v>4</v>
      </c>
      <c r="O232" s="2" t="s">
        <v>462</v>
      </c>
    </row>
    <row r="233" customFormat="false" ht="23.85" hidden="false" customHeight="false" outlineLevel="0" collapsed="false">
      <c r="A233" s="2" t="s">
        <v>514</v>
      </c>
      <c r="B233" s="2" t="s">
        <v>34</v>
      </c>
      <c r="C233" s="2" t="s">
        <v>35</v>
      </c>
      <c r="D233" s="2" t="s">
        <v>56</v>
      </c>
      <c r="E233" s="2" t="s">
        <v>515</v>
      </c>
      <c r="F233" s="2" t="s">
        <v>69</v>
      </c>
      <c r="G233" s="2" t="s">
        <v>109</v>
      </c>
      <c r="H233" s="2" t="n">
        <v>1</v>
      </c>
      <c r="I233" s="2" t="s">
        <v>61</v>
      </c>
      <c r="J233" s="2" t="s">
        <v>59</v>
      </c>
      <c r="K233" s="2" t="s">
        <v>211</v>
      </c>
      <c r="L233" s="2" t="s">
        <v>67</v>
      </c>
      <c r="M233" s="2" t="s">
        <v>461</v>
      </c>
      <c r="N233" s="2" t="n">
        <v>4</v>
      </c>
      <c r="O233" s="2" t="s">
        <v>462</v>
      </c>
    </row>
    <row r="234" customFormat="false" ht="23.85" hidden="false" customHeight="false" outlineLevel="0" collapsed="false">
      <c r="A234" s="2" t="s">
        <v>516</v>
      </c>
      <c r="B234" s="2" t="s">
        <v>34</v>
      </c>
      <c r="C234" s="2" t="s">
        <v>35</v>
      </c>
      <c r="D234" s="2" t="s">
        <v>56</v>
      </c>
      <c r="E234" s="2" t="s">
        <v>275</v>
      </c>
      <c r="F234" s="2" t="s">
        <v>69</v>
      </c>
      <c r="G234" s="2" t="s">
        <v>113</v>
      </c>
      <c r="H234" s="2" t="n">
        <v>2</v>
      </c>
      <c r="I234" s="2" t="s">
        <v>41</v>
      </c>
      <c r="J234" s="2" t="s">
        <v>59</v>
      </c>
      <c r="K234" s="2" t="s">
        <v>211</v>
      </c>
      <c r="L234" s="2" t="s">
        <v>67</v>
      </c>
      <c r="M234" s="2" t="s">
        <v>448</v>
      </c>
      <c r="N234" s="2" t="n">
        <v>3</v>
      </c>
      <c r="O234" s="2" t="s">
        <v>462</v>
      </c>
    </row>
    <row r="235" customFormat="false" ht="23.85" hidden="false" customHeight="false" outlineLevel="0" collapsed="false">
      <c r="A235" s="2" t="s">
        <v>516</v>
      </c>
      <c r="B235" s="2" t="s">
        <v>34</v>
      </c>
      <c r="C235" s="2" t="s">
        <v>35</v>
      </c>
      <c r="D235" s="2" t="s">
        <v>56</v>
      </c>
      <c r="E235" s="2" t="s">
        <v>275</v>
      </c>
      <c r="F235" s="2" t="s">
        <v>69</v>
      </c>
      <c r="G235" s="2" t="s">
        <v>126</v>
      </c>
      <c r="H235" s="2" t="n">
        <v>2</v>
      </c>
      <c r="I235" s="2" t="s">
        <v>41</v>
      </c>
      <c r="J235" s="2" t="s">
        <v>59</v>
      </c>
      <c r="K235" s="2" t="s">
        <v>211</v>
      </c>
      <c r="L235" s="2" t="s">
        <v>67</v>
      </c>
      <c r="M235" s="2" t="s">
        <v>448</v>
      </c>
      <c r="N235" s="2" t="n">
        <v>3</v>
      </c>
      <c r="O235" s="2" t="s">
        <v>462</v>
      </c>
    </row>
    <row r="236" customFormat="false" ht="23.85" hidden="false" customHeight="false" outlineLevel="0" collapsed="false">
      <c r="A236" s="2" t="s">
        <v>517</v>
      </c>
      <c r="B236" s="2" t="s">
        <v>34</v>
      </c>
      <c r="C236" s="2" t="s">
        <v>35</v>
      </c>
      <c r="D236" s="2" t="s">
        <v>56</v>
      </c>
      <c r="E236" s="2" t="s">
        <v>372</v>
      </c>
      <c r="F236" s="2" t="s">
        <v>71</v>
      </c>
      <c r="G236" s="2" t="s">
        <v>127</v>
      </c>
      <c r="H236" s="2" t="n">
        <v>1</v>
      </c>
      <c r="I236" s="2" t="s">
        <v>61</v>
      </c>
      <c r="J236" s="2" t="s">
        <v>59</v>
      </c>
      <c r="K236" s="2" t="s">
        <v>211</v>
      </c>
      <c r="L236" s="2" t="s">
        <v>67</v>
      </c>
      <c r="M236" s="2" t="s">
        <v>448</v>
      </c>
      <c r="N236" s="2" t="n">
        <v>4</v>
      </c>
      <c r="O236" s="2" t="s">
        <v>462</v>
      </c>
    </row>
    <row r="237" customFormat="false" ht="23.85" hidden="false" customHeight="false" outlineLevel="0" collapsed="false">
      <c r="A237" s="2" t="s">
        <v>518</v>
      </c>
      <c r="B237" s="2" t="s">
        <v>34</v>
      </c>
      <c r="C237" s="2" t="s">
        <v>35</v>
      </c>
      <c r="D237" s="2" t="s">
        <v>56</v>
      </c>
      <c r="E237" s="2" t="s">
        <v>519</v>
      </c>
      <c r="F237" s="2" t="s">
        <v>58</v>
      </c>
      <c r="G237" s="2" t="s">
        <v>62</v>
      </c>
      <c r="H237" s="2" t="n">
        <v>3</v>
      </c>
      <c r="I237" s="2" t="s">
        <v>41</v>
      </c>
      <c r="J237" s="2" t="s">
        <v>59</v>
      </c>
      <c r="K237" s="2" t="s">
        <v>211</v>
      </c>
      <c r="L237" s="2" t="s">
        <v>67</v>
      </c>
      <c r="M237" s="2" t="s">
        <v>461</v>
      </c>
      <c r="N237" s="2" t="n">
        <v>3</v>
      </c>
      <c r="O237" s="2" t="s">
        <v>462</v>
      </c>
    </row>
    <row r="238" customFormat="false" ht="23.85" hidden="false" customHeight="false" outlineLevel="0" collapsed="false">
      <c r="A238" s="2" t="s">
        <v>518</v>
      </c>
      <c r="B238" s="2" t="s">
        <v>34</v>
      </c>
      <c r="C238" s="2" t="s">
        <v>35</v>
      </c>
      <c r="D238" s="2" t="s">
        <v>56</v>
      </c>
      <c r="E238" s="2" t="s">
        <v>519</v>
      </c>
      <c r="F238" s="2" t="s">
        <v>58</v>
      </c>
      <c r="G238" s="2" t="s">
        <v>87</v>
      </c>
      <c r="H238" s="2" t="n">
        <v>3</v>
      </c>
      <c r="I238" s="2" t="s">
        <v>41</v>
      </c>
      <c r="J238" s="2" t="s">
        <v>59</v>
      </c>
      <c r="K238" s="2" t="s">
        <v>211</v>
      </c>
      <c r="L238" s="2" t="s">
        <v>67</v>
      </c>
      <c r="M238" s="2" t="s">
        <v>461</v>
      </c>
      <c r="N238" s="2" t="n">
        <v>3</v>
      </c>
      <c r="O238" s="2" t="s">
        <v>462</v>
      </c>
    </row>
    <row r="239" customFormat="false" ht="23.85" hidden="false" customHeight="false" outlineLevel="0" collapsed="false">
      <c r="A239" s="2" t="s">
        <v>518</v>
      </c>
      <c r="B239" s="2" t="s">
        <v>34</v>
      </c>
      <c r="C239" s="2" t="s">
        <v>35</v>
      </c>
      <c r="D239" s="2" t="s">
        <v>56</v>
      </c>
      <c r="E239" s="2" t="s">
        <v>519</v>
      </c>
      <c r="F239" s="2" t="s">
        <v>58</v>
      </c>
      <c r="G239" s="2" t="s">
        <v>148</v>
      </c>
      <c r="H239" s="2" t="n">
        <v>3</v>
      </c>
      <c r="I239" s="2" t="s">
        <v>41</v>
      </c>
      <c r="J239" s="2" t="s">
        <v>59</v>
      </c>
      <c r="K239" s="2" t="s">
        <v>211</v>
      </c>
      <c r="L239" s="2" t="s">
        <v>67</v>
      </c>
      <c r="M239" s="2" t="s">
        <v>461</v>
      </c>
      <c r="N239" s="2" t="n">
        <v>3</v>
      </c>
      <c r="O239" s="2" t="s">
        <v>462</v>
      </c>
    </row>
    <row r="240" customFormat="false" ht="23.85" hidden="false" customHeight="false" outlineLevel="0" collapsed="false">
      <c r="A240" s="2" t="s">
        <v>520</v>
      </c>
      <c r="B240" s="2" t="s">
        <v>34</v>
      </c>
      <c r="C240" s="2" t="s">
        <v>35</v>
      </c>
      <c r="D240" s="2" t="s">
        <v>56</v>
      </c>
      <c r="E240" s="2" t="s">
        <v>377</v>
      </c>
      <c r="F240" s="2" t="s">
        <v>69</v>
      </c>
      <c r="G240" s="2" t="s">
        <v>114</v>
      </c>
      <c r="H240" s="2" t="n">
        <v>1</v>
      </c>
      <c r="I240" s="2" t="s">
        <v>61</v>
      </c>
      <c r="J240" s="2" t="s">
        <v>59</v>
      </c>
      <c r="K240" s="2" t="s">
        <v>211</v>
      </c>
      <c r="L240" s="2" t="s">
        <v>67</v>
      </c>
      <c r="M240" s="2" t="s">
        <v>448</v>
      </c>
      <c r="N240" s="2" t="n">
        <v>4</v>
      </c>
      <c r="O240" s="2" t="s">
        <v>462</v>
      </c>
    </row>
    <row r="241" customFormat="false" ht="23.85" hidden="false" customHeight="false" outlineLevel="0" collapsed="false">
      <c r="A241" s="2" t="s">
        <v>521</v>
      </c>
      <c r="B241" s="2" t="s">
        <v>34</v>
      </c>
      <c r="C241" s="2" t="s">
        <v>35</v>
      </c>
      <c r="D241" s="2" t="s">
        <v>56</v>
      </c>
      <c r="E241" s="2" t="s">
        <v>522</v>
      </c>
      <c r="F241" s="2" t="s">
        <v>69</v>
      </c>
      <c r="G241" s="2" t="s">
        <v>57</v>
      </c>
      <c r="H241" s="2" t="n">
        <v>1</v>
      </c>
      <c r="I241" s="2" t="s">
        <v>61</v>
      </c>
      <c r="J241" s="2" t="s">
        <v>59</v>
      </c>
      <c r="K241" s="2" t="s">
        <v>211</v>
      </c>
      <c r="L241" s="2" t="s">
        <v>67</v>
      </c>
      <c r="M241" s="2" t="s">
        <v>461</v>
      </c>
      <c r="N241" s="2" t="n">
        <v>2</v>
      </c>
      <c r="O241" s="2" t="s">
        <v>462</v>
      </c>
    </row>
    <row r="242" customFormat="false" ht="23.85" hidden="false" customHeight="false" outlineLevel="0" collapsed="false">
      <c r="A242" s="2" t="s">
        <v>523</v>
      </c>
      <c r="B242" s="2" t="s">
        <v>34</v>
      </c>
      <c r="C242" s="2" t="s">
        <v>35</v>
      </c>
      <c r="D242" s="2" t="s">
        <v>56</v>
      </c>
      <c r="E242" s="2" t="s">
        <v>524</v>
      </c>
      <c r="F242" s="2" t="s">
        <v>45</v>
      </c>
      <c r="G242" s="2" t="s">
        <v>62</v>
      </c>
      <c r="H242" s="2" t="n">
        <v>1</v>
      </c>
      <c r="I242" s="2" t="s">
        <v>61</v>
      </c>
      <c r="J242" s="2" t="s">
        <v>59</v>
      </c>
      <c r="K242" s="2" t="s">
        <v>211</v>
      </c>
      <c r="L242" s="2" t="s">
        <v>67</v>
      </c>
      <c r="M242" s="2" t="s">
        <v>461</v>
      </c>
      <c r="N242" s="2" t="n">
        <v>2</v>
      </c>
      <c r="O242" s="2" t="s">
        <v>462</v>
      </c>
    </row>
    <row r="243" customFormat="false" ht="23.85" hidden="false" customHeight="false" outlineLevel="0" collapsed="false">
      <c r="A243" s="2" t="s">
        <v>525</v>
      </c>
      <c r="B243" s="2" t="s">
        <v>34</v>
      </c>
      <c r="C243" s="2" t="s">
        <v>35</v>
      </c>
      <c r="D243" s="2" t="s">
        <v>56</v>
      </c>
      <c r="E243" s="2" t="s">
        <v>526</v>
      </c>
      <c r="F243" s="2" t="s">
        <v>66</v>
      </c>
      <c r="G243" s="2" t="s">
        <v>102</v>
      </c>
      <c r="H243" s="2" t="n">
        <v>1</v>
      </c>
      <c r="I243" s="2" t="s">
        <v>61</v>
      </c>
      <c r="J243" s="2" t="s">
        <v>53</v>
      </c>
      <c r="K243" s="2" t="s">
        <v>233</v>
      </c>
      <c r="L243" s="2" t="s">
        <v>67</v>
      </c>
      <c r="M243" s="2" t="s">
        <v>448</v>
      </c>
      <c r="N243" s="2" t="n">
        <v>4</v>
      </c>
      <c r="O243" s="2" t="s">
        <v>462</v>
      </c>
    </row>
    <row r="244" customFormat="false" ht="23.85" hidden="false" customHeight="false" outlineLevel="0" collapsed="false">
      <c r="A244" s="2" t="s">
        <v>527</v>
      </c>
      <c r="B244" s="2" t="s">
        <v>34</v>
      </c>
      <c r="C244" s="2" t="s">
        <v>35</v>
      </c>
      <c r="D244" s="2" t="s">
        <v>56</v>
      </c>
      <c r="E244" s="2" t="s">
        <v>528</v>
      </c>
      <c r="F244" s="2" t="s">
        <v>75</v>
      </c>
      <c r="G244" s="2" t="s">
        <v>95</v>
      </c>
      <c r="H244" s="2" t="n">
        <v>1</v>
      </c>
      <c r="I244" s="2" t="s">
        <v>61</v>
      </c>
      <c r="J244" s="2" t="s">
        <v>59</v>
      </c>
      <c r="K244" s="2" t="s">
        <v>211</v>
      </c>
      <c r="L244" s="2" t="s">
        <v>67</v>
      </c>
      <c r="M244" s="2" t="s">
        <v>461</v>
      </c>
      <c r="N244" s="2" t="n">
        <v>2</v>
      </c>
      <c r="O244" s="2" t="s">
        <v>462</v>
      </c>
    </row>
    <row r="245" customFormat="false" ht="23.85" hidden="false" customHeight="false" outlineLevel="0" collapsed="false">
      <c r="A245" s="2" t="s">
        <v>529</v>
      </c>
      <c r="B245" s="2" t="s">
        <v>34</v>
      </c>
      <c r="C245" s="2" t="s">
        <v>35</v>
      </c>
      <c r="D245" s="2" t="s">
        <v>56</v>
      </c>
      <c r="E245" s="2" t="s">
        <v>530</v>
      </c>
      <c r="F245" s="2" t="s">
        <v>45</v>
      </c>
      <c r="G245" s="2" t="s">
        <v>97</v>
      </c>
      <c r="H245" s="2" t="n">
        <v>1</v>
      </c>
      <c r="I245" s="2" t="s">
        <v>61</v>
      </c>
      <c r="J245" s="2" t="s">
        <v>59</v>
      </c>
      <c r="K245" s="2" t="s">
        <v>211</v>
      </c>
      <c r="L245" s="2" t="s">
        <v>67</v>
      </c>
      <c r="M245" s="2" t="s">
        <v>461</v>
      </c>
      <c r="N245" s="2" t="n">
        <v>2</v>
      </c>
      <c r="O245" s="2" t="s">
        <v>462</v>
      </c>
    </row>
    <row r="246" customFormat="false" ht="23.85" hidden="false" customHeight="false" outlineLevel="0" collapsed="false">
      <c r="A246" s="2" t="s">
        <v>531</v>
      </c>
      <c r="B246" s="2" t="s">
        <v>34</v>
      </c>
      <c r="C246" s="2" t="s">
        <v>35</v>
      </c>
      <c r="D246" s="2" t="s">
        <v>56</v>
      </c>
      <c r="E246" s="2" t="s">
        <v>532</v>
      </c>
      <c r="F246" s="2" t="s">
        <v>45</v>
      </c>
      <c r="G246" s="2" t="s">
        <v>65</v>
      </c>
      <c r="H246" s="2" t="n">
        <v>1</v>
      </c>
      <c r="I246" s="2" t="s">
        <v>61</v>
      </c>
      <c r="J246" s="2" t="s">
        <v>59</v>
      </c>
      <c r="K246" s="2" t="s">
        <v>211</v>
      </c>
      <c r="L246" s="2" t="s">
        <v>67</v>
      </c>
      <c r="M246" s="2" t="s">
        <v>448</v>
      </c>
      <c r="N246" s="2" t="n">
        <v>3</v>
      </c>
      <c r="O246" s="2" t="s">
        <v>462</v>
      </c>
    </row>
    <row r="247" customFormat="false" ht="23.85" hidden="false" customHeight="false" outlineLevel="0" collapsed="false">
      <c r="A247" s="2" t="s">
        <v>533</v>
      </c>
      <c r="B247" s="2" t="s">
        <v>34</v>
      </c>
      <c r="C247" s="2" t="s">
        <v>35</v>
      </c>
      <c r="D247" s="2" t="s">
        <v>56</v>
      </c>
      <c r="E247" s="2" t="s">
        <v>534</v>
      </c>
      <c r="F247" s="2" t="s">
        <v>69</v>
      </c>
      <c r="G247" s="2" t="s">
        <v>117</v>
      </c>
      <c r="H247" s="2" t="n">
        <v>1</v>
      </c>
      <c r="I247" s="2" t="s">
        <v>61</v>
      </c>
      <c r="J247" s="2" t="s">
        <v>39</v>
      </c>
      <c r="K247" s="2" t="s">
        <v>215</v>
      </c>
      <c r="L247" s="2" t="s">
        <v>67</v>
      </c>
      <c r="M247" s="2" t="s">
        <v>461</v>
      </c>
      <c r="N247" s="2" t="n">
        <v>4</v>
      </c>
      <c r="O247" s="2" t="s">
        <v>462</v>
      </c>
    </row>
    <row r="248" customFormat="false" ht="23.85" hidden="false" customHeight="false" outlineLevel="0" collapsed="false">
      <c r="A248" s="2" t="s">
        <v>535</v>
      </c>
      <c r="B248" s="2" t="s">
        <v>34</v>
      </c>
      <c r="C248" s="2" t="s">
        <v>35</v>
      </c>
      <c r="D248" s="2" t="s">
        <v>56</v>
      </c>
      <c r="E248" s="2" t="s">
        <v>536</v>
      </c>
      <c r="F248" s="2" t="s">
        <v>69</v>
      </c>
      <c r="G248" s="2" t="s">
        <v>118</v>
      </c>
      <c r="H248" s="2" t="n">
        <v>1</v>
      </c>
      <c r="I248" s="2" t="s">
        <v>61</v>
      </c>
      <c r="J248" s="2" t="s">
        <v>39</v>
      </c>
      <c r="K248" s="2" t="s">
        <v>215</v>
      </c>
      <c r="L248" s="2" t="s">
        <v>67</v>
      </c>
      <c r="M248" s="2" t="s">
        <v>461</v>
      </c>
      <c r="N248" s="2" t="n">
        <v>4</v>
      </c>
      <c r="O248" s="2" t="s">
        <v>462</v>
      </c>
    </row>
    <row r="249" customFormat="false" ht="23.85" hidden="false" customHeight="false" outlineLevel="0" collapsed="false">
      <c r="A249" s="2" t="s">
        <v>537</v>
      </c>
      <c r="B249" s="2" t="s">
        <v>34</v>
      </c>
      <c r="C249" s="2" t="s">
        <v>35</v>
      </c>
      <c r="D249" s="2" t="s">
        <v>56</v>
      </c>
      <c r="E249" s="2" t="s">
        <v>538</v>
      </c>
      <c r="F249" s="2" t="s">
        <v>69</v>
      </c>
      <c r="G249" s="2" t="s">
        <v>116</v>
      </c>
      <c r="H249" s="2" t="n">
        <v>1</v>
      </c>
      <c r="I249" s="2" t="s">
        <v>61</v>
      </c>
      <c r="J249" s="2" t="s">
        <v>46</v>
      </c>
      <c r="K249" s="2" t="s">
        <v>230</v>
      </c>
      <c r="L249" s="2" t="s">
        <v>64</v>
      </c>
      <c r="M249" s="2" t="s">
        <v>448</v>
      </c>
      <c r="N249" s="2" t="n">
        <v>3</v>
      </c>
      <c r="O249" s="2" t="s">
        <v>462</v>
      </c>
    </row>
    <row r="250" customFormat="false" ht="23.85" hidden="false" customHeight="false" outlineLevel="0" collapsed="false">
      <c r="A250" s="2" t="s">
        <v>539</v>
      </c>
      <c r="B250" s="2" t="s">
        <v>34</v>
      </c>
      <c r="C250" s="2" t="s">
        <v>35</v>
      </c>
      <c r="D250" s="2" t="s">
        <v>56</v>
      </c>
      <c r="E250" s="2" t="s">
        <v>285</v>
      </c>
      <c r="F250" s="2" t="s">
        <v>69</v>
      </c>
      <c r="G250" s="2" t="s">
        <v>124</v>
      </c>
      <c r="H250" s="2" t="n">
        <v>1</v>
      </c>
      <c r="I250" s="2" t="s">
        <v>61</v>
      </c>
      <c r="J250" s="2" t="s">
        <v>59</v>
      </c>
      <c r="K250" s="2" t="s">
        <v>211</v>
      </c>
      <c r="L250" s="2" t="s">
        <v>67</v>
      </c>
      <c r="M250" s="2" t="s">
        <v>461</v>
      </c>
      <c r="N250" s="2" t="n">
        <v>3</v>
      </c>
      <c r="O250" s="2" t="s">
        <v>462</v>
      </c>
    </row>
    <row r="251" customFormat="false" ht="23.85" hidden="false" customHeight="false" outlineLevel="0" collapsed="false">
      <c r="A251" s="2" t="s">
        <v>540</v>
      </c>
      <c r="B251" s="2" t="s">
        <v>34</v>
      </c>
      <c r="C251" s="2" t="s">
        <v>35</v>
      </c>
      <c r="D251" s="2" t="s">
        <v>56</v>
      </c>
      <c r="E251" s="2" t="s">
        <v>287</v>
      </c>
      <c r="F251" s="2" t="s">
        <v>69</v>
      </c>
      <c r="G251" s="2" t="s">
        <v>115</v>
      </c>
      <c r="H251" s="2" t="n">
        <v>1</v>
      </c>
      <c r="I251" s="2" t="s">
        <v>61</v>
      </c>
      <c r="J251" s="2" t="s">
        <v>59</v>
      </c>
      <c r="K251" s="2" t="s">
        <v>211</v>
      </c>
      <c r="L251" s="2" t="s">
        <v>67</v>
      </c>
      <c r="M251" s="2" t="s">
        <v>461</v>
      </c>
      <c r="N251" s="2" t="n">
        <v>3</v>
      </c>
      <c r="O251" s="2" t="s">
        <v>462</v>
      </c>
    </row>
    <row r="252" customFormat="false" ht="23.85" hidden="false" customHeight="false" outlineLevel="0" collapsed="false">
      <c r="A252" s="2" t="s">
        <v>541</v>
      </c>
      <c r="B252" s="2" t="s">
        <v>34</v>
      </c>
      <c r="C252" s="2" t="s">
        <v>35</v>
      </c>
      <c r="D252" s="2" t="s">
        <v>56</v>
      </c>
      <c r="E252" s="2" t="s">
        <v>542</v>
      </c>
      <c r="F252" s="2" t="s">
        <v>66</v>
      </c>
      <c r="G252" s="2" t="s">
        <v>114</v>
      </c>
      <c r="H252" s="2" t="n">
        <v>1</v>
      </c>
      <c r="I252" s="2" t="s">
        <v>61</v>
      </c>
      <c r="J252" s="2" t="s">
        <v>59</v>
      </c>
      <c r="K252" s="2" t="s">
        <v>211</v>
      </c>
      <c r="L252" s="2" t="s">
        <v>67</v>
      </c>
      <c r="M252" s="2" t="s">
        <v>461</v>
      </c>
      <c r="N252" s="2" t="n">
        <v>4</v>
      </c>
      <c r="O252" s="2" t="s">
        <v>462</v>
      </c>
    </row>
    <row r="253" customFormat="false" ht="23.85" hidden="false" customHeight="false" outlineLevel="0" collapsed="false">
      <c r="A253" s="2" t="s">
        <v>543</v>
      </c>
      <c r="B253" s="2" t="s">
        <v>34</v>
      </c>
      <c r="C253" s="2" t="s">
        <v>35</v>
      </c>
      <c r="D253" s="2" t="s">
        <v>56</v>
      </c>
      <c r="E253" s="2" t="s">
        <v>544</v>
      </c>
      <c r="F253" s="2" t="s">
        <v>71</v>
      </c>
      <c r="G253" s="2" t="s">
        <v>108</v>
      </c>
      <c r="H253" s="2" t="n">
        <v>1</v>
      </c>
      <c r="I253" s="2" t="s">
        <v>61</v>
      </c>
      <c r="J253" s="2" t="s">
        <v>59</v>
      </c>
      <c r="K253" s="2" t="s">
        <v>211</v>
      </c>
      <c r="L253" s="2" t="s">
        <v>67</v>
      </c>
      <c r="M253" s="2" t="s">
        <v>461</v>
      </c>
      <c r="N253" s="2" t="n">
        <v>3</v>
      </c>
      <c r="O253" s="2" t="s">
        <v>462</v>
      </c>
    </row>
    <row r="254" customFormat="false" ht="23.85" hidden="false" customHeight="false" outlineLevel="0" collapsed="false">
      <c r="A254" s="2" t="s">
        <v>545</v>
      </c>
      <c r="B254" s="2" t="s">
        <v>34</v>
      </c>
      <c r="C254" s="2" t="s">
        <v>35</v>
      </c>
      <c r="D254" s="2" t="s">
        <v>56</v>
      </c>
      <c r="E254" s="2" t="s">
        <v>289</v>
      </c>
      <c r="F254" s="2" t="s">
        <v>66</v>
      </c>
      <c r="G254" s="2" t="s">
        <v>104</v>
      </c>
      <c r="H254" s="2" t="n">
        <v>2</v>
      </c>
      <c r="I254" s="2" t="s">
        <v>41</v>
      </c>
      <c r="J254" s="2" t="s">
        <v>59</v>
      </c>
      <c r="K254" s="2" t="s">
        <v>211</v>
      </c>
      <c r="L254" s="2" t="s">
        <v>64</v>
      </c>
      <c r="M254" s="2" t="s">
        <v>461</v>
      </c>
      <c r="N254" s="2" t="n">
        <v>1</v>
      </c>
      <c r="O254" s="2" t="s">
        <v>462</v>
      </c>
    </row>
    <row r="255" customFormat="false" ht="23.85" hidden="false" customHeight="false" outlineLevel="0" collapsed="false">
      <c r="A255" s="2" t="s">
        <v>545</v>
      </c>
      <c r="B255" s="2" t="s">
        <v>34</v>
      </c>
      <c r="C255" s="2" t="s">
        <v>35</v>
      </c>
      <c r="D255" s="2" t="s">
        <v>56</v>
      </c>
      <c r="E255" s="2" t="s">
        <v>289</v>
      </c>
      <c r="F255" s="2" t="s">
        <v>66</v>
      </c>
      <c r="G255" s="2" t="s">
        <v>142</v>
      </c>
      <c r="H255" s="2" t="n">
        <v>2</v>
      </c>
      <c r="I255" s="2" t="s">
        <v>41</v>
      </c>
      <c r="J255" s="2" t="s">
        <v>59</v>
      </c>
      <c r="K255" s="2" t="s">
        <v>211</v>
      </c>
      <c r="L255" s="2" t="s">
        <v>64</v>
      </c>
      <c r="M255" s="2" t="s">
        <v>461</v>
      </c>
      <c r="N255" s="2" t="n">
        <v>1</v>
      </c>
      <c r="O255" s="2" t="s">
        <v>462</v>
      </c>
    </row>
    <row r="256" customFormat="false" ht="23.85" hidden="false" customHeight="false" outlineLevel="0" collapsed="false">
      <c r="A256" s="2" t="s">
        <v>546</v>
      </c>
      <c r="B256" s="2" t="s">
        <v>34</v>
      </c>
      <c r="C256" s="2" t="s">
        <v>35</v>
      </c>
      <c r="D256" s="2" t="s">
        <v>56</v>
      </c>
      <c r="E256" s="2" t="s">
        <v>291</v>
      </c>
      <c r="F256" s="2" t="s">
        <v>52</v>
      </c>
      <c r="G256" s="2" t="s">
        <v>90</v>
      </c>
      <c r="H256" s="2" t="n">
        <v>1</v>
      </c>
      <c r="I256" s="2" t="s">
        <v>61</v>
      </c>
      <c r="J256" s="2" t="s">
        <v>46</v>
      </c>
      <c r="K256" s="2" t="s">
        <v>230</v>
      </c>
      <c r="L256" s="2" t="s">
        <v>64</v>
      </c>
      <c r="M256" s="2" t="s">
        <v>461</v>
      </c>
      <c r="N256" s="2" t="n">
        <v>1</v>
      </c>
      <c r="O256" s="2" t="s">
        <v>462</v>
      </c>
    </row>
    <row r="257" customFormat="false" ht="23.85" hidden="false" customHeight="false" outlineLevel="0" collapsed="false">
      <c r="A257" s="2" t="s">
        <v>547</v>
      </c>
      <c r="B257" s="2" t="s">
        <v>34</v>
      </c>
      <c r="C257" s="2" t="s">
        <v>35</v>
      </c>
      <c r="D257" s="2" t="s">
        <v>56</v>
      </c>
      <c r="E257" s="2" t="s">
        <v>301</v>
      </c>
      <c r="F257" s="2" t="s">
        <v>73</v>
      </c>
      <c r="G257" s="2" t="s">
        <v>131</v>
      </c>
      <c r="H257" s="2" t="n">
        <v>1</v>
      </c>
      <c r="I257" s="2" t="s">
        <v>61</v>
      </c>
      <c r="J257" s="2" t="s">
        <v>39</v>
      </c>
      <c r="K257" s="2" t="s">
        <v>215</v>
      </c>
      <c r="L257" s="2" t="s">
        <v>64</v>
      </c>
      <c r="M257" s="2" t="s">
        <v>461</v>
      </c>
      <c r="N257" s="2" t="n">
        <v>1</v>
      </c>
      <c r="O257" s="2" t="s">
        <v>462</v>
      </c>
    </row>
    <row r="258" customFormat="false" ht="23.85" hidden="false" customHeight="false" outlineLevel="0" collapsed="false">
      <c r="A258" s="2" t="s">
        <v>548</v>
      </c>
      <c r="B258" s="2" t="s">
        <v>34</v>
      </c>
      <c r="C258" s="2" t="s">
        <v>35</v>
      </c>
      <c r="D258" s="2" t="s">
        <v>56</v>
      </c>
      <c r="E258" s="2" t="s">
        <v>549</v>
      </c>
      <c r="F258" s="2" t="s">
        <v>45</v>
      </c>
      <c r="G258" s="2" t="s">
        <v>72</v>
      </c>
      <c r="H258" s="2" t="n">
        <v>1</v>
      </c>
      <c r="I258" s="2" t="s">
        <v>61</v>
      </c>
      <c r="J258" s="2" t="s">
        <v>59</v>
      </c>
      <c r="K258" s="2" t="s">
        <v>211</v>
      </c>
      <c r="L258" s="2" t="s">
        <v>67</v>
      </c>
      <c r="M258" s="2" t="s">
        <v>461</v>
      </c>
      <c r="N258" s="2" t="n">
        <v>2</v>
      </c>
      <c r="O258" s="2" t="s">
        <v>462</v>
      </c>
    </row>
    <row r="259" customFormat="false" ht="23.85" hidden="false" customHeight="false" outlineLevel="0" collapsed="false">
      <c r="A259" s="2" t="s">
        <v>550</v>
      </c>
      <c r="B259" s="2" t="s">
        <v>34</v>
      </c>
      <c r="C259" s="2" t="s">
        <v>35</v>
      </c>
      <c r="D259" s="2" t="s">
        <v>56</v>
      </c>
      <c r="E259" s="2" t="s">
        <v>309</v>
      </c>
      <c r="F259" s="2" t="s">
        <v>71</v>
      </c>
      <c r="G259" s="2" t="s">
        <v>122</v>
      </c>
      <c r="H259" s="2" t="n">
        <v>1</v>
      </c>
      <c r="I259" s="2" t="s">
        <v>61</v>
      </c>
      <c r="J259" s="2" t="s">
        <v>59</v>
      </c>
      <c r="K259" s="2" t="s">
        <v>211</v>
      </c>
      <c r="L259" s="2" t="s">
        <v>67</v>
      </c>
      <c r="M259" s="2" t="s">
        <v>461</v>
      </c>
      <c r="N259" s="2" t="n">
        <v>2</v>
      </c>
      <c r="O259" s="2" t="s">
        <v>462</v>
      </c>
    </row>
    <row r="260" customFormat="false" ht="23.85" hidden="false" customHeight="false" outlineLevel="0" collapsed="false">
      <c r="A260" s="2" t="s">
        <v>551</v>
      </c>
      <c r="B260" s="2" t="s">
        <v>34</v>
      </c>
      <c r="C260" s="2" t="s">
        <v>35</v>
      </c>
      <c r="D260" s="2" t="s">
        <v>56</v>
      </c>
      <c r="E260" s="2" t="s">
        <v>410</v>
      </c>
      <c r="F260" s="2" t="s">
        <v>75</v>
      </c>
      <c r="G260" s="2" t="s">
        <v>143</v>
      </c>
      <c r="H260" s="2" t="n">
        <v>1</v>
      </c>
      <c r="I260" s="2" t="s">
        <v>61</v>
      </c>
      <c r="J260" s="2" t="s">
        <v>53</v>
      </c>
      <c r="K260" s="2" t="s">
        <v>233</v>
      </c>
      <c r="L260" s="2" t="s">
        <v>64</v>
      </c>
      <c r="M260" s="2" t="s">
        <v>461</v>
      </c>
      <c r="N260" s="2" t="n">
        <v>1</v>
      </c>
      <c r="O260" s="2" t="s">
        <v>462</v>
      </c>
    </row>
    <row r="261" customFormat="false" ht="23.85" hidden="false" customHeight="false" outlineLevel="0" collapsed="false">
      <c r="A261" s="2" t="s">
        <v>552</v>
      </c>
      <c r="B261" s="2" t="s">
        <v>34</v>
      </c>
      <c r="C261" s="2" t="s">
        <v>35</v>
      </c>
      <c r="D261" s="2" t="s">
        <v>56</v>
      </c>
      <c r="E261" s="2" t="s">
        <v>433</v>
      </c>
      <c r="F261" s="2" t="s">
        <v>73</v>
      </c>
      <c r="G261" s="2" t="s">
        <v>131</v>
      </c>
      <c r="H261" s="2" t="n">
        <v>1</v>
      </c>
      <c r="I261" s="2" t="s">
        <v>61</v>
      </c>
      <c r="J261" s="2" t="s">
        <v>46</v>
      </c>
      <c r="K261" s="2" t="s">
        <v>230</v>
      </c>
      <c r="L261" s="2" t="s">
        <v>64</v>
      </c>
      <c r="M261" s="2" t="s">
        <v>461</v>
      </c>
      <c r="N261" s="2" t="n">
        <v>1</v>
      </c>
      <c r="O261" s="2" t="s">
        <v>462</v>
      </c>
    </row>
    <row r="262" customFormat="false" ht="23.85" hidden="false" customHeight="false" outlineLevel="0" collapsed="false">
      <c r="A262" s="2" t="s">
        <v>553</v>
      </c>
      <c r="B262" s="2" t="s">
        <v>34</v>
      </c>
      <c r="C262" s="2" t="s">
        <v>35</v>
      </c>
      <c r="D262" s="2" t="s">
        <v>56</v>
      </c>
      <c r="E262" s="2" t="s">
        <v>301</v>
      </c>
      <c r="F262" s="2" t="s">
        <v>73</v>
      </c>
      <c r="G262" s="2" t="s">
        <v>131</v>
      </c>
      <c r="H262" s="2" t="n">
        <v>1</v>
      </c>
      <c r="I262" s="2" t="s">
        <v>61</v>
      </c>
      <c r="J262" s="2" t="s">
        <v>39</v>
      </c>
      <c r="K262" s="2" t="s">
        <v>215</v>
      </c>
      <c r="L262" s="2" t="s">
        <v>64</v>
      </c>
      <c r="M262" s="2" t="s">
        <v>461</v>
      </c>
      <c r="N262" s="2" t="n">
        <v>1</v>
      </c>
      <c r="O262" s="2" t="s">
        <v>462</v>
      </c>
    </row>
    <row r="263" customFormat="false" ht="23.85" hidden="false" customHeight="false" outlineLevel="0" collapsed="false">
      <c r="A263" s="2" t="s">
        <v>554</v>
      </c>
      <c r="B263" s="2" t="s">
        <v>34</v>
      </c>
      <c r="C263" s="2" t="s">
        <v>35</v>
      </c>
      <c r="D263" s="2" t="s">
        <v>56</v>
      </c>
      <c r="E263" s="2" t="s">
        <v>555</v>
      </c>
      <c r="F263" s="2" t="s">
        <v>73</v>
      </c>
      <c r="G263" s="2" t="s">
        <v>448</v>
      </c>
      <c r="H263" s="2" t="n">
        <v>0</v>
      </c>
      <c r="I263" s="2" t="s">
        <v>48</v>
      </c>
      <c r="J263" s="2" t="s">
        <v>46</v>
      </c>
      <c r="K263" s="2" t="s">
        <v>230</v>
      </c>
      <c r="L263" s="2" t="s">
        <v>67</v>
      </c>
      <c r="M263" s="2" t="s">
        <v>448</v>
      </c>
      <c r="N263" s="2" t="n">
        <v>3</v>
      </c>
      <c r="O263" s="2" t="s">
        <v>462</v>
      </c>
    </row>
    <row r="264" customFormat="false" ht="23.85" hidden="false" customHeight="false" outlineLevel="0" collapsed="false">
      <c r="A264" s="2" t="s">
        <v>556</v>
      </c>
      <c r="B264" s="2" t="s">
        <v>34</v>
      </c>
      <c r="C264" s="2" t="s">
        <v>35</v>
      </c>
      <c r="D264" s="2" t="s">
        <v>56</v>
      </c>
      <c r="E264" s="2" t="s">
        <v>557</v>
      </c>
      <c r="F264" s="2" t="s">
        <v>63</v>
      </c>
      <c r="G264" s="2" t="s">
        <v>448</v>
      </c>
      <c r="H264" s="2" t="n">
        <v>0</v>
      </c>
      <c r="I264" s="2" t="s">
        <v>48</v>
      </c>
      <c r="J264" s="2" t="s">
        <v>46</v>
      </c>
      <c r="K264" s="2" t="s">
        <v>230</v>
      </c>
      <c r="L264" s="2" t="s">
        <v>67</v>
      </c>
      <c r="M264" s="2" t="s">
        <v>448</v>
      </c>
      <c r="N264" s="2" t="n">
        <v>3</v>
      </c>
      <c r="O264" s="2" t="s">
        <v>462</v>
      </c>
    </row>
    <row r="265" customFormat="false" ht="23.85" hidden="false" customHeight="false" outlineLevel="0" collapsed="false">
      <c r="A265" s="2" t="s">
        <v>558</v>
      </c>
      <c r="B265" s="2" t="s">
        <v>34</v>
      </c>
      <c r="C265" s="2" t="s">
        <v>35</v>
      </c>
      <c r="D265" s="2" t="s">
        <v>56</v>
      </c>
      <c r="E265" s="2" t="s">
        <v>559</v>
      </c>
      <c r="F265" s="2" t="s">
        <v>63</v>
      </c>
      <c r="G265" s="2" t="s">
        <v>448</v>
      </c>
      <c r="H265" s="2" t="n">
        <v>0</v>
      </c>
      <c r="I265" s="2" t="s">
        <v>48</v>
      </c>
      <c r="J265" s="2" t="s">
        <v>46</v>
      </c>
      <c r="K265" s="2" t="s">
        <v>230</v>
      </c>
      <c r="L265" s="2" t="s">
        <v>67</v>
      </c>
      <c r="M265" s="2" t="s">
        <v>448</v>
      </c>
      <c r="N265" s="2" t="n">
        <v>3</v>
      </c>
      <c r="O265" s="2" t="s">
        <v>462</v>
      </c>
    </row>
    <row r="266" customFormat="false" ht="23.85" hidden="false" customHeight="false" outlineLevel="0" collapsed="false">
      <c r="A266" s="2" t="s">
        <v>560</v>
      </c>
      <c r="B266" s="2" t="s">
        <v>34</v>
      </c>
      <c r="C266" s="2" t="s">
        <v>35</v>
      </c>
      <c r="D266" s="2" t="s">
        <v>56</v>
      </c>
      <c r="E266" s="2" t="s">
        <v>561</v>
      </c>
      <c r="F266" s="2" t="s">
        <v>75</v>
      </c>
      <c r="G266" s="2" t="s">
        <v>448</v>
      </c>
      <c r="H266" s="2" t="n">
        <v>0</v>
      </c>
      <c r="I266" s="2" t="s">
        <v>48</v>
      </c>
      <c r="J266" s="2" t="s">
        <v>46</v>
      </c>
      <c r="K266" s="2" t="s">
        <v>230</v>
      </c>
      <c r="L266" s="2" t="s">
        <v>67</v>
      </c>
      <c r="M266" s="2" t="s">
        <v>448</v>
      </c>
      <c r="N266" s="2" t="n">
        <v>3</v>
      </c>
      <c r="O266" s="2" t="s">
        <v>462</v>
      </c>
    </row>
    <row r="267" customFormat="false" ht="23.85" hidden="false" customHeight="false" outlineLevel="0" collapsed="false">
      <c r="A267" s="2" t="s">
        <v>562</v>
      </c>
      <c r="B267" s="2" t="s">
        <v>34</v>
      </c>
      <c r="C267" s="2" t="s">
        <v>35</v>
      </c>
      <c r="D267" s="2" t="s">
        <v>56</v>
      </c>
      <c r="E267" s="2" t="s">
        <v>563</v>
      </c>
      <c r="F267" s="2" t="s">
        <v>75</v>
      </c>
      <c r="G267" s="2" t="s">
        <v>448</v>
      </c>
      <c r="H267" s="2" t="n">
        <v>0</v>
      </c>
      <c r="I267" s="2" t="s">
        <v>48</v>
      </c>
      <c r="J267" s="2" t="s">
        <v>46</v>
      </c>
      <c r="K267" s="2" t="s">
        <v>230</v>
      </c>
      <c r="L267" s="2" t="s">
        <v>67</v>
      </c>
      <c r="M267" s="2" t="s">
        <v>448</v>
      </c>
      <c r="N267" s="2" t="n">
        <v>3</v>
      </c>
      <c r="O267" s="2" t="s">
        <v>462</v>
      </c>
    </row>
    <row r="268" customFormat="false" ht="23.85" hidden="false" customHeight="false" outlineLevel="0" collapsed="false">
      <c r="A268" s="2" t="s">
        <v>564</v>
      </c>
      <c r="B268" s="2" t="s">
        <v>34</v>
      </c>
      <c r="C268" s="2" t="s">
        <v>35</v>
      </c>
      <c r="D268" s="2" t="s">
        <v>56</v>
      </c>
      <c r="E268" s="2" t="s">
        <v>565</v>
      </c>
      <c r="F268" s="2" t="s">
        <v>75</v>
      </c>
      <c r="G268" s="2" t="s">
        <v>448</v>
      </c>
      <c r="H268" s="2" t="n">
        <v>0</v>
      </c>
      <c r="I268" s="2" t="s">
        <v>48</v>
      </c>
      <c r="J268" s="2" t="s">
        <v>46</v>
      </c>
      <c r="K268" s="2" t="s">
        <v>230</v>
      </c>
      <c r="L268" s="2" t="s">
        <v>67</v>
      </c>
      <c r="M268" s="2" t="s">
        <v>448</v>
      </c>
      <c r="N268" s="2" t="n">
        <v>3</v>
      </c>
      <c r="O268" s="2" t="s">
        <v>462</v>
      </c>
    </row>
    <row r="269" customFormat="false" ht="23.85" hidden="false" customHeight="false" outlineLevel="0" collapsed="false">
      <c r="A269" s="2" t="s">
        <v>566</v>
      </c>
      <c r="B269" s="2" t="s">
        <v>34</v>
      </c>
      <c r="C269" s="2" t="s">
        <v>35</v>
      </c>
      <c r="D269" s="2" t="s">
        <v>56</v>
      </c>
      <c r="E269" s="2" t="s">
        <v>271</v>
      </c>
      <c r="F269" s="2" t="s">
        <v>58</v>
      </c>
      <c r="G269" s="2" t="s">
        <v>87</v>
      </c>
      <c r="H269" s="2" t="n">
        <v>3</v>
      </c>
      <c r="I269" s="2" t="s">
        <v>41</v>
      </c>
      <c r="J269" s="2" t="s">
        <v>59</v>
      </c>
      <c r="K269" s="2" t="s">
        <v>211</v>
      </c>
      <c r="L269" s="2" t="s">
        <v>67</v>
      </c>
      <c r="M269" s="2" t="s">
        <v>448</v>
      </c>
      <c r="N269" s="2" t="n">
        <v>2</v>
      </c>
      <c r="O269" s="2" t="s">
        <v>462</v>
      </c>
    </row>
    <row r="270" customFormat="false" ht="23.85" hidden="false" customHeight="false" outlineLevel="0" collapsed="false">
      <c r="A270" s="2" t="s">
        <v>566</v>
      </c>
      <c r="B270" s="2" t="s">
        <v>34</v>
      </c>
      <c r="C270" s="2" t="s">
        <v>35</v>
      </c>
      <c r="D270" s="2" t="s">
        <v>56</v>
      </c>
      <c r="E270" s="2" t="s">
        <v>271</v>
      </c>
      <c r="F270" s="2" t="s">
        <v>58</v>
      </c>
      <c r="G270" s="2" t="s">
        <v>134</v>
      </c>
      <c r="H270" s="2" t="n">
        <v>3</v>
      </c>
      <c r="I270" s="2" t="s">
        <v>41</v>
      </c>
      <c r="J270" s="2" t="s">
        <v>59</v>
      </c>
      <c r="K270" s="2" t="s">
        <v>211</v>
      </c>
      <c r="L270" s="2" t="s">
        <v>67</v>
      </c>
      <c r="M270" s="2" t="s">
        <v>448</v>
      </c>
      <c r="N270" s="2" t="n">
        <v>2</v>
      </c>
      <c r="O270" s="2" t="s">
        <v>462</v>
      </c>
    </row>
    <row r="271" customFormat="false" ht="23.85" hidden="false" customHeight="false" outlineLevel="0" collapsed="false">
      <c r="A271" s="2" t="s">
        <v>566</v>
      </c>
      <c r="B271" s="2" t="s">
        <v>34</v>
      </c>
      <c r="C271" s="2" t="s">
        <v>35</v>
      </c>
      <c r="D271" s="2" t="s">
        <v>56</v>
      </c>
      <c r="E271" s="2" t="s">
        <v>271</v>
      </c>
      <c r="F271" s="2" t="s">
        <v>58</v>
      </c>
      <c r="G271" s="2" t="s">
        <v>136</v>
      </c>
      <c r="H271" s="2" t="n">
        <v>3</v>
      </c>
      <c r="I271" s="2" t="s">
        <v>41</v>
      </c>
      <c r="J271" s="2" t="s">
        <v>59</v>
      </c>
      <c r="K271" s="2" t="s">
        <v>211</v>
      </c>
      <c r="L271" s="2" t="s">
        <v>67</v>
      </c>
      <c r="M271" s="2" t="s">
        <v>448</v>
      </c>
      <c r="N271" s="2" t="n">
        <v>2</v>
      </c>
      <c r="O271" s="2" t="s">
        <v>462</v>
      </c>
    </row>
    <row r="272" customFormat="false" ht="23.85" hidden="false" customHeight="false" outlineLevel="0" collapsed="false">
      <c r="A272" s="2" t="s">
        <v>567</v>
      </c>
      <c r="B272" s="2" t="s">
        <v>34</v>
      </c>
      <c r="C272" s="2" t="s">
        <v>35</v>
      </c>
      <c r="D272" s="2" t="s">
        <v>56</v>
      </c>
      <c r="E272" s="2" t="s">
        <v>251</v>
      </c>
      <c r="F272" s="2" t="s">
        <v>75</v>
      </c>
      <c r="G272" s="2" t="s">
        <v>134</v>
      </c>
      <c r="H272" s="2" t="n">
        <v>1</v>
      </c>
      <c r="I272" s="2" t="s">
        <v>61</v>
      </c>
      <c r="J272" s="2" t="s">
        <v>59</v>
      </c>
      <c r="K272" s="2" t="s">
        <v>211</v>
      </c>
      <c r="L272" s="2" t="s">
        <v>67</v>
      </c>
      <c r="M272" s="2" t="s">
        <v>448</v>
      </c>
      <c r="N272" s="2" t="n">
        <v>4</v>
      </c>
      <c r="O272" s="2" t="s">
        <v>462</v>
      </c>
    </row>
    <row r="273" customFormat="false" ht="23.85" hidden="false" customHeight="false" outlineLevel="0" collapsed="false">
      <c r="A273" s="2" t="s">
        <v>568</v>
      </c>
      <c r="B273" s="2" t="s">
        <v>34</v>
      </c>
      <c r="C273" s="2" t="s">
        <v>35</v>
      </c>
      <c r="D273" s="2" t="s">
        <v>56</v>
      </c>
      <c r="E273" s="2" t="s">
        <v>413</v>
      </c>
      <c r="F273" s="2" t="s">
        <v>52</v>
      </c>
      <c r="G273" s="2" t="s">
        <v>82</v>
      </c>
      <c r="H273" s="2" t="n">
        <v>3</v>
      </c>
      <c r="I273" s="2" t="s">
        <v>41</v>
      </c>
      <c r="J273" s="2" t="s">
        <v>39</v>
      </c>
      <c r="K273" s="2" t="s">
        <v>215</v>
      </c>
      <c r="L273" s="2" t="s">
        <v>64</v>
      </c>
      <c r="M273" s="2" t="s">
        <v>461</v>
      </c>
      <c r="N273" s="2" t="n">
        <v>1</v>
      </c>
      <c r="O273" s="2" t="s">
        <v>462</v>
      </c>
    </row>
    <row r="274" customFormat="false" ht="23.85" hidden="false" customHeight="false" outlineLevel="0" collapsed="false">
      <c r="A274" s="2" t="s">
        <v>568</v>
      </c>
      <c r="B274" s="2" t="s">
        <v>34</v>
      </c>
      <c r="C274" s="2" t="s">
        <v>35</v>
      </c>
      <c r="D274" s="2" t="s">
        <v>56</v>
      </c>
      <c r="E274" s="2" t="s">
        <v>413</v>
      </c>
      <c r="F274" s="2" t="s">
        <v>52</v>
      </c>
      <c r="G274" s="2" t="s">
        <v>131</v>
      </c>
      <c r="H274" s="2" t="n">
        <v>3</v>
      </c>
      <c r="I274" s="2" t="s">
        <v>41</v>
      </c>
      <c r="J274" s="2" t="s">
        <v>39</v>
      </c>
      <c r="K274" s="2" t="s">
        <v>215</v>
      </c>
      <c r="L274" s="2" t="s">
        <v>64</v>
      </c>
      <c r="M274" s="2" t="s">
        <v>461</v>
      </c>
      <c r="N274" s="2" t="n">
        <v>1</v>
      </c>
      <c r="O274" s="2" t="s">
        <v>462</v>
      </c>
    </row>
    <row r="275" customFormat="false" ht="23.85" hidden="false" customHeight="false" outlineLevel="0" collapsed="false">
      <c r="A275" s="2" t="s">
        <v>568</v>
      </c>
      <c r="B275" s="2" t="s">
        <v>34</v>
      </c>
      <c r="C275" s="2" t="s">
        <v>35</v>
      </c>
      <c r="D275" s="2" t="s">
        <v>56</v>
      </c>
      <c r="E275" s="2" t="s">
        <v>413</v>
      </c>
      <c r="F275" s="2" t="s">
        <v>52</v>
      </c>
      <c r="G275" s="2" t="s">
        <v>142</v>
      </c>
      <c r="H275" s="2" t="n">
        <v>3</v>
      </c>
      <c r="I275" s="2" t="s">
        <v>41</v>
      </c>
      <c r="J275" s="2" t="s">
        <v>39</v>
      </c>
      <c r="K275" s="2" t="s">
        <v>215</v>
      </c>
      <c r="L275" s="2" t="s">
        <v>64</v>
      </c>
      <c r="M275" s="2" t="s">
        <v>461</v>
      </c>
      <c r="N275" s="2" t="n">
        <v>1</v>
      </c>
      <c r="O275" s="2" t="s">
        <v>462</v>
      </c>
    </row>
    <row r="276" customFormat="false" ht="23.85" hidden="false" customHeight="false" outlineLevel="0" collapsed="false">
      <c r="A276" s="2" t="s">
        <v>569</v>
      </c>
      <c r="B276" s="2" t="s">
        <v>34</v>
      </c>
      <c r="C276" s="2" t="s">
        <v>35</v>
      </c>
      <c r="D276" s="2" t="s">
        <v>56</v>
      </c>
      <c r="E276" s="2" t="s">
        <v>570</v>
      </c>
      <c r="F276" s="2" t="s">
        <v>75</v>
      </c>
      <c r="G276" s="2" t="s">
        <v>88</v>
      </c>
      <c r="H276" s="2" t="n">
        <v>2</v>
      </c>
      <c r="I276" s="2" t="s">
        <v>41</v>
      </c>
      <c r="J276" s="2" t="s">
        <v>39</v>
      </c>
      <c r="K276" s="2" t="s">
        <v>215</v>
      </c>
      <c r="L276" s="2" t="s">
        <v>64</v>
      </c>
      <c r="M276" s="2" t="s">
        <v>448</v>
      </c>
      <c r="N276" s="2" t="n">
        <v>2</v>
      </c>
      <c r="O276" s="2" t="s">
        <v>462</v>
      </c>
    </row>
    <row r="277" customFormat="false" ht="23.85" hidden="false" customHeight="false" outlineLevel="0" collapsed="false">
      <c r="A277" s="2" t="s">
        <v>569</v>
      </c>
      <c r="B277" s="2" t="s">
        <v>34</v>
      </c>
      <c r="C277" s="2" t="s">
        <v>35</v>
      </c>
      <c r="D277" s="2" t="s">
        <v>56</v>
      </c>
      <c r="E277" s="2" t="s">
        <v>570</v>
      </c>
      <c r="F277" s="2" t="s">
        <v>75</v>
      </c>
      <c r="G277" s="2" t="s">
        <v>131</v>
      </c>
      <c r="H277" s="2" t="n">
        <v>2</v>
      </c>
      <c r="I277" s="2" t="s">
        <v>41</v>
      </c>
      <c r="J277" s="2" t="s">
        <v>39</v>
      </c>
      <c r="K277" s="2" t="s">
        <v>215</v>
      </c>
      <c r="L277" s="2" t="s">
        <v>64</v>
      </c>
      <c r="M277" s="2" t="s">
        <v>448</v>
      </c>
      <c r="N277" s="2" t="n">
        <v>2</v>
      </c>
      <c r="O277" s="2" t="s">
        <v>462</v>
      </c>
    </row>
    <row r="278" customFormat="false" ht="23.85" hidden="false" customHeight="false" outlineLevel="0" collapsed="false">
      <c r="A278" s="2" t="s">
        <v>571</v>
      </c>
      <c r="B278" s="2" t="s">
        <v>34</v>
      </c>
      <c r="C278" s="2" t="s">
        <v>35</v>
      </c>
      <c r="D278" s="2" t="s">
        <v>56</v>
      </c>
      <c r="E278" s="2" t="s">
        <v>267</v>
      </c>
      <c r="F278" s="2" t="s">
        <v>75</v>
      </c>
      <c r="G278" s="2" t="s">
        <v>88</v>
      </c>
      <c r="H278" s="2" t="n">
        <v>1</v>
      </c>
      <c r="I278" s="2" t="s">
        <v>61</v>
      </c>
      <c r="J278" s="2" t="s">
        <v>39</v>
      </c>
      <c r="K278" s="2" t="s">
        <v>215</v>
      </c>
      <c r="L278" s="2" t="s">
        <v>64</v>
      </c>
      <c r="M278" s="2" t="s">
        <v>448</v>
      </c>
      <c r="N278" s="2" t="n">
        <v>2</v>
      </c>
      <c r="O278" s="2" t="s">
        <v>462</v>
      </c>
    </row>
    <row r="279" customFormat="false" ht="23.85" hidden="false" customHeight="false" outlineLevel="0" collapsed="false">
      <c r="A279" s="2" t="s">
        <v>572</v>
      </c>
      <c r="B279" s="2" t="s">
        <v>34</v>
      </c>
      <c r="C279" s="2" t="s">
        <v>35</v>
      </c>
      <c r="D279" s="2" t="s">
        <v>56</v>
      </c>
      <c r="E279" s="2" t="s">
        <v>410</v>
      </c>
      <c r="F279" s="2" t="s">
        <v>75</v>
      </c>
      <c r="G279" s="2" t="s">
        <v>143</v>
      </c>
      <c r="H279" s="2" t="n">
        <v>1</v>
      </c>
      <c r="I279" s="2" t="s">
        <v>61</v>
      </c>
      <c r="J279" s="2" t="s">
        <v>53</v>
      </c>
      <c r="K279" s="2" t="s">
        <v>233</v>
      </c>
      <c r="L279" s="2" t="s">
        <v>64</v>
      </c>
      <c r="M279" s="2" t="s">
        <v>461</v>
      </c>
      <c r="N279" s="2" t="n">
        <v>1</v>
      </c>
      <c r="O279" s="2" t="s">
        <v>462</v>
      </c>
    </row>
    <row r="280" customFormat="false" ht="23.85" hidden="false" customHeight="false" outlineLevel="0" collapsed="false">
      <c r="A280" s="2" t="s">
        <v>573</v>
      </c>
      <c r="B280" s="2" t="s">
        <v>34</v>
      </c>
      <c r="C280" s="2" t="s">
        <v>35</v>
      </c>
      <c r="D280" s="2" t="s">
        <v>56</v>
      </c>
      <c r="E280" s="2" t="s">
        <v>574</v>
      </c>
      <c r="F280" s="2" t="s">
        <v>75</v>
      </c>
      <c r="G280" s="2" t="s">
        <v>142</v>
      </c>
      <c r="H280" s="2" t="n">
        <v>1</v>
      </c>
      <c r="I280" s="2" t="s">
        <v>61</v>
      </c>
      <c r="J280" s="2" t="s">
        <v>39</v>
      </c>
      <c r="K280" s="2" t="s">
        <v>215</v>
      </c>
      <c r="L280" s="2" t="s">
        <v>64</v>
      </c>
      <c r="M280" s="2" t="s">
        <v>461</v>
      </c>
      <c r="N280" s="2" t="n">
        <v>1</v>
      </c>
      <c r="O280" s="2" t="s">
        <v>462</v>
      </c>
    </row>
    <row r="281" customFormat="false" ht="23.85" hidden="false" customHeight="false" outlineLevel="0" collapsed="false">
      <c r="A281" s="2" t="s">
        <v>575</v>
      </c>
      <c r="B281" s="2" t="s">
        <v>34</v>
      </c>
      <c r="C281" s="2" t="s">
        <v>35</v>
      </c>
      <c r="D281" s="2" t="s">
        <v>56</v>
      </c>
      <c r="E281" s="2" t="s">
        <v>249</v>
      </c>
      <c r="F281" s="2" t="s">
        <v>75</v>
      </c>
      <c r="G281" s="2" t="s">
        <v>142</v>
      </c>
      <c r="H281" s="2" t="n">
        <v>1</v>
      </c>
      <c r="I281" s="2" t="s">
        <v>61</v>
      </c>
      <c r="J281" s="2" t="s">
        <v>39</v>
      </c>
      <c r="K281" s="2" t="s">
        <v>215</v>
      </c>
      <c r="L281" s="2" t="s">
        <v>64</v>
      </c>
      <c r="M281" s="2" t="s">
        <v>461</v>
      </c>
      <c r="N281" s="2" t="n">
        <v>1</v>
      </c>
      <c r="O281" s="2" t="s">
        <v>462</v>
      </c>
    </row>
    <row r="282" customFormat="false" ht="23.85" hidden="false" customHeight="false" outlineLevel="0" collapsed="false">
      <c r="A282" s="2" t="s">
        <v>576</v>
      </c>
      <c r="B282" s="2" t="s">
        <v>34</v>
      </c>
      <c r="C282" s="2" t="s">
        <v>35</v>
      </c>
      <c r="D282" s="2" t="s">
        <v>56</v>
      </c>
      <c r="E282" s="2" t="s">
        <v>577</v>
      </c>
      <c r="F282" s="2" t="s">
        <v>75</v>
      </c>
      <c r="G282" s="2" t="s">
        <v>99</v>
      </c>
      <c r="H282" s="2" t="n">
        <v>2</v>
      </c>
      <c r="I282" s="2" t="s">
        <v>41</v>
      </c>
      <c r="J282" s="2" t="s">
        <v>59</v>
      </c>
      <c r="K282" s="2" t="s">
        <v>211</v>
      </c>
      <c r="L282" s="2" t="s">
        <v>67</v>
      </c>
      <c r="M282" s="2" t="s">
        <v>461</v>
      </c>
      <c r="N282" s="2" t="n">
        <v>4</v>
      </c>
      <c r="O282" s="2" t="s">
        <v>462</v>
      </c>
    </row>
    <row r="283" customFormat="false" ht="23.85" hidden="false" customHeight="false" outlineLevel="0" collapsed="false">
      <c r="A283" s="2" t="s">
        <v>576</v>
      </c>
      <c r="B283" s="2" t="s">
        <v>34</v>
      </c>
      <c r="C283" s="2" t="s">
        <v>35</v>
      </c>
      <c r="D283" s="2" t="s">
        <v>56</v>
      </c>
      <c r="E283" s="2" t="s">
        <v>577</v>
      </c>
      <c r="F283" s="2" t="s">
        <v>75</v>
      </c>
      <c r="G283" s="2" t="s">
        <v>138</v>
      </c>
      <c r="H283" s="2" t="n">
        <v>2</v>
      </c>
      <c r="I283" s="2" t="s">
        <v>41</v>
      </c>
      <c r="J283" s="2" t="s">
        <v>59</v>
      </c>
      <c r="K283" s="2" t="s">
        <v>211</v>
      </c>
      <c r="L283" s="2" t="s">
        <v>67</v>
      </c>
      <c r="M283" s="2" t="s">
        <v>461</v>
      </c>
      <c r="N283" s="2" t="n">
        <v>4</v>
      </c>
      <c r="O283" s="2" t="s">
        <v>462</v>
      </c>
    </row>
    <row r="284" customFormat="false" ht="23.85" hidden="false" customHeight="false" outlineLevel="0" collapsed="false">
      <c r="A284" s="2" t="s">
        <v>578</v>
      </c>
      <c r="B284" s="2" t="s">
        <v>34</v>
      </c>
      <c r="C284" s="2" t="s">
        <v>35</v>
      </c>
      <c r="D284" s="2" t="s">
        <v>56</v>
      </c>
      <c r="E284" s="2" t="s">
        <v>289</v>
      </c>
      <c r="F284" s="2" t="s">
        <v>52</v>
      </c>
      <c r="G284" s="2" t="s">
        <v>104</v>
      </c>
      <c r="H284" s="2" t="n">
        <v>2</v>
      </c>
      <c r="I284" s="2" t="s">
        <v>41</v>
      </c>
      <c r="J284" s="2" t="s">
        <v>59</v>
      </c>
      <c r="K284" s="2" t="s">
        <v>211</v>
      </c>
      <c r="L284" s="2" t="s">
        <v>64</v>
      </c>
      <c r="M284" s="2" t="s">
        <v>461</v>
      </c>
      <c r="N284" s="2" t="n">
        <v>1</v>
      </c>
      <c r="O284" s="2" t="s">
        <v>462</v>
      </c>
    </row>
    <row r="285" customFormat="false" ht="23.85" hidden="false" customHeight="false" outlineLevel="0" collapsed="false">
      <c r="A285" s="2" t="s">
        <v>578</v>
      </c>
      <c r="B285" s="2" t="s">
        <v>34</v>
      </c>
      <c r="C285" s="2" t="s">
        <v>35</v>
      </c>
      <c r="D285" s="2" t="s">
        <v>56</v>
      </c>
      <c r="E285" s="2" t="s">
        <v>289</v>
      </c>
      <c r="F285" s="2" t="s">
        <v>52</v>
      </c>
      <c r="G285" s="2" t="s">
        <v>142</v>
      </c>
      <c r="H285" s="2" t="n">
        <v>2</v>
      </c>
      <c r="I285" s="2" t="s">
        <v>41</v>
      </c>
      <c r="J285" s="2" t="s">
        <v>59</v>
      </c>
      <c r="K285" s="2" t="s">
        <v>211</v>
      </c>
      <c r="L285" s="2" t="s">
        <v>64</v>
      </c>
      <c r="M285" s="2" t="s">
        <v>461</v>
      </c>
      <c r="N285" s="2" t="n">
        <v>1</v>
      </c>
      <c r="O285" s="2" t="s">
        <v>462</v>
      </c>
    </row>
    <row r="286" customFormat="false" ht="23.85" hidden="false" customHeight="false" outlineLevel="0" collapsed="false">
      <c r="A286" s="2" t="s">
        <v>579</v>
      </c>
      <c r="B286" s="2" t="s">
        <v>34</v>
      </c>
      <c r="C286" s="2" t="s">
        <v>35</v>
      </c>
      <c r="D286" s="2" t="s">
        <v>56</v>
      </c>
      <c r="E286" s="2" t="s">
        <v>219</v>
      </c>
      <c r="F286" s="2" t="s">
        <v>52</v>
      </c>
      <c r="G286" s="2" t="s">
        <v>104</v>
      </c>
      <c r="H286" s="2" t="n">
        <v>1</v>
      </c>
      <c r="I286" s="2" t="s">
        <v>61</v>
      </c>
      <c r="J286" s="2" t="s">
        <v>59</v>
      </c>
      <c r="K286" s="2" t="s">
        <v>211</v>
      </c>
      <c r="L286" s="2" t="s">
        <v>64</v>
      </c>
      <c r="M286" s="2" t="s">
        <v>461</v>
      </c>
      <c r="N286" s="2" t="n">
        <v>1</v>
      </c>
      <c r="O286" s="2" t="s">
        <v>462</v>
      </c>
    </row>
    <row r="287" customFormat="false" ht="23.85" hidden="false" customHeight="false" outlineLevel="0" collapsed="false">
      <c r="A287" s="2" t="s">
        <v>580</v>
      </c>
      <c r="B287" s="2" t="s">
        <v>34</v>
      </c>
      <c r="C287" s="2" t="s">
        <v>35</v>
      </c>
      <c r="D287" s="2" t="s">
        <v>56</v>
      </c>
      <c r="E287" s="2" t="s">
        <v>581</v>
      </c>
      <c r="F287" s="2" t="s">
        <v>69</v>
      </c>
      <c r="G287" s="2" t="s">
        <v>116</v>
      </c>
      <c r="H287" s="2" t="n">
        <v>1</v>
      </c>
      <c r="I287" s="2" t="s">
        <v>61</v>
      </c>
      <c r="J287" s="2" t="s">
        <v>46</v>
      </c>
      <c r="K287" s="2" t="s">
        <v>230</v>
      </c>
      <c r="L287" s="2" t="s">
        <v>64</v>
      </c>
      <c r="M287" s="2" t="s">
        <v>448</v>
      </c>
      <c r="N287" s="2" t="n">
        <v>3</v>
      </c>
      <c r="O287" s="2" t="s">
        <v>462</v>
      </c>
    </row>
    <row r="288" customFormat="false" ht="23.85" hidden="false" customHeight="false" outlineLevel="0" collapsed="false">
      <c r="A288" s="2" t="s">
        <v>582</v>
      </c>
      <c r="B288" s="2" t="s">
        <v>34</v>
      </c>
      <c r="C288" s="2" t="s">
        <v>35</v>
      </c>
      <c r="D288" s="2" t="s">
        <v>56</v>
      </c>
      <c r="E288" s="2" t="s">
        <v>285</v>
      </c>
      <c r="F288" s="2" t="s">
        <v>69</v>
      </c>
      <c r="G288" s="2" t="s">
        <v>124</v>
      </c>
      <c r="H288" s="2" t="n">
        <v>1</v>
      </c>
      <c r="I288" s="2" t="s">
        <v>61</v>
      </c>
      <c r="J288" s="2" t="s">
        <v>59</v>
      </c>
      <c r="K288" s="2" t="s">
        <v>211</v>
      </c>
      <c r="L288" s="2" t="s">
        <v>67</v>
      </c>
      <c r="M288" s="2" t="s">
        <v>461</v>
      </c>
      <c r="N288" s="2" t="n">
        <v>3</v>
      </c>
      <c r="O288" s="2" t="s">
        <v>462</v>
      </c>
    </row>
    <row r="289" customFormat="false" ht="23.85" hidden="false" customHeight="false" outlineLevel="0" collapsed="false">
      <c r="A289" s="2" t="s">
        <v>583</v>
      </c>
      <c r="B289" s="2" t="s">
        <v>34</v>
      </c>
      <c r="C289" s="2" t="s">
        <v>35</v>
      </c>
      <c r="D289" s="2" t="s">
        <v>56</v>
      </c>
      <c r="E289" s="2" t="s">
        <v>372</v>
      </c>
      <c r="F289" s="2" t="s">
        <v>71</v>
      </c>
      <c r="G289" s="2" t="s">
        <v>127</v>
      </c>
      <c r="H289" s="2" t="n">
        <v>1</v>
      </c>
      <c r="I289" s="2" t="s">
        <v>61</v>
      </c>
      <c r="J289" s="2" t="s">
        <v>59</v>
      </c>
      <c r="K289" s="2" t="s">
        <v>211</v>
      </c>
      <c r="L289" s="2" t="s">
        <v>67</v>
      </c>
      <c r="M289" s="2" t="s">
        <v>448</v>
      </c>
      <c r="N289" s="2" t="n">
        <v>4</v>
      </c>
      <c r="O289" s="2" t="s">
        <v>462</v>
      </c>
    </row>
    <row r="290" customFormat="false" ht="23.85" hidden="false" customHeight="false" outlineLevel="0" collapsed="false">
      <c r="A290" s="2" t="s">
        <v>584</v>
      </c>
      <c r="B290" s="2" t="s">
        <v>34</v>
      </c>
      <c r="C290" s="2" t="s">
        <v>35</v>
      </c>
      <c r="D290" s="2" t="s">
        <v>56</v>
      </c>
      <c r="E290" s="2" t="s">
        <v>494</v>
      </c>
      <c r="F290" s="2" t="s">
        <v>71</v>
      </c>
      <c r="G290" s="2" t="s">
        <v>126</v>
      </c>
      <c r="H290" s="2" t="n">
        <v>1</v>
      </c>
      <c r="I290" s="2" t="s">
        <v>61</v>
      </c>
      <c r="J290" s="2" t="s">
        <v>59</v>
      </c>
      <c r="K290" s="2" t="s">
        <v>211</v>
      </c>
      <c r="L290" s="2" t="s">
        <v>67</v>
      </c>
      <c r="M290" s="2" t="s">
        <v>495</v>
      </c>
      <c r="N290" s="2" t="n">
        <v>3</v>
      </c>
      <c r="O290" s="2" t="s">
        <v>462</v>
      </c>
    </row>
    <row r="291" customFormat="false" ht="23.85" hidden="false" customHeight="false" outlineLevel="0" collapsed="false">
      <c r="A291" s="2" t="s">
        <v>585</v>
      </c>
      <c r="B291" s="2" t="s">
        <v>34</v>
      </c>
      <c r="C291" s="2" t="s">
        <v>35</v>
      </c>
      <c r="D291" s="2" t="s">
        <v>56</v>
      </c>
      <c r="E291" s="2" t="s">
        <v>309</v>
      </c>
      <c r="F291" s="2" t="s">
        <v>71</v>
      </c>
      <c r="G291" s="2" t="s">
        <v>122</v>
      </c>
      <c r="H291" s="2" t="n">
        <v>1</v>
      </c>
      <c r="I291" s="2" t="s">
        <v>61</v>
      </c>
      <c r="J291" s="2" t="s">
        <v>59</v>
      </c>
      <c r="K291" s="2" t="s">
        <v>211</v>
      </c>
      <c r="L291" s="2" t="s">
        <v>67</v>
      </c>
      <c r="M291" s="2" t="s">
        <v>461</v>
      </c>
      <c r="N291" s="2" t="n">
        <v>2</v>
      </c>
      <c r="O291" s="2" t="s">
        <v>462</v>
      </c>
    </row>
    <row r="292" customFormat="false" ht="23.85" hidden="false" customHeight="false" outlineLevel="0" collapsed="false">
      <c r="A292" s="2" t="s">
        <v>586</v>
      </c>
      <c r="B292" s="2" t="s">
        <v>34</v>
      </c>
      <c r="C292" s="2" t="s">
        <v>35</v>
      </c>
      <c r="D292" s="2" t="s">
        <v>56</v>
      </c>
      <c r="E292" s="2" t="s">
        <v>257</v>
      </c>
      <c r="F292" s="2" t="s">
        <v>45</v>
      </c>
      <c r="G292" s="2" t="s">
        <v>77</v>
      </c>
      <c r="H292" s="2" t="n">
        <v>1</v>
      </c>
      <c r="I292" s="2" t="s">
        <v>61</v>
      </c>
      <c r="J292" s="2" t="s">
        <v>59</v>
      </c>
      <c r="K292" s="2" t="s">
        <v>211</v>
      </c>
      <c r="L292" s="2" t="s">
        <v>67</v>
      </c>
      <c r="M292" s="2" t="s">
        <v>461</v>
      </c>
      <c r="N292" s="2" t="n">
        <v>3</v>
      </c>
      <c r="O292" s="2" t="s">
        <v>462</v>
      </c>
    </row>
    <row r="293" customFormat="false" ht="23.85" hidden="false" customHeight="false" outlineLevel="0" collapsed="false">
      <c r="A293" s="2" t="s">
        <v>587</v>
      </c>
      <c r="B293" s="2" t="s">
        <v>34</v>
      </c>
      <c r="C293" s="2" t="s">
        <v>35</v>
      </c>
      <c r="D293" s="2" t="s">
        <v>56</v>
      </c>
      <c r="E293" s="2" t="s">
        <v>549</v>
      </c>
      <c r="F293" s="2" t="s">
        <v>45</v>
      </c>
      <c r="G293" s="2" t="s">
        <v>72</v>
      </c>
      <c r="H293" s="2" t="n">
        <v>1</v>
      </c>
      <c r="I293" s="2" t="s">
        <v>61</v>
      </c>
      <c r="J293" s="2" t="s">
        <v>59</v>
      </c>
      <c r="K293" s="2" t="s">
        <v>211</v>
      </c>
      <c r="L293" s="2" t="s">
        <v>67</v>
      </c>
      <c r="M293" s="2" t="s">
        <v>461</v>
      </c>
      <c r="N293" s="2" t="n">
        <v>2</v>
      </c>
      <c r="O293" s="2" t="s">
        <v>462</v>
      </c>
    </row>
    <row r="294" customFormat="false" ht="23.85" hidden="false" customHeight="false" outlineLevel="0" collapsed="false">
      <c r="A294" s="2" t="s">
        <v>588</v>
      </c>
      <c r="B294" s="2" t="s">
        <v>34</v>
      </c>
      <c r="C294" s="2" t="s">
        <v>35</v>
      </c>
      <c r="D294" s="2" t="s">
        <v>56</v>
      </c>
      <c r="E294" s="2" t="s">
        <v>235</v>
      </c>
      <c r="F294" s="2" t="s">
        <v>45</v>
      </c>
      <c r="G294" s="2" t="s">
        <v>78</v>
      </c>
      <c r="H294" s="2" t="n">
        <v>1</v>
      </c>
      <c r="I294" s="2" t="s">
        <v>61</v>
      </c>
      <c r="J294" s="2" t="s">
        <v>46</v>
      </c>
      <c r="K294" s="2" t="s">
        <v>230</v>
      </c>
      <c r="L294" s="2" t="s">
        <v>64</v>
      </c>
      <c r="M294" s="2" t="s">
        <v>461</v>
      </c>
      <c r="N294" s="2" t="n">
        <v>5</v>
      </c>
      <c r="O294" s="2" t="s">
        <v>462</v>
      </c>
    </row>
    <row r="295" customFormat="false" ht="23.85" hidden="false" customHeight="false" outlineLevel="0" collapsed="false">
      <c r="A295" s="2" t="s">
        <v>589</v>
      </c>
      <c r="B295" s="2" t="s">
        <v>34</v>
      </c>
      <c r="C295" s="2" t="s">
        <v>35</v>
      </c>
      <c r="D295" s="2" t="s">
        <v>56</v>
      </c>
      <c r="E295" s="2" t="s">
        <v>232</v>
      </c>
      <c r="F295" s="2" t="s">
        <v>45</v>
      </c>
      <c r="G295" s="2" t="s">
        <v>70</v>
      </c>
      <c r="H295" s="2" t="n">
        <v>1</v>
      </c>
      <c r="I295" s="2" t="s">
        <v>61</v>
      </c>
      <c r="J295" s="2" t="s">
        <v>39</v>
      </c>
      <c r="K295" s="2" t="s">
        <v>215</v>
      </c>
      <c r="L295" s="2" t="s">
        <v>64</v>
      </c>
      <c r="M295" s="2" t="s">
        <v>461</v>
      </c>
      <c r="N295" s="2" t="n">
        <v>4</v>
      </c>
      <c r="O295" s="2" t="s">
        <v>462</v>
      </c>
    </row>
    <row r="296" customFormat="false" ht="23.85" hidden="false" customHeight="false" outlineLevel="0" collapsed="false">
      <c r="A296" s="2" t="s">
        <v>590</v>
      </c>
      <c r="B296" s="2" t="s">
        <v>34</v>
      </c>
      <c r="C296" s="2" t="s">
        <v>35</v>
      </c>
      <c r="D296" s="2" t="s">
        <v>56</v>
      </c>
      <c r="E296" s="2" t="s">
        <v>522</v>
      </c>
      <c r="F296" s="2" t="s">
        <v>69</v>
      </c>
      <c r="G296" s="2" t="s">
        <v>57</v>
      </c>
      <c r="H296" s="2" t="n">
        <v>1</v>
      </c>
      <c r="I296" s="2" t="s">
        <v>61</v>
      </c>
      <c r="J296" s="2" t="s">
        <v>59</v>
      </c>
      <c r="K296" s="2" t="s">
        <v>211</v>
      </c>
      <c r="L296" s="2" t="s">
        <v>67</v>
      </c>
      <c r="M296" s="2" t="s">
        <v>461</v>
      </c>
      <c r="N296" s="2" t="n">
        <v>2</v>
      </c>
      <c r="O296" s="2" t="s">
        <v>462</v>
      </c>
    </row>
    <row r="297" customFormat="false" ht="23.85" hidden="false" customHeight="false" outlineLevel="0" collapsed="false">
      <c r="A297" s="2" t="s">
        <v>591</v>
      </c>
      <c r="B297" s="2" t="s">
        <v>34</v>
      </c>
      <c r="C297" s="2" t="s">
        <v>35</v>
      </c>
      <c r="D297" s="2" t="s">
        <v>56</v>
      </c>
      <c r="E297" s="2" t="s">
        <v>524</v>
      </c>
      <c r="F297" s="2" t="s">
        <v>45</v>
      </c>
      <c r="G297" s="2" t="s">
        <v>62</v>
      </c>
      <c r="H297" s="2" t="n">
        <v>1</v>
      </c>
      <c r="I297" s="2" t="s">
        <v>61</v>
      </c>
      <c r="J297" s="2" t="s">
        <v>59</v>
      </c>
      <c r="K297" s="2" t="s">
        <v>211</v>
      </c>
      <c r="L297" s="2" t="s">
        <v>67</v>
      </c>
      <c r="M297" s="2" t="s">
        <v>461</v>
      </c>
      <c r="N297" s="2" t="n">
        <v>2</v>
      </c>
      <c r="O297" s="2" t="s">
        <v>462</v>
      </c>
    </row>
    <row r="298" customFormat="false" ht="23.85" hidden="false" customHeight="false" outlineLevel="0" collapsed="false">
      <c r="A298" s="2" t="s">
        <v>592</v>
      </c>
      <c r="B298" s="2" t="s">
        <v>34</v>
      </c>
      <c r="C298" s="2" t="s">
        <v>35</v>
      </c>
      <c r="D298" s="2" t="s">
        <v>56</v>
      </c>
      <c r="E298" s="2" t="s">
        <v>229</v>
      </c>
      <c r="F298" s="2" t="s">
        <v>45</v>
      </c>
      <c r="G298" s="2" t="s">
        <v>74</v>
      </c>
      <c r="H298" s="2" t="n">
        <v>1</v>
      </c>
      <c r="I298" s="2" t="s">
        <v>61</v>
      </c>
      <c r="J298" s="2" t="s">
        <v>39</v>
      </c>
      <c r="K298" s="2" t="s">
        <v>215</v>
      </c>
      <c r="L298" s="2" t="s">
        <v>64</v>
      </c>
      <c r="M298" s="2" t="s">
        <v>461</v>
      </c>
      <c r="N298" s="2" t="n">
        <v>5</v>
      </c>
      <c r="O298" s="2" t="s">
        <v>462</v>
      </c>
    </row>
    <row r="299" customFormat="false" ht="23.85" hidden="false" customHeight="false" outlineLevel="0" collapsed="false">
      <c r="A299" s="2" t="s">
        <v>593</v>
      </c>
      <c r="B299" s="2" t="s">
        <v>34</v>
      </c>
      <c r="C299" s="2" t="s">
        <v>35</v>
      </c>
      <c r="D299" s="2" t="s">
        <v>56</v>
      </c>
      <c r="E299" s="2" t="s">
        <v>481</v>
      </c>
      <c r="F299" s="2" t="s">
        <v>45</v>
      </c>
      <c r="G299" s="2" t="s">
        <v>76</v>
      </c>
      <c r="H299" s="2" t="n">
        <v>1</v>
      </c>
      <c r="I299" s="2" t="s">
        <v>61</v>
      </c>
      <c r="J299" s="2" t="s">
        <v>39</v>
      </c>
      <c r="K299" s="2" t="s">
        <v>215</v>
      </c>
      <c r="L299" s="2" t="s">
        <v>64</v>
      </c>
      <c r="M299" s="2" t="s">
        <v>461</v>
      </c>
      <c r="N299" s="2" t="n">
        <v>4</v>
      </c>
      <c r="O299" s="2" t="s">
        <v>462</v>
      </c>
    </row>
    <row r="300" customFormat="false" ht="23.85" hidden="false" customHeight="false" outlineLevel="0" collapsed="false">
      <c r="A300" s="2" t="s">
        <v>594</v>
      </c>
      <c r="B300" s="2" t="s">
        <v>34</v>
      </c>
      <c r="C300" s="2" t="s">
        <v>35</v>
      </c>
      <c r="D300" s="2" t="s">
        <v>56</v>
      </c>
      <c r="E300" s="2" t="s">
        <v>359</v>
      </c>
      <c r="F300" s="2" t="s">
        <v>75</v>
      </c>
      <c r="G300" s="2" t="s">
        <v>140</v>
      </c>
      <c r="H300" s="2" t="n">
        <v>1</v>
      </c>
      <c r="I300" s="2" t="s">
        <v>61</v>
      </c>
      <c r="J300" s="2" t="s">
        <v>53</v>
      </c>
      <c r="K300" s="2" t="s">
        <v>233</v>
      </c>
      <c r="L300" s="2" t="s">
        <v>67</v>
      </c>
      <c r="M300" s="2" t="s">
        <v>495</v>
      </c>
      <c r="N300" s="2" t="n">
        <v>2</v>
      </c>
      <c r="O300" s="2" t="s">
        <v>462</v>
      </c>
    </row>
    <row r="301" customFormat="false" ht="23.85" hidden="false" customHeight="false" outlineLevel="0" collapsed="false">
      <c r="A301" s="2" t="s">
        <v>595</v>
      </c>
      <c r="B301" s="2" t="s">
        <v>34</v>
      </c>
      <c r="C301" s="2" t="s">
        <v>35</v>
      </c>
      <c r="D301" s="2" t="s">
        <v>56</v>
      </c>
      <c r="E301" s="2" t="s">
        <v>221</v>
      </c>
      <c r="F301" s="2" t="s">
        <v>75</v>
      </c>
      <c r="G301" s="2" t="s">
        <v>141</v>
      </c>
      <c r="H301" s="2" t="n">
        <v>1</v>
      </c>
      <c r="I301" s="2" t="s">
        <v>61</v>
      </c>
      <c r="J301" s="2" t="s">
        <v>39</v>
      </c>
      <c r="K301" s="2" t="s">
        <v>215</v>
      </c>
      <c r="L301" s="2" t="s">
        <v>67</v>
      </c>
      <c r="M301" s="2" t="s">
        <v>461</v>
      </c>
      <c r="N301" s="2" t="n">
        <v>3</v>
      </c>
      <c r="O301" s="2" t="s">
        <v>462</v>
      </c>
    </row>
    <row r="302" customFormat="false" ht="23.85" hidden="false" customHeight="false" outlineLevel="0" collapsed="false">
      <c r="A302" s="2" t="s">
        <v>596</v>
      </c>
      <c r="B302" s="2" t="s">
        <v>34</v>
      </c>
      <c r="C302" s="2" t="s">
        <v>35</v>
      </c>
      <c r="D302" s="2" t="s">
        <v>56</v>
      </c>
      <c r="E302" s="2" t="s">
        <v>214</v>
      </c>
      <c r="F302" s="2" t="s">
        <v>75</v>
      </c>
      <c r="G302" s="2" t="s">
        <v>139</v>
      </c>
      <c r="H302" s="2" t="n">
        <v>1</v>
      </c>
      <c r="I302" s="2" t="s">
        <v>61</v>
      </c>
      <c r="J302" s="2" t="s">
        <v>39</v>
      </c>
      <c r="K302" s="2" t="s">
        <v>215</v>
      </c>
      <c r="L302" s="2" t="s">
        <v>67</v>
      </c>
      <c r="M302" s="2" t="s">
        <v>461</v>
      </c>
      <c r="N302" s="2" t="n">
        <v>4</v>
      </c>
      <c r="O302" s="2" t="s">
        <v>462</v>
      </c>
    </row>
    <row r="303" customFormat="false" ht="23.85" hidden="false" customHeight="false" outlineLevel="0" collapsed="false">
      <c r="A303" s="2" t="s">
        <v>597</v>
      </c>
      <c r="B303" s="2" t="s">
        <v>34</v>
      </c>
      <c r="C303" s="2" t="s">
        <v>35</v>
      </c>
      <c r="D303" s="2" t="s">
        <v>56</v>
      </c>
      <c r="E303" s="2" t="s">
        <v>598</v>
      </c>
      <c r="F303" s="2" t="s">
        <v>75</v>
      </c>
      <c r="G303" s="2" t="s">
        <v>141</v>
      </c>
      <c r="H303" s="2" t="n">
        <v>1</v>
      </c>
      <c r="I303" s="2" t="s">
        <v>61</v>
      </c>
      <c r="J303" s="2" t="s">
        <v>39</v>
      </c>
      <c r="K303" s="2" t="s">
        <v>215</v>
      </c>
      <c r="L303" s="2" t="s">
        <v>67</v>
      </c>
      <c r="M303" s="2" t="s">
        <v>461</v>
      </c>
      <c r="N303" s="2" t="n">
        <v>3</v>
      </c>
      <c r="O303" s="2" t="s">
        <v>462</v>
      </c>
    </row>
    <row r="304" customFormat="false" ht="23.85" hidden="false" customHeight="false" outlineLevel="0" collapsed="false">
      <c r="A304" s="2" t="s">
        <v>599</v>
      </c>
      <c r="B304" s="2" t="s">
        <v>34</v>
      </c>
      <c r="C304" s="2" t="s">
        <v>35</v>
      </c>
      <c r="D304" s="2" t="s">
        <v>56</v>
      </c>
      <c r="E304" s="2" t="s">
        <v>510</v>
      </c>
      <c r="F304" s="2" t="s">
        <v>75</v>
      </c>
      <c r="G304" s="2" t="s">
        <v>138</v>
      </c>
      <c r="H304" s="2" t="n">
        <v>1</v>
      </c>
      <c r="I304" s="2" t="s">
        <v>61</v>
      </c>
      <c r="J304" s="2" t="s">
        <v>59</v>
      </c>
      <c r="K304" s="2" t="s">
        <v>211</v>
      </c>
      <c r="L304" s="2" t="s">
        <v>67</v>
      </c>
      <c r="M304" s="2" t="s">
        <v>448</v>
      </c>
      <c r="N304" s="2" t="n">
        <v>3</v>
      </c>
      <c r="O304" s="2" t="s">
        <v>462</v>
      </c>
    </row>
    <row r="305" customFormat="false" ht="23.85" hidden="false" customHeight="false" outlineLevel="0" collapsed="false">
      <c r="A305" s="2" t="s">
        <v>600</v>
      </c>
      <c r="B305" s="2" t="s">
        <v>34</v>
      </c>
      <c r="C305" s="2" t="s">
        <v>35</v>
      </c>
      <c r="D305" s="2" t="s">
        <v>56</v>
      </c>
      <c r="E305" s="2" t="s">
        <v>460</v>
      </c>
      <c r="F305" s="2" t="s">
        <v>75</v>
      </c>
      <c r="G305" s="2" t="s">
        <v>147</v>
      </c>
      <c r="H305" s="2" t="n">
        <v>1</v>
      </c>
      <c r="I305" s="2" t="s">
        <v>61</v>
      </c>
      <c r="J305" s="2" t="s">
        <v>46</v>
      </c>
      <c r="K305" s="2" t="s">
        <v>230</v>
      </c>
      <c r="L305" s="2" t="s">
        <v>67</v>
      </c>
      <c r="M305" s="2" t="s">
        <v>461</v>
      </c>
      <c r="N305" s="2" t="n">
        <v>2</v>
      </c>
      <c r="O305" s="2" t="s">
        <v>462</v>
      </c>
    </row>
    <row r="306" customFormat="false" ht="23.85" hidden="false" customHeight="false" outlineLevel="0" collapsed="false">
      <c r="A306" s="2" t="s">
        <v>601</v>
      </c>
      <c r="B306" s="2" t="s">
        <v>34</v>
      </c>
      <c r="C306" s="2" t="s">
        <v>35</v>
      </c>
      <c r="D306" s="2" t="s">
        <v>56</v>
      </c>
      <c r="E306" s="2" t="s">
        <v>479</v>
      </c>
      <c r="F306" s="2" t="s">
        <v>75</v>
      </c>
      <c r="G306" s="2" t="s">
        <v>141</v>
      </c>
      <c r="H306" s="2" t="n">
        <v>1</v>
      </c>
      <c r="I306" s="2" t="s">
        <v>61</v>
      </c>
      <c r="J306" s="2" t="s">
        <v>39</v>
      </c>
      <c r="K306" s="2" t="s">
        <v>215</v>
      </c>
      <c r="L306" s="2" t="s">
        <v>67</v>
      </c>
      <c r="M306" s="2" t="s">
        <v>461</v>
      </c>
      <c r="N306" s="2" t="n">
        <v>3</v>
      </c>
      <c r="O306" s="2" t="s">
        <v>462</v>
      </c>
    </row>
    <row r="307" customFormat="false" ht="23.85" hidden="false" customHeight="false" outlineLevel="0" collapsed="false">
      <c r="A307" s="2" t="s">
        <v>602</v>
      </c>
      <c r="B307" s="2" t="s">
        <v>34</v>
      </c>
      <c r="C307" s="2" t="s">
        <v>35</v>
      </c>
      <c r="D307" s="2" t="s">
        <v>56</v>
      </c>
      <c r="E307" s="2" t="s">
        <v>227</v>
      </c>
      <c r="F307" s="2" t="s">
        <v>75</v>
      </c>
      <c r="G307" s="2" t="s">
        <v>98</v>
      </c>
      <c r="H307" s="2" t="n">
        <v>2</v>
      </c>
      <c r="I307" s="2" t="s">
        <v>41</v>
      </c>
      <c r="J307" s="2" t="s">
        <v>39</v>
      </c>
      <c r="K307" s="2" t="s">
        <v>215</v>
      </c>
      <c r="L307" s="2" t="s">
        <v>67</v>
      </c>
      <c r="M307" s="2" t="s">
        <v>461</v>
      </c>
      <c r="N307" s="2" t="n">
        <v>3</v>
      </c>
      <c r="O307" s="2" t="s">
        <v>462</v>
      </c>
    </row>
    <row r="308" customFormat="false" ht="23.85" hidden="false" customHeight="false" outlineLevel="0" collapsed="false">
      <c r="A308" s="2" t="s">
        <v>602</v>
      </c>
      <c r="B308" s="2" t="s">
        <v>34</v>
      </c>
      <c r="C308" s="2" t="s">
        <v>35</v>
      </c>
      <c r="D308" s="2" t="s">
        <v>56</v>
      </c>
      <c r="E308" s="2" t="s">
        <v>227</v>
      </c>
      <c r="F308" s="2" t="s">
        <v>75</v>
      </c>
      <c r="G308" s="2" t="s">
        <v>141</v>
      </c>
      <c r="H308" s="2" t="n">
        <v>2</v>
      </c>
      <c r="I308" s="2" t="s">
        <v>41</v>
      </c>
      <c r="J308" s="2" t="s">
        <v>39</v>
      </c>
      <c r="K308" s="2" t="s">
        <v>215</v>
      </c>
      <c r="L308" s="2" t="s">
        <v>67</v>
      </c>
      <c r="M308" s="2" t="s">
        <v>461</v>
      </c>
      <c r="N308" s="2" t="n">
        <v>3</v>
      </c>
      <c r="O308" s="2" t="s">
        <v>462</v>
      </c>
    </row>
    <row r="309" customFormat="false" ht="23.85" hidden="false" customHeight="false" outlineLevel="0" collapsed="false">
      <c r="A309" s="2" t="s">
        <v>603</v>
      </c>
      <c r="B309" s="2" t="s">
        <v>34</v>
      </c>
      <c r="C309" s="2" t="s">
        <v>35</v>
      </c>
      <c r="D309" s="2" t="s">
        <v>56</v>
      </c>
      <c r="E309" s="2" t="s">
        <v>465</v>
      </c>
      <c r="F309" s="2" t="s">
        <v>75</v>
      </c>
      <c r="G309" s="2" t="s">
        <v>145</v>
      </c>
      <c r="H309" s="2" t="n">
        <v>1</v>
      </c>
      <c r="I309" s="2" t="s">
        <v>61</v>
      </c>
      <c r="J309" s="2" t="s">
        <v>53</v>
      </c>
      <c r="K309" s="2" t="s">
        <v>233</v>
      </c>
      <c r="L309" s="2" t="s">
        <v>67</v>
      </c>
      <c r="M309" s="2" t="s">
        <v>461</v>
      </c>
      <c r="N309" s="2" t="n">
        <v>2</v>
      </c>
      <c r="O309" s="2" t="s">
        <v>462</v>
      </c>
    </row>
    <row r="310" customFormat="false" ht="23.85" hidden="false" customHeight="false" outlineLevel="0" collapsed="false">
      <c r="A310" s="2" t="s">
        <v>604</v>
      </c>
      <c r="B310" s="2" t="s">
        <v>34</v>
      </c>
      <c r="C310" s="2" t="s">
        <v>35</v>
      </c>
      <c r="D310" s="2" t="s">
        <v>56</v>
      </c>
      <c r="E310" s="2" t="s">
        <v>342</v>
      </c>
      <c r="F310" s="2" t="s">
        <v>66</v>
      </c>
      <c r="G310" s="2" t="s">
        <v>98</v>
      </c>
      <c r="H310" s="2" t="n">
        <v>1</v>
      </c>
      <c r="I310" s="2" t="s">
        <v>61</v>
      </c>
      <c r="J310" s="2" t="s">
        <v>39</v>
      </c>
      <c r="K310" s="2" t="s">
        <v>215</v>
      </c>
      <c r="L310" s="2" t="s">
        <v>67</v>
      </c>
      <c r="M310" s="2" t="s">
        <v>461</v>
      </c>
      <c r="N310" s="2" t="n">
        <v>3</v>
      </c>
      <c r="O310" s="2" t="s">
        <v>462</v>
      </c>
    </row>
    <row r="311" customFormat="false" ht="23.85" hidden="false" customHeight="false" outlineLevel="0" collapsed="false">
      <c r="A311" s="2" t="s">
        <v>605</v>
      </c>
      <c r="B311" s="2" t="s">
        <v>34</v>
      </c>
      <c r="C311" s="2" t="s">
        <v>35</v>
      </c>
      <c r="D311" s="2" t="s">
        <v>56</v>
      </c>
      <c r="E311" s="2" t="s">
        <v>526</v>
      </c>
      <c r="F311" s="2" t="s">
        <v>66</v>
      </c>
      <c r="G311" s="2" t="s">
        <v>102</v>
      </c>
      <c r="H311" s="2" t="n">
        <v>1</v>
      </c>
      <c r="I311" s="2" t="s">
        <v>61</v>
      </c>
      <c r="J311" s="2" t="s">
        <v>53</v>
      </c>
      <c r="K311" s="2" t="s">
        <v>233</v>
      </c>
      <c r="L311" s="2" t="s">
        <v>67</v>
      </c>
      <c r="M311" s="2" t="s">
        <v>448</v>
      </c>
      <c r="N311" s="2" t="n">
        <v>4</v>
      </c>
      <c r="O311" s="2" t="s">
        <v>462</v>
      </c>
    </row>
    <row r="312" customFormat="false" ht="23.85" hidden="false" customHeight="false" outlineLevel="0" collapsed="false">
      <c r="A312" s="2" t="s">
        <v>606</v>
      </c>
      <c r="B312" s="2" t="s">
        <v>34</v>
      </c>
      <c r="C312" s="2" t="s">
        <v>35</v>
      </c>
      <c r="D312" s="2" t="s">
        <v>56</v>
      </c>
      <c r="E312" s="2" t="s">
        <v>476</v>
      </c>
      <c r="F312" s="2" t="s">
        <v>69</v>
      </c>
      <c r="G312" s="2" t="s">
        <v>106</v>
      </c>
      <c r="H312" s="2" t="n">
        <v>1</v>
      </c>
      <c r="I312" s="2" t="s">
        <v>61</v>
      </c>
      <c r="J312" s="2" t="s">
        <v>39</v>
      </c>
      <c r="K312" s="2" t="s">
        <v>215</v>
      </c>
      <c r="L312" s="2" t="s">
        <v>67</v>
      </c>
      <c r="M312" s="2" t="s">
        <v>461</v>
      </c>
      <c r="N312" s="2" t="n">
        <v>3</v>
      </c>
      <c r="O312" s="2" t="s">
        <v>462</v>
      </c>
    </row>
    <row r="313" customFormat="false" ht="23.85" hidden="false" customHeight="false" outlineLevel="0" collapsed="false">
      <c r="A313" s="2" t="s">
        <v>607</v>
      </c>
      <c r="B313" s="2" t="s">
        <v>34</v>
      </c>
      <c r="C313" s="2" t="s">
        <v>35</v>
      </c>
      <c r="D313" s="2" t="s">
        <v>56</v>
      </c>
      <c r="E313" s="2" t="s">
        <v>608</v>
      </c>
      <c r="F313" s="2" t="s">
        <v>45</v>
      </c>
      <c r="G313" s="2" t="s">
        <v>72</v>
      </c>
      <c r="H313" s="2" t="n">
        <v>3</v>
      </c>
      <c r="I313" s="2" t="s">
        <v>41</v>
      </c>
      <c r="J313" s="2" t="s">
        <v>39</v>
      </c>
      <c r="K313" s="2" t="s">
        <v>215</v>
      </c>
      <c r="L313" s="2" t="s">
        <v>67</v>
      </c>
      <c r="M313" s="2" t="s">
        <v>461</v>
      </c>
      <c r="N313" s="2" t="n">
        <v>2</v>
      </c>
      <c r="O313" s="2" t="s">
        <v>462</v>
      </c>
    </row>
    <row r="314" customFormat="false" ht="23.85" hidden="false" customHeight="false" outlineLevel="0" collapsed="false">
      <c r="A314" s="2" t="s">
        <v>607</v>
      </c>
      <c r="B314" s="2" t="s">
        <v>34</v>
      </c>
      <c r="C314" s="2" t="s">
        <v>35</v>
      </c>
      <c r="D314" s="2" t="s">
        <v>56</v>
      </c>
      <c r="E314" s="2" t="s">
        <v>608</v>
      </c>
      <c r="F314" s="2" t="s">
        <v>45</v>
      </c>
      <c r="G314" s="2" t="s">
        <v>97</v>
      </c>
      <c r="H314" s="2" t="n">
        <v>3</v>
      </c>
      <c r="I314" s="2" t="s">
        <v>41</v>
      </c>
      <c r="J314" s="2" t="s">
        <v>39</v>
      </c>
      <c r="K314" s="2" t="s">
        <v>215</v>
      </c>
      <c r="L314" s="2" t="s">
        <v>67</v>
      </c>
      <c r="M314" s="2" t="s">
        <v>461</v>
      </c>
      <c r="N314" s="2" t="n">
        <v>2</v>
      </c>
      <c r="O314" s="2" t="s">
        <v>462</v>
      </c>
    </row>
    <row r="315" customFormat="false" ht="23.85" hidden="false" customHeight="false" outlineLevel="0" collapsed="false">
      <c r="A315" s="2" t="s">
        <v>607</v>
      </c>
      <c r="B315" s="2" t="s">
        <v>34</v>
      </c>
      <c r="C315" s="2" t="s">
        <v>35</v>
      </c>
      <c r="D315" s="2" t="s">
        <v>56</v>
      </c>
      <c r="E315" s="2" t="s">
        <v>608</v>
      </c>
      <c r="F315" s="2" t="s">
        <v>45</v>
      </c>
      <c r="G315" s="2" t="s">
        <v>131</v>
      </c>
      <c r="H315" s="2" t="n">
        <v>3</v>
      </c>
      <c r="I315" s="2" t="s">
        <v>41</v>
      </c>
      <c r="J315" s="2" t="s">
        <v>39</v>
      </c>
      <c r="K315" s="2" t="s">
        <v>215</v>
      </c>
      <c r="L315" s="2" t="s">
        <v>67</v>
      </c>
      <c r="M315" s="2" t="s">
        <v>461</v>
      </c>
      <c r="N315" s="2" t="n">
        <v>2</v>
      </c>
      <c r="O315" s="2" t="s">
        <v>462</v>
      </c>
    </row>
    <row r="316" customFormat="false" ht="23.85" hidden="false" customHeight="false" outlineLevel="0" collapsed="false">
      <c r="A316" s="2" t="s">
        <v>609</v>
      </c>
      <c r="B316" s="2" t="s">
        <v>34</v>
      </c>
      <c r="C316" s="2" t="s">
        <v>35</v>
      </c>
      <c r="D316" s="2" t="s">
        <v>56</v>
      </c>
      <c r="E316" s="2" t="s">
        <v>243</v>
      </c>
      <c r="F316" s="2" t="s">
        <v>45</v>
      </c>
      <c r="G316" s="2" t="s">
        <v>96</v>
      </c>
      <c r="H316" s="2" t="n">
        <v>1</v>
      </c>
      <c r="I316" s="2" t="s">
        <v>61</v>
      </c>
      <c r="J316" s="2" t="s">
        <v>39</v>
      </c>
      <c r="K316" s="2" t="s">
        <v>215</v>
      </c>
      <c r="L316" s="2" t="s">
        <v>64</v>
      </c>
      <c r="M316" s="2" t="s">
        <v>461</v>
      </c>
      <c r="N316" s="2" t="n">
        <v>4</v>
      </c>
      <c r="O316" s="2" t="s">
        <v>462</v>
      </c>
    </row>
    <row r="317" customFormat="false" ht="23.85" hidden="false" customHeight="false" outlineLevel="0" collapsed="false">
      <c r="A317" s="2" t="s">
        <v>610</v>
      </c>
      <c r="B317" s="2" t="s">
        <v>34</v>
      </c>
      <c r="C317" s="2" t="s">
        <v>35</v>
      </c>
      <c r="D317" s="2" t="s">
        <v>56</v>
      </c>
      <c r="E317" s="2" t="s">
        <v>241</v>
      </c>
      <c r="F317" s="2" t="s">
        <v>45</v>
      </c>
      <c r="G317" s="2" t="s">
        <v>76</v>
      </c>
      <c r="H317" s="2" t="n">
        <v>1</v>
      </c>
      <c r="I317" s="2" t="s">
        <v>61</v>
      </c>
      <c r="J317" s="2" t="s">
        <v>39</v>
      </c>
      <c r="K317" s="2" t="s">
        <v>215</v>
      </c>
      <c r="L317" s="2" t="s">
        <v>64</v>
      </c>
      <c r="M317" s="2" t="s">
        <v>461</v>
      </c>
      <c r="N317" s="2" t="n">
        <v>5</v>
      </c>
      <c r="O317" s="2" t="s">
        <v>462</v>
      </c>
    </row>
    <row r="318" customFormat="false" ht="23.85" hidden="false" customHeight="false" outlineLevel="0" collapsed="false">
      <c r="A318" s="2" t="s">
        <v>611</v>
      </c>
      <c r="B318" s="2" t="s">
        <v>34</v>
      </c>
      <c r="C318" s="2" t="s">
        <v>35</v>
      </c>
      <c r="D318" s="2" t="s">
        <v>56</v>
      </c>
      <c r="E318" s="2" t="s">
        <v>532</v>
      </c>
      <c r="F318" s="2" t="s">
        <v>45</v>
      </c>
      <c r="G318" s="2" t="s">
        <v>65</v>
      </c>
      <c r="H318" s="2" t="n">
        <v>1</v>
      </c>
      <c r="I318" s="2" t="s">
        <v>61</v>
      </c>
      <c r="J318" s="2" t="s">
        <v>59</v>
      </c>
      <c r="K318" s="2" t="s">
        <v>211</v>
      </c>
      <c r="L318" s="2" t="s">
        <v>67</v>
      </c>
      <c r="M318" s="2" t="s">
        <v>448</v>
      </c>
      <c r="N318" s="2" t="n">
        <v>3</v>
      </c>
      <c r="O318" s="2" t="s">
        <v>462</v>
      </c>
    </row>
    <row r="319" customFormat="false" ht="23.85" hidden="false" customHeight="false" outlineLevel="0" collapsed="false">
      <c r="A319" s="2" t="s">
        <v>612</v>
      </c>
      <c r="B319" s="2" t="s">
        <v>34</v>
      </c>
      <c r="C319" s="2" t="s">
        <v>35</v>
      </c>
      <c r="D319" s="2" t="s">
        <v>56</v>
      </c>
      <c r="E319" s="2" t="s">
        <v>530</v>
      </c>
      <c r="F319" s="2" t="s">
        <v>45</v>
      </c>
      <c r="G319" s="2" t="s">
        <v>97</v>
      </c>
      <c r="H319" s="2" t="n">
        <v>1</v>
      </c>
      <c r="I319" s="2" t="s">
        <v>61</v>
      </c>
      <c r="J319" s="2" t="s">
        <v>59</v>
      </c>
      <c r="K319" s="2" t="s">
        <v>211</v>
      </c>
      <c r="L319" s="2" t="s">
        <v>67</v>
      </c>
      <c r="M319" s="2" t="s">
        <v>461</v>
      </c>
      <c r="N319" s="2" t="n">
        <v>2</v>
      </c>
      <c r="O319" s="2" t="s">
        <v>462</v>
      </c>
    </row>
    <row r="320" customFormat="false" ht="23.85" hidden="false" customHeight="false" outlineLevel="0" collapsed="false">
      <c r="A320" s="2" t="s">
        <v>613</v>
      </c>
      <c r="B320" s="2" t="s">
        <v>34</v>
      </c>
      <c r="C320" s="2" t="s">
        <v>35</v>
      </c>
      <c r="D320" s="2" t="s">
        <v>56</v>
      </c>
      <c r="E320" s="2" t="s">
        <v>528</v>
      </c>
      <c r="F320" s="2" t="s">
        <v>75</v>
      </c>
      <c r="G320" s="2" t="s">
        <v>95</v>
      </c>
      <c r="H320" s="2" t="n">
        <v>1</v>
      </c>
      <c r="I320" s="2" t="s">
        <v>61</v>
      </c>
      <c r="J320" s="2" t="s">
        <v>59</v>
      </c>
      <c r="K320" s="2" t="s">
        <v>211</v>
      </c>
      <c r="L320" s="2" t="s">
        <v>67</v>
      </c>
      <c r="M320" s="2" t="s">
        <v>461</v>
      </c>
      <c r="N320" s="2" t="n">
        <v>2</v>
      </c>
      <c r="O320" s="2" t="s">
        <v>462</v>
      </c>
    </row>
    <row r="321" customFormat="false" ht="23.85" hidden="false" customHeight="false" outlineLevel="0" collapsed="false">
      <c r="A321" s="2" t="s">
        <v>614</v>
      </c>
      <c r="B321" s="2" t="s">
        <v>34</v>
      </c>
      <c r="C321" s="2" t="s">
        <v>35</v>
      </c>
      <c r="D321" s="2" t="s">
        <v>56</v>
      </c>
      <c r="E321" s="2" t="s">
        <v>239</v>
      </c>
      <c r="F321" s="2" t="s">
        <v>45</v>
      </c>
      <c r="G321" s="2" t="s">
        <v>96</v>
      </c>
      <c r="H321" s="2" t="n">
        <v>1</v>
      </c>
      <c r="I321" s="2" t="s">
        <v>61</v>
      </c>
      <c r="J321" s="2" t="s">
        <v>39</v>
      </c>
      <c r="K321" s="2" t="s">
        <v>215</v>
      </c>
      <c r="L321" s="2" t="s">
        <v>64</v>
      </c>
      <c r="M321" s="2" t="s">
        <v>461</v>
      </c>
      <c r="N321" s="2" t="n">
        <v>4</v>
      </c>
      <c r="O321" s="2" t="s">
        <v>462</v>
      </c>
    </row>
    <row r="322" customFormat="false" ht="23.85" hidden="false" customHeight="false" outlineLevel="0" collapsed="false">
      <c r="A322" s="2" t="s">
        <v>615</v>
      </c>
      <c r="B322" s="2" t="s">
        <v>34</v>
      </c>
      <c r="C322" s="2" t="s">
        <v>35</v>
      </c>
      <c r="D322" s="2" t="s">
        <v>56</v>
      </c>
      <c r="E322" s="2" t="s">
        <v>489</v>
      </c>
      <c r="F322" s="2" t="s">
        <v>45</v>
      </c>
      <c r="G322" s="2" t="s">
        <v>94</v>
      </c>
      <c r="H322" s="2" t="n">
        <v>1</v>
      </c>
      <c r="I322" s="2" t="s">
        <v>61</v>
      </c>
      <c r="J322" s="2" t="s">
        <v>46</v>
      </c>
      <c r="K322" s="2" t="s">
        <v>230</v>
      </c>
      <c r="L322" s="2" t="s">
        <v>64</v>
      </c>
      <c r="M322" s="2" t="s">
        <v>461</v>
      </c>
      <c r="N322" s="2" t="n">
        <v>3</v>
      </c>
      <c r="O322" s="2" t="s">
        <v>462</v>
      </c>
    </row>
    <row r="323" customFormat="false" ht="23.85" hidden="false" customHeight="false" outlineLevel="0" collapsed="false">
      <c r="A323" s="2" t="s">
        <v>616</v>
      </c>
      <c r="B323" s="2" t="s">
        <v>34</v>
      </c>
      <c r="C323" s="2" t="s">
        <v>35</v>
      </c>
      <c r="D323" s="2" t="s">
        <v>56</v>
      </c>
      <c r="E323" s="2" t="s">
        <v>484</v>
      </c>
      <c r="F323" s="2" t="s">
        <v>58</v>
      </c>
      <c r="G323" s="2" t="s">
        <v>91</v>
      </c>
      <c r="H323" s="2" t="n">
        <v>1</v>
      </c>
      <c r="I323" s="2" t="s">
        <v>61</v>
      </c>
      <c r="J323" s="2" t="s">
        <v>39</v>
      </c>
      <c r="K323" s="2" t="s">
        <v>215</v>
      </c>
      <c r="L323" s="2" t="s">
        <v>64</v>
      </c>
      <c r="M323" s="2" t="s">
        <v>461</v>
      </c>
      <c r="N323" s="2" t="n">
        <v>3</v>
      </c>
      <c r="O323" s="2" t="s">
        <v>462</v>
      </c>
    </row>
    <row r="324" customFormat="false" ht="23.85" hidden="false" customHeight="false" outlineLevel="0" collapsed="false">
      <c r="A324" s="2" t="s">
        <v>617</v>
      </c>
      <c r="B324" s="2" t="s">
        <v>34</v>
      </c>
      <c r="C324" s="2" t="s">
        <v>35</v>
      </c>
      <c r="D324" s="2" t="s">
        <v>56</v>
      </c>
      <c r="E324" s="2" t="s">
        <v>618</v>
      </c>
      <c r="F324" s="2" t="s">
        <v>58</v>
      </c>
      <c r="G324" s="2" t="s">
        <v>95</v>
      </c>
      <c r="H324" s="2" t="n">
        <v>2</v>
      </c>
      <c r="I324" s="2" t="s">
        <v>41</v>
      </c>
      <c r="J324" s="2" t="s">
        <v>59</v>
      </c>
      <c r="K324" s="2" t="s">
        <v>211</v>
      </c>
      <c r="L324" s="2" t="s">
        <v>67</v>
      </c>
      <c r="M324" s="2" t="s">
        <v>448</v>
      </c>
      <c r="N324" s="2" t="n">
        <v>3</v>
      </c>
      <c r="O324" s="2" t="s">
        <v>462</v>
      </c>
    </row>
    <row r="325" customFormat="false" ht="23.85" hidden="false" customHeight="false" outlineLevel="0" collapsed="false">
      <c r="A325" s="2" t="s">
        <v>617</v>
      </c>
      <c r="B325" s="2" t="s">
        <v>34</v>
      </c>
      <c r="C325" s="2" t="s">
        <v>35</v>
      </c>
      <c r="D325" s="2" t="s">
        <v>56</v>
      </c>
      <c r="E325" s="2" t="s">
        <v>618</v>
      </c>
      <c r="F325" s="2" t="s">
        <v>58</v>
      </c>
      <c r="G325" s="2" t="s">
        <v>132</v>
      </c>
      <c r="H325" s="2" t="n">
        <v>2</v>
      </c>
      <c r="I325" s="2" t="s">
        <v>41</v>
      </c>
      <c r="J325" s="2" t="s">
        <v>59</v>
      </c>
      <c r="K325" s="2" t="s">
        <v>211</v>
      </c>
      <c r="L325" s="2" t="s">
        <v>67</v>
      </c>
      <c r="M325" s="2" t="s">
        <v>448</v>
      </c>
      <c r="N325" s="2" t="n">
        <v>3</v>
      </c>
      <c r="O325" s="2" t="s">
        <v>462</v>
      </c>
    </row>
    <row r="326" customFormat="false" ht="23.85" hidden="false" customHeight="false" outlineLevel="0" collapsed="false">
      <c r="A326" s="2" t="s">
        <v>619</v>
      </c>
      <c r="B326" s="2" t="s">
        <v>34</v>
      </c>
      <c r="C326" s="2" t="s">
        <v>35</v>
      </c>
      <c r="D326" s="2" t="s">
        <v>56</v>
      </c>
      <c r="E326" s="2" t="s">
        <v>513</v>
      </c>
      <c r="F326" s="2" t="s">
        <v>58</v>
      </c>
      <c r="G326" s="2" t="s">
        <v>84</v>
      </c>
      <c r="H326" s="2" t="n">
        <v>1</v>
      </c>
      <c r="I326" s="2" t="s">
        <v>61</v>
      </c>
      <c r="J326" s="2" t="s">
        <v>53</v>
      </c>
      <c r="K326" s="2" t="s">
        <v>233</v>
      </c>
      <c r="L326" s="2" t="s">
        <v>67</v>
      </c>
      <c r="M326" s="2" t="s">
        <v>448</v>
      </c>
      <c r="N326" s="2" t="n">
        <v>4</v>
      </c>
      <c r="O326" s="2" t="s">
        <v>462</v>
      </c>
    </row>
    <row r="327" customFormat="false" ht="23.85" hidden="false" customHeight="false" outlineLevel="0" collapsed="false">
      <c r="A327" s="2" t="s">
        <v>620</v>
      </c>
      <c r="B327" s="2" t="s">
        <v>34</v>
      </c>
      <c r="C327" s="2" t="s">
        <v>35</v>
      </c>
      <c r="D327" s="2" t="s">
        <v>56</v>
      </c>
      <c r="E327" s="2" t="s">
        <v>519</v>
      </c>
      <c r="F327" s="2" t="s">
        <v>58</v>
      </c>
      <c r="G327" s="2" t="s">
        <v>62</v>
      </c>
      <c r="H327" s="2" t="n">
        <v>3</v>
      </c>
      <c r="I327" s="2" t="s">
        <v>41</v>
      </c>
      <c r="J327" s="2" t="s">
        <v>59</v>
      </c>
      <c r="K327" s="2" t="s">
        <v>211</v>
      </c>
      <c r="L327" s="2" t="s">
        <v>67</v>
      </c>
      <c r="M327" s="2" t="s">
        <v>461</v>
      </c>
      <c r="N327" s="2" t="n">
        <v>3</v>
      </c>
      <c r="O327" s="2" t="s">
        <v>462</v>
      </c>
    </row>
    <row r="328" customFormat="false" ht="23.85" hidden="false" customHeight="false" outlineLevel="0" collapsed="false">
      <c r="A328" s="2" t="s">
        <v>620</v>
      </c>
      <c r="B328" s="2" t="s">
        <v>34</v>
      </c>
      <c r="C328" s="2" t="s">
        <v>35</v>
      </c>
      <c r="D328" s="2" t="s">
        <v>56</v>
      </c>
      <c r="E328" s="2" t="s">
        <v>519</v>
      </c>
      <c r="F328" s="2" t="s">
        <v>58</v>
      </c>
      <c r="G328" s="2" t="s">
        <v>87</v>
      </c>
      <c r="H328" s="2" t="n">
        <v>3</v>
      </c>
      <c r="I328" s="2" t="s">
        <v>41</v>
      </c>
      <c r="J328" s="2" t="s">
        <v>59</v>
      </c>
      <c r="K328" s="2" t="s">
        <v>211</v>
      </c>
      <c r="L328" s="2" t="s">
        <v>67</v>
      </c>
      <c r="M328" s="2" t="s">
        <v>461</v>
      </c>
      <c r="N328" s="2" t="n">
        <v>3</v>
      </c>
      <c r="O328" s="2" t="s">
        <v>462</v>
      </c>
    </row>
    <row r="329" customFormat="false" ht="23.85" hidden="false" customHeight="false" outlineLevel="0" collapsed="false">
      <c r="A329" s="2" t="s">
        <v>620</v>
      </c>
      <c r="B329" s="2" t="s">
        <v>34</v>
      </c>
      <c r="C329" s="2" t="s">
        <v>35</v>
      </c>
      <c r="D329" s="2" t="s">
        <v>56</v>
      </c>
      <c r="E329" s="2" t="s">
        <v>519</v>
      </c>
      <c r="F329" s="2" t="s">
        <v>58</v>
      </c>
      <c r="G329" s="2" t="s">
        <v>148</v>
      </c>
      <c r="H329" s="2" t="n">
        <v>3</v>
      </c>
      <c r="I329" s="2" t="s">
        <v>41</v>
      </c>
      <c r="J329" s="2" t="s">
        <v>59</v>
      </c>
      <c r="K329" s="2" t="s">
        <v>211</v>
      </c>
      <c r="L329" s="2" t="s">
        <v>67</v>
      </c>
      <c r="M329" s="2" t="s">
        <v>461</v>
      </c>
      <c r="N329" s="2" t="n">
        <v>3</v>
      </c>
      <c r="O329" s="2" t="s">
        <v>462</v>
      </c>
    </row>
    <row r="330" customFormat="false" ht="23.85" hidden="false" customHeight="false" outlineLevel="0" collapsed="false">
      <c r="A330" s="2" t="s">
        <v>621</v>
      </c>
      <c r="B330" s="2" t="s">
        <v>34</v>
      </c>
      <c r="C330" s="2" t="s">
        <v>35</v>
      </c>
      <c r="D330" s="2" t="s">
        <v>56</v>
      </c>
      <c r="E330" s="2" t="s">
        <v>536</v>
      </c>
      <c r="F330" s="2" t="s">
        <v>69</v>
      </c>
      <c r="G330" s="2" t="s">
        <v>118</v>
      </c>
      <c r="H330" s="2" t="n">
        <v>1</v>
      </c>
      <c r="I330" s="2" t="s">
        <v>61</v>
      </c>
      <c r="J330" s="2" t="s">
        <v>39</v>
      </c>
      <c r="K330" s="2" t="s">
        <v>215</v>
      </c>
      <c r="L330" s="2" t="s">
        <v>67</v>
      </c>
      <c r="M330" s="2" t="s">
        <v>461</v>
      </c>
      <c r="N330" s="2" t="n">
        <v>4</v>
      </c>
      <c r="O330" s="2" t="s">
        <v>462</v>
      </c>
    </row>
    <row r="331" customFormat="false" ht="23.85" hidden="false" customHeight="false" outlineLevel="0" collapsed="false">
      <c r="A331" s="2" t="s">
        <v>622</v>
      </c>
      <c r="B331" s="2" t="s">
        <v>34</v>
      </c>
      <c r="C331" s="2" t="s">
        <v>35</v>
      </c>
      <c r="D331" s="2" t="s">
        <v>56</v>
      </c>
      <c r="E331" s="2" t="s">
        <v>623</v>
      </c>
      <c r="F331" s="2" t="s">
        <v>69</v>
      </c>
      <c r="G331" s="2" t="s">
        <v>106</v>
      </c>
      <c r="H331" s="2" t="n">
        <v>1</v>
      </c>
      <c r="I331" s="2" t="s">
        <v>61</v>
      </c>
      <c r="J331" s="2" t="s">
        <v>39</v>
      </c>
      <c r="K331" s="2" t="s">
        <v>215</v>
      </c>
      <c r="L331" s="2" t="s">
        <v>67</v>
      </c>
      <c r="M331" s="2" t="s">
        <v>461</v>
      </c>
      <c r="N331" s="2" t="n">
        <v>3</v>
      </c>
      <c r="O331" s="2" t="s">
        <v>462</v>
      </c>
    </row>
    <row r="332" customFormat="false" ht="23.85" hidden="false" customHeight="false" outlineLevel="0" collapsed="false">
      <c r="A332" s="2" t="s">
        <v>624</v>
      </c>
      <c r="B332" s="2" t="s">
        <v>34</v>
      </c>
      <c r="C332" s="2" t="s">
        <v>35</v>
      </c>
      <c r="D332" s="2" t="s">
        <v>56</v>
      </c>
      <c r="E332" s="2" t="s">
        <v>505</v>
      </c>
      <c r="F332" s="2" t="s">
        <v>69</v>
      </c>
      <c r="G332" s="2" t="s">
        <v>107</v>
      </c>
      <c r="H332" s="2" t="n">
        <v>1</v>
      </c>
      <c r="I332" s="2" t="s">
        <v>61</v>
      </c>
      <c r="J332" s="2" t="s">
        <v>53</v>
      </c>
      <c r="K332" s="2" t="s">
        <v>233</v>
      </c>
      <c r="L332" s="2" t="s">
        <v>67</v>
      </c>
      <c r="M332" s="2" t="s">
        <v>495</v>
      </c>
      <c r="N332" s="2" t="n">
        <v>2</v>
      </c>
      <c r="O332" s="2" t="s">
        <v>462</v>
      </c>
    </row>
    <row r="333" customFormat="false" ht="23.85" hidden="false" customHeight="false" outlineLevel="0" collapsed="false">
      <c r="A333" s="2" t="s">
        <v>625</v>
      </c>
      <c r="B333" s="2" t="s">
        <v>34</v>
      </c>
      <c r="C333" s="2" t="s">
        <v>35</v>
      </c>
      <c r="D333" s="2" t="s">
        <v>56</v>
      </c>
      <c r="E333" s="2" t="s">
        <v>534</v>
      </c>
      <c r="F333" s="2" t="s">
        <v>69</v>
      </c>
      <c r="G333" s="2" t="s">
        <v>117</v>
      </c>
      <c r="H333" s="2" t="n">
        <v>1</v>
      </c>
      <c r="I333" s="2" t="s">
        <v>61</v>
      </c>
      <c r="J333" s="2" t="s">
        <v>39</v>
      </c>
      <c r="K333" s="2" t="s">
        <v>215</v>
      </c>
      <c r="L333" s="2" t="s">
        <v>67</v>
      </c>
      <c r="M333" s="2" t="s">
        <v>461</v>
      </c>
      <c r="N333" s="2" t="n">
        <v>4</v>
      </c>
      <c r="O333" s="2" t="s">
        <v>462</v>
      </c>
    </row>
    <row r="334" customFormat="false" ht="23.85" hidden="false" customHeight="false" outlineLevel="0" collapsed="false">
      <c r="A334" s="2" t="s">
        <v>626</v>
      </c>
      <c r="B334" s="2" t="s">
        <v>34</v>
      </c>
      <c r="C334" s="2" t="s">
        <v>35</v>
      </c>
      <c r="D334" s="2" t="s">
        <v>56</v>
      </c>
      <c r="E334" s="2" t="s">
        <v>472</v>
      </c>
      <c r="F334" s="2" t="s">
        <v>69</v>
      </c>
      <c r="G334" s="2" t="s">
        <v>106</v>
      </c>
      <c r="H334" s="2" t="n">
        <v>1</v>
      </c>
      <c r="I334" s="2" t="s">
        <v>61</v>
      </c>
      <c r="J334" s="2" t="s">
        <v>39</v>
      </c>
      <c r="K334" s="2" t="s">
        <v>215</v>
      </c>
      <c r="L334" s="2" t="s">
        <v>67</v>
      </c>
      <c r="M334" s="2" t="s">
        <v>461</v>
      </c>
      <c r="N334" s="2" t="n">
        <v>3</v>
      </c>
      <c r="O334" s="2" t="s">
        <v>462</v>
      </c>
    </row>
    <row r="335" customFormat="false" ht="23.85" hidden="false" customHeight="false" outlineLevel="0" collapsed="false">
      <c r="A335" s="2" t="s">
        <v>627</v>
      </c>
      <c r="B335" s="2" t="s">
        <v>34</v>
      </c>
      <c r="C335" s="2" t="s">
        <v>35</v>
      </c>
      <c r="D335" s="2" t="s">
        <v>56</v>
      </c>
      <c r="E335" s="2" t="s">
        <v>287</v>
      </c>
      <c r="F335" s="2" t="s">
        <v>69</v>
      </c>
      <c r="G335" s="2" t="s">
        <v>115</v>
      </c>
      <c r="H335" s="2" t="n">
        <v>1</v>
      </c>
      <c r="I335" s="2" t="s">
        <v>61</v>
      </c>
      <c r="J335" s="2" t="s">
        <v>59</v>
      </c>
      <c r="K335" s="2" t="s">
        <v>211</v>
      </c>
      <c r="L335" s="2" t="s">
        <v>67</v>
      </c>
      <c r="M335" s="2" t="s">
        <v>461</v>
      </c>
      <c r="N335" s="2" t="n">
        <v>3</v>
      </c>
      <c r="O335" s="2" t="s">
        <v>462</v>
      </c>
    </row>
    <row r="336" customFormat="false" ht="23.85" hidden="false" customHeight="false" outlineLevel="0" collapsed="false">
      <c r="A336" s="2" t="s">
        <v>628</v>
      </c>
      <c r="B336" s="2" t="s">
        <v>34</v>
      </c>
      <c r="C336" s="2" t="s">
        <v>35</v>
      </c>
      <c r="D336" s="2" t="s">
        <v>56</v>
      </c>
      <c r="E336" s="2" t="s">
        <v>515</v>
      </c>
      <c r="F336" s="2" t="s">
        <v>69</v>
      </c>
      <c r="G336" s="2" t="s">
        <v>109</v>
      </c>
      <c r="H336" s="2" t="n">
        <v>1</v>
      </c>
      <c r="I336" s="2" t="s">
        <v>61</v>
      </c>
      <c r="J336" s="2" t="s">
        <v>59</v>
      </c>
      <c r="K336" s="2" t="s">
        <v>211</v>
      </c>
      <c r="L336" s="2" t="s">
        <v>67</v>
      </c>
      <c r="M336" s="2" t="s">
        <v>461</v>
      </c>
      <c r="N336" s="2" t="n">
        <v>4</v>
      </c>
      <c r="O336" s="2" t="s">
        <v>462</v>
      </c>
    </row>
    <row r="337" customFormat="false" ht="23.85" hidden="false" customHeight="false" outlineLevel="0" collapsed="false">
      <c r="A337" s="2" t="s">
        <v>629</v>
      </c>
      <c r="B337" s="2" t="s">
        <v>34</v>
      </c>
      <c r="C337" s="2" t="s">
        <v>35</v>
      </c>
      <c r="D337" s="2" t="s">
        <v>56</v>
      </c>
      <c r="E337" s="2" t="s">
        <v>507</v>
      </c>
      <c r="F337" s="2" t="s">
        <v>69</v>
      </c>
      <c r="G337" s="2" t="s">
        <v>110</v>
      </c>
      <c r="H337" s="2" t="n">
        <v>1</v>
      </c>
      <c r="I337" s="2" t="s">
        <v>61</v>
      </c>
      <c r="J337" s="2" t="s">
        <v>53</v>
      </c>
      <c r="K337" s="2" t="s">
        <v>233</v>
      </c>
      <c r="L337" s="2" t="s">
        <v>67</v>
      </c>
      <c r="M337" s="2" t="s">
        <v>495</v>
      </c>
      <c r="N337" s="2" t="n">
        <v>2</v>
      </c>
      <c r="O337" s="2" t="s">
        <v>462</v>
      </c>
    </row>
    <row r="338" customFormat="false" ht="23.85" hidden="false" customHeight="false" outlineLevel="0" collapsed="false">
      <c r="A338" s="2" t="s">
        <v>630</v>
      </c>
      <c r="B338" s="2" t="s">
        <v>34</v>
      </c>
      <c r="C338" s="2" t="s">
        <v>35</v>
      </c>
      <c r="D338" s="2" t="s">
        <v>56</v>
      </c>
      <c r="E338" s="2" t="s">
        <v>374</v>
      </c>
      <c r="F338" s="2" t="s">
        <v>69</v>
      </c>
      <c r="G338" s="2" t="s">
        <v>124</v>
      </c>
      <c r="H338" s="2" t="n">
        <v>1</v>
      </c>
      <c r="I338" s="2" t="s">
        <v>61</v>
      </c>
      <c r="J338" s="2" t="s">
        <v>59</v>
      </c>
      <c r="K338" s="2" t="s">
        <v>211</v>
      </c>
      <c r="L338" s="2" t="s">
        <v>67</v>
      </c>
      <c r="M338" s="2" t="s">
        <v>461</v>
      </c>
      <c r="N338" s="2" t="n">
        <v>3</v>
      </c>
      <c r="O338" s="2" t="s">
        <v>462</v>
      </c>
    </row>
    <row r="339" customFormat="false" ht="23.85" hidden="false" customHeight="false" outlineLevel="0" collapsed="false">
      <c r="A339" s="2" t="s">
        <v>631</v>
      </c>
      <c r="B339" s="2" t="s">
        <v>34</v>
      </c>
      <c r="C339" s="2" t="s">
        <v>35</v>
      </c>
      <c r="D339" s="2" t="s">
        <v>56</v>
      </c>
      <c r="E339" s="2" t="s">
        <v>275</v>
      </c>
      <c r="F339" s="2" t="s">
        <v>69</v>
      </c>
      <c r="G339" s="2" t="s">
        <v>113</v>
      </c>
      <c r="H339" s="2" t="n">
        <v>2</v>
      </c>
      <c r="I339" s="2" t="s">
        <v>41</v>
      </c>
      <c r="J339" s="2" t="s">
        <v>59</v>
      </c>
      <c r="K339" s="2" t="s">
        <v>211</v>
      </c>
      <c r="L339" s="2" t="s">
        <v>67</v>
      </c>
      <c r="M339" s="2" t="s">
        <v>448</v>
      </c>
      <c r="N339" s="2" t="n">
        <v>3</v>
      </c>
      <c r="O339" s="2" t="s">
        <v>462</v>
      </c>
    </row>
    <row r="340" customFormat="false" ht="23.85" hidden="false" customHeight="false" outlineLevel="0" collapsed="false">
      <c r="A340" s="2" t="s">
        <v>631</v>
      </c>
      <c r="B340" s="2" t="s">
        <v>34</v>
      </c>
      <c r="C340" s="2" t="s">
        <v>35</v>
      </c>
      <c r="D340" s="2" t="s">
        <v>56</v>
      </c>
      <c r="E340" s="2" t="s">
        <v>275</v>
      </c>
      <c r="F340" s="2" t="s">
        <v>69</v>
      </c>
      <c r="G340" s="2" t="s">
        <v>126</v>
      </c>
      <c r="H340" s="2" t="n">
        <v>2</v>
      </c>
      <c r="I340" s="2" t="s">
        <v>41</v>
      </c>
      <c r="J340" s="2" t="s">
        <v>59</v>
      </c>
      <c r="K340" s="2" t="s">
        <v>211</v>
      </c>
      <c r="L340" s="2" t="s">
        <v>67</v>
      </c>
      <c r="M340" s="2" t="s">
        <v>448</v>
      </c>
      <c r="N340" s="2" t="n">
        <v>3</v>
      </c>
      <c r="O340" s="2" t="s">
        <v>462</v>
      </c>
    </row>
    <row r="341" customFormat="false" ht="23.85" hidden="false" customHeight="false" outlineLevel="0" collapsed="false">
      <c r="A341" s="2" t="s">
        <v>632</v>
      </c>
      <c r="B341" s="2" t="s">
        <v>34</v>
      </c>
      <c r="C341" s="2" t="s">
        <v>35</v>
      </c>
      <c r="D341" s="2" t="s">
        <v>56</v>
      </c>
      <c r="E341" s="2" t="s">
        <v>377</v>
      </c>
      <c r="F341" s="2" t="s">
        <v>69</v>
      </c>
      <c r="G341" s="2" t="s">
        <v>114</v>
      </c>
      <c r="H341" s="2" t="n">
        <v>1</v>
      </c>
      <c r="I341" s="2" t="s">
        <v>61</v>
      </c>
      <c r="J341" s="2" t="s">
        <v>59</v>
      </c>
      <c r="K341" s="2" t="s">
        <v>211</v>
      </c>
      <c r="L341" s="2" t="s">
        <v>67</v>
      </c>
      <c r="M341" s="2" t="s">
        <v>448</v>
      </c>
      <c r="N341" s="2" t="n">
        <v>4</v>
      </c>
      <c r="O341" s="2" t="s">
        <v>462</v>
      </c>
    </row>
    <row r="342" customFormat="false" ht="23.85" hidden="false" customHeight="false" outlineLevel="0" collapsed="false">
      <c r="A342" s="2" t="s">
        <v>633</v>
      </c>
      <c r="B342" s="2" t="s">
        <v>34</v>
      </c>
      <c r="C342" s="2" t="s">
        <v>35</v>
      </c>
      <c r="D342" s="2" t="s">
        <v>56</v>
      </c>
      <c r="E342" s="2" t="s">
        <v>544</v>
      </c>
      <c r="F342" s="2" t="s">
        <v>71</v>
      </c>
      <c r="G342" s="2" t="s">
        <v>108</v>
      </c>
      <c r="H342" s="2" t="n">
        <v>1</v>
      </c>
      <c r="I342" s="2" t="s">
        <v>61</v>
      </c>
      <c r="J342" s="2" t="s">
        <v>59</v>
      </c>
      <c r="K342" s="2" t="s">
        <v>211</v>
      </c>
      <c r="L342" s="2" t="s">
        <v>67</v>
      </c>
      <c r="M342" s="2" t="s">
        <v>461</v>
      </c>
      <c r="N342" s="2" t="n">
        <v>3</v>
      </c>
      <c r="O342" s="2" t="s">
        <v>462</v>
      </c>
    </row>
    <row r="343" customFormat="false" ht="23.85" hidden="false" customHeight="false" outlineLevel="0" collapsed="false">
      <c r="A343" s="2" t="s">
        <v>634</v>
      </c>
      <c r="B343" s="2" t="s">
        <v>34</v>
      </c>
      <c r="C343" s="2" t="s">
        <v>35</v>
      </c>
      <c r="D343" s="2" t="s">
        <v>56</v>
      </c>
      <c r="E343" s="2" t="s">
        <v>502</v>
      </c>
      <c r="F343" s="2" t="s">
        <v>69</v>
      </c>
      <c r="G343" s="2" t="s">
        <v>105</v>
      </c>
      <c r="H343" s="2" t="n">
        <v>1</v>
      </c>
      <c r="I343" s="2" t="s">
        <v>61</v>
      </c>
      <c r="J343" s="2" t="s">
        <v>46</v>
      </c>
      <c r="K343" s="2" t="s">
        <v>230</v>
      </c>
      <c r="L343" s="2" t="s">
        <v>64</v>
      </c>
      <c r="M343" s="2" t="s">
        <v>461</v>
      </c>
      <c r="N343" s="2" t="n">
        <v>1</v>
      </c>
      <c r="O343" s="2" t="s">
        <v>462</v>
      </c>
    </row>
    <row r="344" customFormat="false" ht="23.85" hidden="false" customHeight="false" outlineLevel="0" collapsed="false">
      <c r="A344" s="2" t="s">
        <v>635</v>
      </c>
      <c r="B344" s="2" t="s">
        <v>34</v>
      </c>
      <c r="C344" s="2" t="s">
        <v>35</v>
      </c>
      <c r="D344" s="2" t="s">
        <v>56</v>
      </c>
      <c r="E344" s="2" t="s">
        <v>636</v>
      </c>
      <c r="F344" s="2" t="s">
        <v>69</v>
      </c>
      <c r="G344" s="2" t="s">
        <v>104</v>
      </c>
      <c r="H344" s="2" t="n">
        <v>1</v>
      </c>
      <c r="I344" s="2" t="s">
        <v>61</v>
      </c>
      <c r="J344" s="2" t="s">
        <v>39</v>
      </c>
      <c r="K344" s="2" t="s">
        <v>215</v>
      </c>
      <c r="L344" s="2" t="s">
        <v>64</v>
      </c>
      <c r="M344" s="2" t="s">
        <v>461</v>
      </c>
      <c r="N344" s="2" t="n">
        <v>1</v>
      </c>
      <c r="O344" s="2" t="s">
        <v>462</v>
      </c>
    </row>
    <row r="345" customFormat="false" ht="23.85" hidden="false" customHeight="false" outlineLevel="0" collapsed="false">
      <c r="A345" s="2" t="s">
        <v>637</v>
      </c>
      <c r="B345" s="2" t="s">
        <v>34</v>
      </c>
      <c r="C345" s="2" t="s">
        <v>35</v>
      </c>
      <c r="D345" s="2" t="s">
        <v>56</v>
      </c>
      <c r="E345" s="2" t="s">
        <v>542</v>
      </c>
      <c r="F345" s="2" t="s">
        <v>66</v>
      </c>
      <c r="G345" s="2" t="s">
        <v>114</v>
      </c>
      <c r="H345" s="2" t="n">
        <v>1</v>
      </c>
      <c r="I345" s="2" t="s">
        <v>61</v>
      </c>
      <c r="J345" s="2" t="s">
        <v>59</v>
      </c>
      <c r="K345" s="2" t="s">
        <v>211</v>
      </c>
      <c r="L345" s="2" t="s">
        <v>67</v>
      </c>
      <c r="M345" s="2" t="s">
        <v>461</v>
      </c>
      <c r="N345" s="2" t="n">
        <v>4</v>
      </c>
      <c r="O345" s="2" t="s">
        <v>462</v>
      </c>
    </row>
    <row r="346" customFormat="false" ht="23.85" hidden="false" customHeight="false" outlineLevel="0" collapsed="false">
      <c r="A346" s="2" t="s">
        <v>638</v>
      </c>
      <c r="B346" s="2" t="s">
        <v>34</v>
      </c>
      <c r="C346" s="2" t="s">
        <v>35</v>
      </c>
      <c r="D346" s="2" t="s">
        <v>56</v>
      </c>
      <c r="E346" s="2" t="s">
        <v>639</v>
      </c>
      <c r="F346" s="2" t="s">
        <v>71</v>
      </c>
      <c r="G346" s="2" t="s">
        <v>104</v>
      </c>
      <c r="H346" s="2" t="n">
        <v>1</v>
      </c>
      <c r="I346" s="2" t="s">
        <v>61</v>
      </c>
      <c r="J346" s="2" t="s">
        <v>39</v>
      </c>
      <c r="K346" s="2" t="s">
        <v>215</v>
      </c>
      <c r="L346" s="2" t="s">
        <v>64</v>
      </c>
      <c r="M346" s="2" t="s">
        <v>461</v>
      </c>
      <c r="N346" s="2" t="n">
        <v>1</v>
      </c>
      <c r="O346" s="2" t="s">
        <v>462</v>
      </c>
    </row>
    <row r="347" customFormat="false" ht="23.85" hidden="false" customHeight="false" outlineLevel="0" collapsed="false">
      <c r="A347" s="2" t="s">
        <v>640</v>
      </c>
      <c r="B347" s="2" t="s">
        <v>34</v>
      </c>
      <c r="C347" s="2" t="s">
        <v>35</v>
      </c>
      <c r="D347" s="2" t="s">
        <v>56</v>
      </c>
      <c r="E347" s="2" t="s">
        <v>641</v>
      </c>
      <c r="F347" s="2" t="s">
        <v>52</v>
      </c>
      <c r="G347" s="2" t="s">
        <v>90</v>
      </c>
      <c r="H347" s="2" t="n">
        <v>1</v>
      </c>
      <c r="I347" s="2" t="s">
        <v>61</v>
      </c>
      <c r="J347" s="2" t="s">
        <v>59</v>
      </c>
      <c r="K347" s="2" t="s">
        <v>211</v>
      </c>
      <c r="L347" s="2" t="s">
        <v>64</v>
      </c>
      <c r="M347" s="2" t="s">
        <v>461</v>
      </c>
      <c r="N347" s="2" t="n">
        <v>1</v>
      </c>
      <c r="O347" s="2" t="s">
        <v>462</v>
      </c>
    </row>
    <row r="348" customFormat="false" ht="23.85" hidden="false" customHeight="false" outlineLevel="0" collapsed="false">
      <c r="A348" s="2" t="s">
        <v>642</v>
      </c>
      <c r="B348" s="2" t="s">
        <v>34</v>
      </c>
      <c r="C348" s="2" t="s">
        <v>35</v>
      </c>
      <c r="D348" s="2" t="s">
        <v>56</v>
      </c>
      <c r="E348" s="2" t="s">
        <v>291</v>
      </c>
      <c r="F348" s="2" t="s">
        <v>52</v>
      </c>
      <c r="G348" s="2" t="s">
        <v>90</v>
      </c>
      <c r="H348" s="2" t="n">
        <v>1</v>
      </c>
      <c r="I348" s="2" t="s">
        <v>61</v>
      </c>
      <c r="J348" s="2" t="s">
        <v>46</v>
      </c>
      <c r="K348" s="2" t="s">
        <v>230</v>
      </c>
      <c r="L348" s="2" t="s">
        <v>64</v>
      </c>
      <c r="M348" s="2" t="s">
        <v>461</v>
      </c>
      <c r="N348" s="2" t="n">
        <v>1</v>
      </c>
      <c r="O348" s="2" t="s">
        <v>462</v>
      </c>
    </row>
    <row r="349" customFormat="false" ht="23.85" hidden="false" customHeight="false" outlineLevel="0" collapsed="false">
      <c r="A349" s="2" t="s">
        <v>643</v>
      </c>
      <c r="B349" s="2" t="s">
        <v>34</v>
      </c>
      <c r="C349" s="2" t="s">
        <v>35</v>
      </c>
      <c r="D349" s="2" t="s">
        <v>56</v>
      </c>
      <c r="E349" s="2" t="s">
        <v>339</v>
      </c>
      <c r="F349" s="2" t="s">
        <v>52</v>
      </c>
      <c r="G349" s="2" t="s">
        <v>90</v>
      </c>
      <c r="H349" s="2" t="n">
        <v>1</v>
      </c>
      <c r="I349" s="2" t="s">
        <v>61</v>
      </c>
      <c r="J349" s="2" t="s">
        <v>46</v>
      </c>
      <c r="K349" s="2" t="s">
        <v>230</v>
      </c>
      <c r="L349" s="2" t="s">
        <v>64</v>
      </c>
      <c r="M349" s="2" t="s">
        <v>461</v>
      </c>
      <c r="N349" s="2" t="n">
        <v>1</v>
      </c>
      <c r="O349" s="2" t="s">
        <v>462</v>
      </c>
    </row>
    <row r="350" customFormat="false" ht="23.85" hidden="false" customHeight="false" outlineLevel="0" collapsed="false">
      <c r="A350" s="2" t="s">
        <v>644</v>
      </c>
      <c r="B350" s="2" t="s">
        <v>34</v>
      </c>
      <c r="C350" s="2" t="s">
        <v>35</v>
      </c>
      <c r="D350" s="2" t="s">
        <v>56</v>
      </c>
      <c r="E350" s="2" t="s">
        <v>645</v>
      </c>
      <c r="F350" s="2" t="s">
        <v>38</v>
      </c>
      <c r="G350" s="2" t="s">
        <v>83</v>
      </c>
      <c r="H350" s="2" t="n">
        <v>2</v>
      </c>
      <c r="I350" s="2" t="s">
        <v>41</v>
      </c>
      <c r="J350" s="2" t="s">
        <v>59</v>
      </c>
      <c r="K350" s="2" t="s">
        <v>211</v>
      </c>
      <c r="L350" s="2" t="s">
        <v>67</v>
      </c>
      <c r="M350" s="2" t="s">
        <v>461</v>
      </c>
      <c r="N350" s="2" t="n">
        <v>1</v>
      </c>
      <c r="O350" s="2" t="s">
        <v>462</v>
      </c>
    </row>
    <row r="351" customFormat="false" ht="23.85" hidden="false" customHeight="false" outlineLevel="0" collapsed="false">
      <c r="A351" s="2" t="s">
        <v>644</v>
      </c>
      <c r="B351" s="2" t="s">
        <v>34</v>
      </c>
      <c r="C351" s="2" t="s">
        <v>35</v>
      </c>
      <c r="D351" s="2" t="s">
        <v>56</v>
      </c>
      <c r="E351" s="2" t="s">
        <v>645</v>
      </c>
      <c r="F351" s="2" t="s">
        <v>38</v>
      </c>
      <c r="G351" s="2" t="s">
        <v>142</v>
      </c>
      <c r="H351" s="2" t="n">
        <v>2</v>
      </c>
      <c r="I351" s="2" t="s">
        <v>41</v>
      </c>
      <c r="J351" s="2" t="s">
        <v>59</v>
      </c>
      <c r="K351" s="2" t="s">
        <v>211</v>
      </c>
      <c r="L351" s="2" t="s">
        <v>67</v>
      </c>
      <c r="M351" s="2" t="s">
        <v>461</v>
      </c>
      <c r="N351" s="2" t="n">
        <v>1</v>
      </c>
      <c r="O351" s="2" t="s">
        <v>462</v>
      </c>
    </row>
    <row r="352" customFormat="false" ht="23.85" hidden="false" customHeight="false" outlineLevel="0" collapsed="false">
      <c r="A352" s="2" t="s">
        <v>646</v>
      </c>
      <c r="B352" s="2" t="s">
        <v>34</v>
      </c>
      <c r="C352" s="2" t="s">
        <v>35</v>
      </c>
      <c r="D352" s="2" t="s">
        <v>56</v>
      </c>
      <c r="E352" s="2" t="s">
        <v>647</v>
      </c>
      <c r="F352" s="2" t="s">
        <v>38</v>
      </c>
      <c r="G352" s="2" t="s">
        <v>81</v>
      </c>
      <c r="H352" s="2" t="n">
        <v>1</v>
      </c>
      <c r="I352" s="2" t="s">
        <v>61</v>
      </c>
      <c r="J352" s="2" t="s">
        <v>39</v>
      </c>
      <c r="K352" s="2" t="s">
        <v>215</v>
      </c>
      <c r="L352" s="2" t="s">
        <v>64</v>
      </c>
      <c r="M352" s="2" t="s">
        <v>461</v>
      </c>
      <c r="N352" s="2" t="n">
        <v>2</v>
      </c>
      <c r="O352" s="2" t="s">
        <v>462</v>
      </c>
    </row>
    <row r="353" customFormat="false" ht="23.85" hidden="false" customHeight="false" outlineLevel="0" collapsed="false">
      <c r="A353" s="2" t="s">
        <v>648</v>
      </c>
      <c r="B353" s="2" t="s">
        <v>34</v>
      </c>
      <c r="C353" s="2" t="s">
        <v>35</v>
      </c>
      <c r="D353" s="2" t="s">
        <v>56</v>
      </c>
      <c r="E353" s="2" t="s">
        <v>649</v>
      </c>
      <c r="F353" s="2" t="s">
        <v>38</v>
      </c>
      <c r="G353" s="2" t="s">
        <v>72</v>
      </c>
      <c r="H353" s="2" t="n">
        <v>2</v>
      </c>
      <c r="I353" s="2" t="s">
        <v>41</v>
      </c>
      <c r="J353" s="2" t="s">
        <v>46</v>
      </c>
      <c r="K353" s="2" t="s">
        <v>230</v>
      </c>
      <c r="L353" s="2" t="s">
        <v>67</v>
      </c>
      <c r="M353" s="2" t="s">
        <v>461</v>
      </c>
      <c r="N353" s="2" t="n">
        <v>1</v>
      </c>
      <c r="O353" s="2" t="s">
        <v>462</v>
      </c>
    </row>
    <row r="354" customFormat="false" ht="23.85" hidden="false" customHeight="false" outlineLevel="0" collapsed="false">
      <c r="A354" s="2" t="s">
        <v>648</v>
      </c>
      <c r="B354" s="2" t="s">
        <v>34</v>
      </c>
      <c r="C354" s="2" t="s">
        <v>35</v>
      </c>
      <c r="D354" s="2" t="s">
        <v>56</v>
      </c>
      <c r="E354" s="2" t="s">
        <v>649</v>
      </c>
      <c r="F354" s="2" t="s">
        <v>38</v>
      </c>
      <c r="G354" s="2" t="s">
        <v>87</v>
      </c>
      <c r="H354" s="2" t="n">
        <v>2</v>
      </c>
      <c r="I354" s="2" t="s">
        <v>41</v>
      </c>
      <c r="J354" s="2" t="s">
        <v>46</v>
      </c>
      <c r="K354" s="2" t="s">
        <v>230</v>
      </c>
      <c r="L354" s="2" t="s">
        <v>67</v>
      </c>
      <c r="M354" s="2" t="s">
        <v>461</v>
      </c>
      <c r="N354" s="2" t="n">
        <v>1</v>
      </c>
      <c r="O354" s="2" t="s">
        <v>462</v>
      </c>
    </row>
    <row r="355" customFormat="false" ht="23.85" hidden="false" customHeight="false" outlineLevel="0" collapsed="false">
      <c r="A355" s="2" t="s">
        <v>650</v>
      </c>
      <c r="B355" s="2" t="s">
        <v>34</v>
      </c>
      <c r="C355" s="2" t="s">
        <v>35</v>
      </c>
      <c r="D355" s="2" t="s">
        <v>56</v>
      </c>
      <c r="E355" s="2" t="s">
        <v>259</v>
      </c>
      <c r="F355" s="2" t="s">
        <v>38</v>
      </c>
      <c r="G355" s="2" t="s">
        <v>87</v>
      </c>
      <c r="H355" s="2" t="n">
        <v>1</v>
      </c>
      <c r="I355" s="2" t="s">
        <v>61</v>
      </c>
      <c r="J355" s="2" t="s">
        <v>39</v>
      </c>
      <c r="K355" s="2" t="s">
        <v>215</v>
      </c>
      <c r="L355" s="2" t="s">
        <v>64</v>
      </c>
      <c r="M355" s="2" t="s">
        <v>461</v>
      </c>
      <c r="N355" s="2" t="n">
        <v>1</v>
      </c>
      <c r="O355" s="2" t="s">
        <v>462</v>
      </c>
    </row>
    <row r="356" customFormat="false" ht="23.85" hidden="false" customHeight="false" outlineLevel="0" collapsed="false">
      <c r="A356" s="2" t="s">
        <v>651</v>
      </c>
      <c r="B356" s="2" t="s">
        <v>34</v>
      </c>
      <c r="C356" s="2" t="s">
        <v>35</v>
      </c>
      <c r="D356" s="2" t="s">
        <v>56</v>
      </c>
      <c r="E356" s="2" t="s">
        <v>265</v>
      </c>
      <c r="F356" s="2" t="s">
        <v>38</v>
      </c>
      <c r="G356" s="2" t="s">
        <v>82</v>
      </c>
      <c r="H356" s="2" t="n">
        <v>1</v>
      </c>
      <c r="I356" s="2" t="s">
        <v>61</v>
      </c>
      <c r="J356" s="2" t="s">
        <v>39</v>
      </c>
      <c r="K356" s="2" t="s">
        <v>215</v>
      </c>
      <c r="L356" s="2" t="s">
        <v>64</v>
      </c>
      <c r="M356" s="2" t="s">
        <v>461</v>
      </c>
      <c r="N356" s="2" t="n">
        <v>1</v>
      </c>
      <c r="O356" s="2" t="s">
        <v>462</v>
      </c>
    </row>
  </sheetData>
  <autoFilter ref="A1:O3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5"/>
  </cols>
  <sheetData>
    <row r="1" customFormat="false" ht="37.3" hidden="false" customHeight="false" outlineLevel="0" collapsed="false">
      <c r="A1" s="1" t="s">
        <v>652</v>
      </c>
      <c r="B1" s="2"/>
    </row>
    <row r="2" customFormat="false" ht="15" hidden="false" customHeight="false" outlineLevel="0" collapsed="false">
      <c r="A2" s="2"/>
      <c r="B2" s="2"/>
    </row>
    <row r="3" customFormat="false" ht="35.05" hidden="false" customHeight="false" outlineLevel="0" collapsed="false">
      <c r="A3" s="5" t="s">
        <v>653</v>
      </c>
      <c r="B3" s="2" t="s">
        <v>654</v>
      </c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5" t="s">
        <v>655</v>
      </c>
      <c r="B5" s="2"/>
    </row>
    <row r="6" customFormat="false" ht="15" hidden="false" customHeight="false" outlineLevel="0" collapsed="false">
      <c r="A6" s="2"/>
      <c r="B6" s="2" t="s">
        <v>656</v>
      </c>
    </row>
    <row r="7" customFormat="false" ht="35.05" hidden="false" customHeight="false" outlineLevel="0" collapsed="false">
      <c r="A7" s="2"/>
      <c r="B7" s="2" t="s">
        <v>657</v>
      </c>
    </row>
    <row r="8" customFormat="false" ht="35.05" hidden="false" customHeight="false" outlineLevel="0" collapsed="false">
      <c r="A8" s="2"/>
      <c r="B8" s="2" t="s">
        <v>658</v>
      </c>
    </row>
    <row r="9" customFormat="false" ht="23.85" hidden="false" customHeight="false" outlineLevel="0" collapsed="false">
      <c r="A9" s="2"/>
      <c r="B9" s="2" t="s">
        <v>659</v>
      </c>
    </row>
    <row r="10" customFormat="false" ht="23.85" hidden="false" customHeight="false" outlineLevel="0" collapsed="false">
      <c r="A10" s="2"/>
      <c r="B10" s="2" t="s">
        <v>660</v>
      </c>
    </row>
    <row r="11" customFormat="false" ht="15" hidden="false" customHeight="false" outlineLevel="0" collapsed="false">
      <c r="A11" s="2"/>
      <c r="B11" s="2"/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5" t="s">
        <v>661</v>
      </c>
      <c r="B13" s="2"/>
    </row>
    <row r="14" customFormat="false" ht="15" hidden="false" customHeight="false" outlineLevel="0" collapsed="false">
      <c r="A14" s="5" t="s">
        <v>662</v>
      </c>
      <c r="B14" s="2"/>
    </row>
    <row r="15" customFormat="false" ht="23.85" hidden="false" customHeight="false" outlineLevel="0" collapsed="false">
      <c r="A15" s="5" t="s">
        <v>663</v>
      </c>
      <c r="B15" s="2" t="s">
        <v>664</v>
      </c>
    </row>
    <row r="16" customFormat="false" ht="35.05" hidden="false" customHeight="false" outlineLevel="0" collapsed="false">
      <c r="A16" s="5" t="s">
        <v>665</v>
      </c>
      <c r="B16" s="2" t="s">
        <v>666</v>
      </c>
    </row>
    <row r="17" customFormat="false" ht="35.05" hidden="false" customHeight="false" outlineLevel="0" collapsed="false">
      <c r="A17" s="5" t="s">
        <v>667</v>
      </c>
      <c r="B17" s="2" t="s">
        <v>668</v>
      </c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2"/>
      <c r="B19" s="2"/>
    </row>
    <row r="20" customFormat="false" ht="15" hidden="false" customHeight="false" outlineLevel="0" collapsed="false">
      <c r="A20" s="2"/>
      <c r="B20" s="2"/>
    </row>
    <row r="21" customFormat="false" ht="15" hidden="false" customHeight="false" outlineLevel="0" collapsed="false">
      <c r="A21" s="5" t="s">
        <v>669</v>
      </c>
      <c r="B21" s="2"/>
    </row>
    <row r="22" customFormat="false" ht="15" hidden="false" customHeight="false" outlineLevel="0" collapsed="false">
      <c r="A22" s="2"/>
      <c r="B22" s="2" t="s">
        <v>670</v>
      </c>
    </row>
    <row r="23" customFormat="false" ht="15" hidden="false" customHeight="false" outlineLevel="0" collapsed="false">
      <c r="A23" s="2"/>
      <c r="B23" s="2" t="s">
        <v>671</v>
      </c>
    </row>
    <row r="24" customFormat="false" ht="23.85" hidden="false" customHeight="false" outlineLevel="0" collapsed="false">
      <c r="A24" s="2"/>
      <c r="B24" s="2" t="s">
        <v>672</v>
      </c>
    </row>
    <row r="25" customFormat="false" ht="15" hidden="false" customHeight="false" outlineLevel="0" collapsed="false">
      <c r="A25" s="2"/>
      <c r="B25" s="2" t="s">
        <v>673</v>
      </c>
    </row>
    <row r="26" customFormat="false" ht="15" hidden="false" customHeight="false" outlineLevel="0" collapsed="false">
      <c r="A26" s="2"/>
      <c r="B26" s="2" t="s">
        <v>674</v>
      </c>
    </row>
    <row r="27" customFormat="false" ht="15" hidden="false" customHeight="false" outlineLevel="0" collapsed="false">
      <c r="A27" s="2"/>
      <c r="B27" s="2" t="s">
        <v>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6" min="1" style="0" width="24"/>
    <col collapsed="false" customWidth="true" hidden="false" outlineLevel="0" max="27" min="27" style="0" width="16"/>
    <col collapsed="false" customWidth="true" hidden="false" outlineLevel="0" max="28" min="28" style="0" width="23"/>
    <col collapsed="false" customWidth="true" hidden="false" outlineLevel="0" max="31" min="29" style="0" width="35"/>
    <col collapsed="false" customWidth="true" hidden="false" outlineLevel="0" max="34" min="32" style="0" width="18"/>
    <col collapsed="false" customWidth="true" hidden="false" outlineLevel="0" max="35" min="35" style="0" width="21"/>
    <col collapsed="false" customWidth="true" hidden="false" outlineLevel="0" max="36" min="36" style="0" width="18"/>
    <col collapsed="false" customWidth="true" hidden="false" outlineLevel="0" max="37" min="37" style="0" width="23"/>
    <col collapsed="false" customWidth="true" hidden="false" outlineLevel="0" max="38" min="38" style="0" width="36"/>
    <col collapsed="false" customWidth="true" hidden="false" outlineLevel="0" max="39" min="39" style="0" width="42"/>
    <col collapsed="false" customWidth="true" hidden="false" outlineLevel="0" max="40" min="40" style="0" width="34"/>
  </cols>
  <sheetData>
    <row r="1" customFormat="false" ht="15" hidden="false" customHeight="false" outlineLevel="0" collapsed="false">
      <c r="A1" s="3" t="s">
        <v>22</v>
      </c>
      <c r="B1" s="3" t="s">
        <v>676</v>
      </c>
      <c r="C1" s="3" t="s">
        <v>677</v>
      </c>
      <c r="D1" s="3" t="s">
        <v>23</v>
      </c>
      <c r="E1" s="3" t="s">
        <v>678</v>
      </c>
      <c r="F1" s="3" t="s">
        <v>8</v>
      </c>
      <c r="G1" s="3" t="s">
        <v>679</v>
      </c>
      <c r="H1" s="3" t="s">
        <v>24</v>
      </c>
      <c r="I1" s="3" t="s">
        <v>680</v>
      </c>
      <c r="J1" s="3" t="s">
        <v>25</v>
      </c>
      <c r="K1" s="3" t="s">
        <v>681</v>
      </c>
      <c r="L1" s="3" t="s">
        <v>26</v>
      </c>
      <c r="M1" s="3" t="s">
        <v>682</v>
      </c>
      <c r="N1" s="3" t="s">
        <v>27</v>
      </c>
      <c r="O1" s="3" t="s">
        <v>683</v>
      </c>
      <c r="P1" s="3" t="s">
        <v>28</v>
      </c>
      <c r="Q1" s="3" t="s">
        <v>29</v>
      </c>
      <c r="R1" s="3" t="s">
        <v>12</v>
      </c>
      <c r="S1" s="3" t="s">
        <v>208</v>
      </c>
      <c r="T1" s="3" t="s">
        <v>13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684</v>
      </c>
      <c r="Z1" s="3" t="s">
        <v>685</v>
      </c>
    </row>
    <row r="2" customFormat="false" ht="23.85" hidden="false" customHeight="false" outlineLevel="0" collapsed="false">
      <c r="A2" s="2" t="s">
        <v>209</v>
      </c>
      <c r="B2" s="2" t="n">
        <v>1</v>
      </c>
      <c r="C2" s="2" t="s">
        <v>686</v>
      </c>
      <c r="D2" s="2" t="s">
        <v>34</v>
      </c>
      <c r="E2" s="2" t="s">
        <v>687</v>
      </c>
      <c r="F2" s="2" t="s">
        <v>49</v>
      </c>
      <c r="G2" s="2" t="s">
        <v>688</v>
      </c>
      <c r="H2" s="2" t="s">
        <v>36</v>
      </c>
      <c r="I2" s="2" t="s">
        <v>689</v>
      </c>
      <c r="J2" s="2" t="s">
        <v>210</v>
      </c>
      <c r="K2" s="2" t="s">
        <v>690</v>
      </c>
      <c r="L2" s="2" t="s">
        <v>69</v>
      </c>
      <c r="M2" s="2" t="s">
        <v>691</v>
      </c>
      <c r="N2" s="2" t="s">
        <v>119</v>
      </c>
      <c r="O2" s="2" t="n">
        <v>1</v>
      </c>
      <c r="P2" s="2" t="n">
        <v>1</v>
      </c>
      <c r="Q2" s="2" t="s">
        <v>61</v>
      </c>
      <c r="R2" s="2"/>
      <c r="S2" s="2" t="s">
        <v>211</v>
      </c>
      <c r="T2" s="2" t="s">
        <v>54</v>
      </c>
      <c r="U2" s="2"/>
      <c r="V2" s="2"/>
      <c r="W2" s="2" t="s">
        <v>212</v>
      </c>
      <c r="X2" s="2" t="s">
        <v>692</v>
      </c>
      <c r="Y2" s="2" t="n">
        <f aca="false">IF(AND(OR(Query_Interface!$B$5="All",$D2=Query_Interface!$B$5),OR(Query_Interface!$B$6="All",$F2=Query_Interface!$B$6),OR(Query_Interface!$B$7="All",$H2=Query_Interface!$B$7),OR(Query_Interface!$B$8="All",$N2=Query_Interface!$B$8),OR(Query_Interface!$B$9="All",$L2=Query_Interface!$B$9),OR(Query_Interface!$B$10="All",$R2=Query_Interface!$B$10),OR(Query_Interface!$B$11="All",$T2=Query_Interface!$B$11),OR(Query_Interface!$B$12="All",$Q2=Query_Interface!$B$12)),1,0)</f>
        <v>1</v>
      </c>
      <c r="Z2" s="2" t="n">
        <f aca="false">IF($Y2=1,COUNTIF($Y$2:$Y2,1),"")</f>
        <v>1</v>
      </c>
    </row>
    <row r="3" customFormat="false" ht="23.85" hidden="false" customHeight="false" outlineLevel="0" collapsed="false">
      <c r="A3" s="2" t="s">
        <v>213</v>
      </c>
      <c r="B3" s="2" t="n">
        <v>2</v>
      </c>
      <c r="C3" s="2" t="s">
        <v>686</v>
      </c>
      <c r="D3" s="2" t="s">
        <v>34</v>
      </c>
      <c r="E3" s="2" t="s">
        <v>687</v>
      </c>
      <c r="F3" s="2" t="s">
        <v>49</v>
      </c>
      <c r="G3" s="2" t="s">
        <v>688</v>
      </c>
      <c r="H3" s="2" t="s">
        <v>36</v>
      </c>
      <c r="I3" s="2" t="s">
        <v>689</v>
      </c>
      <c r="J3" s="2" t="s">
        <v>214</v>
      </c>
      <c r="K3" s="2" t="s">
        <v>693</v>
      </c>
      <c r="L3" s="2" t="s">
        <v>75</v>
      </c>
      <c r="M3" s="2" t="s">
        <v>694</v>
      </c>
      <c r="N3" s="2" t="s">
        <v>139</v>
      </c>
      <c r="O3" s="2" t="n">
        <v>1</v>
      </c>
      <c r="P3" s="2" t="n">
        <v>1</v>
      </c>
      <c r="Q3" s="2" t="s">
        <v>61</v>
      </c>
      <c r="R3" s="2"/>
      <c r="S3" s="2" t="s">
        <v>215</v>
      </c>
      <c r="T3" s="2" t="s">
        <v>40</v>
      </c>
      <c r="U3" s="2"/>
      <c r="V3" s="2"/>
      <c r="W3" s="2" t="s">
        <v>212</v>
      </c>
      <c r="X3" s="2" t="s">
        <v>692</v>
      </c>
      <c r="Y3" s="2" t="n">
        <f aca="false">IF(AND(OR(Query_Interface!$B$5="All",$D3=Query_Interface!$B$5),OR(Query_Interface!$B$6="All",$F3=Query_Interface!$B$6),OR(Query_Interface!$B$7="All",$H3=Query_Interface!$B$7),OR(Query_Interface!$B$8="All",$N3=Query_Interface!$B$8),OR(Query_Interface!$B$9="All",$L3=Query_Interface!$B$9),OR(Query_Interface!$B$10="All",$R3=Query_Interface!$B$10),OR(Query_Interface!$B$11="All",$T3=Query_Interface!$B$11),OR(Query_Interface!$B$12="All",$Q3=Query_Interface!$B$12)),1,0)</f>
        <v>1</v>
      </c>
      <c r="Z3" s="2" t="n">
        <f aca="false">IF($Y3=1,COUNTIF($Y$2:$Y3,1),"")</f>
        <v>2</v>
      </c>
    </row>
    <row r="4" customFormat="false" ht="23.85" hidden="false" customHeight="false" outlineLevel="0" collapsed="false">
      <c r="A4" s="2" t="s">
        <v>216</v>
      </c>
      <c r="B4" s="2" t="n">
        <v>3</v>
      </c>
      <c r="C4" s="2" t="s">
        <v>686</v>
      </c>
      <c r="D4" s="2" t="s">
        <v>34</v>
      </c>
      <c r="E4" s="2" t="s">
        <v>687</v>
      </c>
      <c r="F4" s="2" t="s">
        <v>49</v>
      </c>
      <c r="G4" s="2" t="s">
        <v>688</v>
      </c>
      <c r="H4" s="2" t="s">
        <v>36</v>
      </c>
      <c r="I4" s="2" t="s">
        <v>689</v>
      </c>
      <c r="J4" s="2" t="s">
        <v>217</v>
      </c>
      <c r="K4" s="2" t="s">
        <v>695</v>
      </c>
      <c r="L4" s="2" t="s">
        <v>69</v>
      </c>
      <c r="M4" s="2" t="s">
        <v>696</v>
      </c>
      <c r="N4" s="2" t="s">
        <v>103</v>
      </c>
      <c r="O4" s="2" t="n">
        <v>1</v>
      </c>
      <c r="P4" s="2" t="n">
        <v>1</v>
      </c>
      <c r="Q4" s="2" t="s">
        <v>61</v>
      </c>
      <c r="R4" s="2"/>
      <c r="S4" s="2" t="s">
        <v>211</v>
      </c>
      <c r="T4" s="2" t="s">
        <v>40</v>
      </c>
      <c r="U4" s="2"/>
      <c r="V4" s="2"/>
      <c r="W4" s="2" t="s">
        <v>212</v>
      </c>
      <c r="X4" s="2" t="s">
        <v>692</v>
      </c>
      <c r="Y4" s="2" t="n">
        <f aca="false">IF(AND(OR(Query_Interface!$B$5="All",$D4=Query_Interface!$B$5),OR(Query_Interface!$B$6="All",$F4=Query_Interface!$B$6),OR(Query_Interface!$B$7="All",$H4=Query_Interface!$B$7),OR(Query_Interface!$B$8="All",$N4=Query_Interface!$B$8),OR(Query_Interface!$B$9="All",$L4=Query_Interface!$B$9),OR(Query_Interface!$B$10="All",$R4=Query_Interface!$B$10),OR(Query_Interface!$B$11="All",$T4=Query_Interface!$B$11),OR(Query_Interface!$B$12="All",$Q4=Query_Interface!$B$12)),1,0)</f>
        <v>1</v>
      </c>
      <c r="Z4" s="2" t="n">
        <f aca="false">IF($Y4=1,COUNTIF($Y$2:$Y4,1),"")</f>
        <v>3</v>
      </c>
    </row>
    <row r="5" customFormat="false" ht="23.85" hidden="false" customHeight="false" outlineLevel="0" collapsed="false">
      <c r="A5" s="2" t="s">
        <v>218</v>
      </c>
      <c r="B5" s="2" t="n">
        <v>4</v>
      </c>
      <c r="C5" s="2" t="s">
        <v>686</v>
      </c>
      <c r="D5" s="2" t="s">
        <v>34</v>
      </c>
      <c r="E5" s="2" t="s">
        <v>687</v>
      </c>
      <c r="F5" s="2" t="s">
        <v>49</v>
      </c>
      <c r="G5" s="2" t="s">
        <v>688</v>
      </c>
      <c r="H5" s="2" t="s">
        <v>36</v>
      </c>
      <c r="I5" s="2" t="s">
        <v>689</v>
      </c>
      <c r="J5" s="2" t="s">
        <v>219</v>
      </c>
      <c r="K5" s="2" t="s">
        <v>697</v>
      </c>
      <c r="L5" s="2" t="s">
        <v>66</v>
      </c>
      <c r="M5" s="2" t="s">
        <v>698</v>
      </c>
      <c r="N5" s="2" t="s">
        <v>104</v>
      </c>
      <c r="O5" s="2" t="n">
        <v>1</v>
      </c>
      <c r="P5" s="2" t="n">
        <v>1</v>
      </c>
      <c r="Q5" s="2" t="s">
        <v>61</v>
      </c>
      <c r="R5" s="2"/>
      <c r="S5" s="2" t="s">
        <v>211</v>
      </c>
      <c r="T5" s="2" t="s">
        <v>47</v>
      </c>
      <c r="U5" s="2"/>
      <c r="V5" s="2"/>
      <c r="W5" s="2" t="s">
        <v>212</v>
      </c>
      <c r="X5" s="2" t="s">
        <v>692</v>
      </c>
      <c r="Y5" s="2" t="n">
        <f aca="false">IF(AND(OR(Query_Interface!$B$5="All",$D5=Query_Interface!$B$5),OR(Query_Interface!$B$6="All",$F5=Query_Interface!$B$6),OR(Query_Interface!$B$7="All",$H5=Query_Interface!$B$7),OR(Query_Interface!$B$8="All",$N5=Query_Interface!$B$8),OR(Query_Interface!$B$9="All",$L5=Query_Interface!$B$9),OR(Query_Interface!$B$10="All",$R5=Query_Interface!$B$10),OR(Query_Interface!$B$11="All",$T5=Query_Interface!$B$11),OR(Query_Interface!$B$12="All",$Q5=Query_Interface!$B$12)),1,0)</f>
        <v>1</v>
      </c>
      <c r="Z5" s="2" t="n">
        <f aca="false">IF($Y5=1,COUNTIF($Y$2:$Y5,1),"")</f>
        <v>4</v>
      </c>
    </row>
    <row r="6" customFormat="false" ht="23.85" hidden="false" customHeight="false" outlineLevel="0" collapsed="false">
      <c r="A6" s="2" t="s">
        <v>220</v>
      </c>
      <c r="B6" s="2" t="n">
        <v>5</v>
      </c>
      <c r="C6" s="2" t="s">
        <v>686</v>
      </c>
      <c r="D6" s="2" t="s">
        <v>34</v>
      </c>
      <c r="E6" s="2" t="s">
        <v>687</v>
      </c>
      <c r="F6" s="2" t="s">
        <v>49</v>
      </c>
      <c r="G6" s="2" t="s">
        <v>688</v>
      </c>
      <c r="H6" s="2" t="s">
        <v>36</v>
      </c>
      <c r="I6" s="2" t="s">
        <v>689</v>
      </c>
      <c r="J6" s="2" t="s">
        <v>221</v>
      </c>
      <c r="K6" s="2" t="s">
        <v>699</v>
      </c>
      <c r="L6" s="2" t="s">
        <v>75</v>
      </c>
      <c r="M6" s="2" t="s">
        <v>700</v>
      </c>
      <c r="N6" s="2" t="s">
        <v>141</v>
      </c>
      <c r="O6" s="2" t="n">
        <v>1</v>
      </c>
      <c r="P6" s="2" t="n">
        <v>1</v>
      </c>
      <c r="Q6" s="2" t="s">
        <v>61</v>
      </c>
      <c r="R6" s="2"/>
      <c r="S6" s="2" t="s">
        <v>215</v>
      </c>
      <c r="T6" s="2" t="s">
        <v>40</v>
      </c>
      <c r="U6" s="2"/>
      <c r="V6" s="2"/>
      <c r="W6" s="2" t="s">
        <v>212</v>
      </c>
      <c r="X6" s="2" t="s">
        <v>692</v>
      </c>
      <c r="Y6" s="2" t="n">
        <f aca="false">IF(AND(OR(Query_Interface!$B$5="All",$D6=Query_Interface!$B$5),OR(Query_Interface!$B$6="All",$F6=Query_Interface!$B$6),OR(Query_Interface!$B$7="All",$H6=Query_Interface!$B$7),OR(Query_Interface!$B$8="All",$N6=Query_Interface!$B$8),OR(Query_Interface!$B$9="All",$L6=Query_Interface!$B$9),OR(Query_Interface!$B$10="All",$R6=Query_Interface!$B$10),OR(Query_Interface!$B$11="All",$T6=Query_Interface!$B$11),OR(Query_Interface!$B$12="All",$Q6=Query_Interface!$B$12)),1,0)</f>
        <v>1</v>
      </c>
      <c r="Z6" s="2" t="n">
        <f aca="false">IF($Y6=1,COUNTIF($Y$2:$Y6,1),"")</f>
        <v>5</v>
      </c>
    </row>
    <row r="7" customFormat="false" ht="23.85" hidden="false" customHeight="false" outlineLevel="0" collapsed="false">
      <c r="A7" s="2" t="s">
        <v>222</v>
      </c>
      <c r="B7" s="2" t="n">
        <v>6</v>
      </c>
      <c r="C7" s="2" t="s">
        <v>686</v>
      </c>
      <c r="D7" s="2" t="s">
        <v>34</v>
      </c>
      <c r="E7" s="2" t="s">
        <v>687</v>
      </c>
      <c r="F7" s="2" t="s">
        <v>49</v>
      </c>
      <c r="G7" s="2" t="s">
        <v>688</v>
      </c>
      <c r="H7" s="2" t="s">
        <v>36</v>
      </c>
      <c r="I7" s="2" t="s">
        <v>689</v>
      </c>
      <c r="J7" s="2" t="s">
        <v>223</v>
      </c>
      <c r="K7" s="2" t="s">
        <v>701</v>
      </c>
      <c r="L7" s="2" t="s">
        <v>69</v>
      </c>
      <c r="M7" s="2" t="s">
        <v>702</v>
      </c>
      <c r="N7" s="2" t="s">
        <v>106</v>
      </c>
      <c r="O7" s="2" t="n">
        <v>1</v>
      </c>
      <c r="P7" s="2" t="n">
        <v>1</v>
      </c>
      <c r="Q7" s="2" t="s">
        <v>61</v>
      </c>
      <c r="R7" s="2"/>
      <c r="S7" s="2" t="s">
        <v>215</v>
      </c>
      <c r="T7" s="2" t="s">
        <v>40</v>
      </c>
      <c r="U7" s="2"/>
      <c r="V7" s="2"/>
      <c r="W7" s="2" t="s">
        <v>212</v>
      </c>
      <c r="X7" s="2" t="s">
        <v>692</v>
      </c>
      <c r="Y7" s="2" t="n">
        <f aca="false">IF(AND(OR(Query_Interface!$B$5="All",$D7=Query_Interface!$B$5),OR(Query_Interface!$B$6="All",$F7=Query_Interface!$B$6),OR(Query_Interface!$B$7="All",$H7=Query_Interface!$B$7),OR(Query_Interface!$B$8="All",$N7=Query_Interface!$B$8),OR(Query_Interface!$B$9="All",$L7=Query_Interface!$B$9),OR(Query_Interface!$B$10="All",$R7=Query_Interface!$B$10),OR(Query_Interface!$B$11="All",$T7=Query_Interface!$B$11),OR(Query_Interface!$B$12="All",$Q7=Query_Interface!$B$12)),1,0)</f>
        <v>1</v>
      </c>
      <c r="Z7" s="2" t="n">
        <f aca="false">IF($Y7=1,COUNTIF($Y$2:$Y7,1),"")</f>
        <v>6</v>
      </c>
    </row>
    <row r="8" customFormat="false" ht="23.85" hidden="false" customHeight="false" outlineLevel="0" collapsed="false">
      <c r="A8" s="2" t="s">
        <v>224</v>
      </c>
      <c r="B8" s="2" t="n">
        <v>7</v>
      </c>
      <c r="C8" s="2" t="s">
        <v>686</v>
      </c>
      <c r="D8" s="2" t="s">
        <v>34</v>
      </c>
      <c r="E8" s="2" t="s">
        <v>687</v>
      </c>
      <c r="F8" s="2" t="s">
        <v>49</v>
      </c>
      <c r="G8" s="2" t="s">
        <v>688</v>
      </c>
      <c r="H8" s="2" t="s">
        <v>36</v>
      </c>
      <c r="I8" s="2" t="s">
        <v>689</v>
      </c>
      <c r="J8" s="2" t="s">
        <v>225</v>
      </c>
      <c r="K8" s="2" t="s">
        <v>703</v>
      </c>
      <c r="L8" s="2" t="s">
        <v>75</v>
      </c>
      <c r="M8" s="2" t="s">
        <v>700</v>
      </c>
      <c r="N8" s="2" t="s">
        <v>141</v>
      </c>
      <c r="O8" s="2" t="n">
        <v>1</v>
      </c>
      <c r="P8" s="2" t="n">
        <v>1</v>
      </c>
      <c r="Q8" s="2" t="s">
        <v>61</v>
      </c>
      <c r="R8" s="2"/>
      <c r="S8" s="2" t="s">
        <v>215</v>
      </c>
      <c r="T8" s="2" t="s">
        <v>40</v>
      </c>
      <c r="U8" s="2"/>
      <c r="V8" s="2"/>
      <c r="W8" s="2" t="s">
        <v>212</v>
      </c>
      <c r="X8" s="2" t="s">
        <v>692</v>
      </c>
      <c r="Y8" s="2" t="n">
        <f aca="false">IF(AND(OR(Query_Interface!$B$5="All",$D8=Query_Interface!$B$5),OR(Query_Interface!$B$6="All",$F8=Query_Interface!$B$6),OR(Query_Interface!$B$7="All",$H8=Query_Interface!$B$7),OR(Query_Interface!$B$8="All",$N8=Query_Interface!$B$8),OR(Query_Interface!$B$9="All",$L8=Query_Interface!$B$9),OR(Query_Interface!$B$10="All",$R8=Query_Interface!$B$10),OR(Query_Interface!$B$11="All",$T8=Query_Interface!$B$11),OR(Query_Interface!$B$12="All",$Q8=Query_Interface!$B$12)),1,0)</f>
        <v>1</v>
      </c>
      <c r="Z8" s="2" t="n">
        <f aca="false">IF($Y8=1,COUNTIF($Y$2:$Y8,1),"")</f>
        <v>7</v>
      </c>
    </row>
    <row r="9" customFormat="false" ht="35.05" hidden="false" customHeight="false" outlineLevel="0" collapsed="false">
      <c r="A9" s="2" t="s">
        <v>226</v>
      </c>
      <c r="B9" s="2" t="n">
        <v>8</v>
      </c>
      <c r="C9" s="2" t="s">
        <v>686</v>
      </c>
      <c r="D9" s="2" t="s">
        <v>34</v>
      </c>
      <c r="E9" s="2" t="s">
        <v>687</v>
      </c>
      <c r="F9" s="2" t="s">
        <v>49</v>
      </c>
      <c r="G9" s="2" t="s">
        <v>688</v>
      </c>
      <c r="H9" s="2" t="s">
        <v>36</v>
      </c>
      <c r="I9" s="2" t="s">
        <v>689</v>
      </c>
      <c r="J9" s="2" t="s">
        <v>227</v>
      </c>
      <c r="K9" s="2" t="s">
        <v>704</v>
      </c>
      <c r="L9" s="2" t="s">
        <v>75</v>
      </c>
      <c r="M9" s="2" t="s">
        <v>705</v>
      </c>
      <c r="N9" s="2" t="s">
        <v>98</v>
      </c>
      <c r="O9" s="2" t="n">
        <v>1</v>
      </c>
      <c r="P9" s="2" t="n">
        <v>2</v>
      </c>
      <c r="Q9" s="2" t="s">
        <v>41</v>
      </c>
      <c r="R9" s="2"/>
      <c r="S9" s="2" t="s">
        <v>215</v>
      </c>
      <c r="T9" s="2" t="s">
        <v>40</v>
      </c>
      <c r="U9" s="2"/>
      <c r="V9" s="2"/>
      <c r="W9" s="2" t="s">
        <v>212</v>
      </c>
      <c r="X9" s="2" t="s">
        <v>692</v>
      </c>
      <c r="Y9" s="2" t="n">
        <f aca="false">IF(AND(OR(Query_Interface!$B$5="All",$D9=Query_Interface!$B$5),OR(Query_Interface!$B$6="All",$F9=Query_Interface!$B$6),OR(Query_Interface!$B$7="All",$H9=Query_Interface!$B$7),OR(Query_Interface!$B$8="All",$N9=Query_Interface!$B$8),OR(Query_Interface!$B$9="All",$L9=Query_Interface!$B$9),OR(Query_Interface!$B$10="All",$R9=Query_Interface!$B$10),OR(Query_Interface!$B$11="All",$T9=Query_Interface!$B$11),OR(Query_Interface!$B$12="All",$Q9=Query_Interface!$B$12)),1,0)</f>
        <v>1</v>
      </c>
      <c r="Z9" s="2" t="n">
        <f aca="false">IF($Y9=1,COUNTIF($Y$2:$Y9,1),"")</f>
        <v>8</v>
      </c>
    </row>
    <row r="10" customFormat="false" ht="35.05" hidden="false" customHeight="false" outlineLevel="0" collapsed="false">
      <c r="A10" s="2" t="s">
        <v>226</v>
      </c>
      <c r="B10" s="2" t="n">
        <v>8</v>
      </c>
      <c r="C10" s="2" t="s">
        <v>686</v>
      </c>
      <c r="D10" s="2" t="s">
        <v>34</v>
      </c>
      <c r="E10" s="2" t="s">
        <v>687</v>
      </c>
      <c r="F10" s="2" t="s">
        <v>49</v>
      </c>
      <c r="G10" s="2" t="s">
        <v>688</v>
      </c>
      <c r="H10" s="2" t="s">
        <v>36</v>
      </c>
      <c r="I10" s="2" t="s">
        <v>689</v>
      </c>
      <c r="J10" s="2" t="s">
        <v>227</v>
      </c>
      <c r="K10" s="2" t="s">
        <v>704</v>
      </c>
      <c r="L10" s="2" t="s">
        <v>75</v>
      </c>
      <c r="M10" s="2" t="s">
        <v>700</v>
      </c>
      <c r="N10" s="2" t="s">
        <v>141</v>
      </c>
      <c r="O10" s="2" t="n">
        <v>2</v>
      </c>
      <c r="P10" s="2" t="n">
        <v>2</v>
      </c>
      <c r="Q10" s="2" t="s">
        <v>41</v>
      </c>
      <c r="R10" s="2"/>
      <c r="S10" s="2" t="s">
        <v>215</v>
      </c>
      <c r="T10" s="2" t="s">
        <v>40</v>
      </c>
      <c r="U10" s="2"/>
      <c r="V10" s="2"/>
      <c r="W10" s="2" t="s">
        <v>212</v>
      </c>
      <c r="X10" s="2" t="s">
        <v>692</v>
      </c>
      <c r="Y10" s="2" t="n">
        <f aca="false">IF(AND(OR(Query_Interface!$B$5="All",$D10=Query_Interface!$B$5),OR(Query_Interface!$B$6="All",$F10=Query_Interface!$B$6),OR(Query_Interface!$B$7="All",$H10=Query_Interface!$B$7),OR(Query_Interface!$B$8="All",$N10=Query_Interface!$B$8),OR(Query_Interface!$B$9="All",$L10=Query_Interface!$B$9),OR(Query_Interface!$B$10="All",$R10=Query_Interface!$B$10),OR(Query_Interface!$B$11="All",$T10=Query_Interface!$B$11),OR(Query_Interface!$B$12="All",$Q10=Query_Interface!$B$12)),1,0)</f>
        <v>1</v>
      </c>
      <c r="Z10" s="2" t="n">
        <f aca="false">IF($Y10=1,COUNTIF($Y$2:$Y10,1),"")</f>
        <v>9</v>
      </c>
    </row>
    <row r="11" customFormat="false" ht="23.85" hidden="false" customHeight="false" outlineLevel="0" collapsed="false">
      <c r="A11" s="2" t="s">
        <v>228</v>
      </c>
      <c r="B11" s="2" t="n">
        <v>9</v>
      </c>
      <c r="C11" s="2" t="s">
        <v>686</v>
      </c>
      <c r="D11" s="2" t="s">
        <v>34</v>
      </c>
      <c r="E11" s="2" t="s">
        <v>687</v>
      </c>
      <c r="F11" s="2" t="s">
        <v>49</v>
      </c>
      <c r="G11" s="2" t="s">
        <v>688</v>
      </c>
      <c r="H11" s="2" t="s">
        <v>36</v>
      </c>
      <c r="I11" s="2" t="s">
        <v>689</v>
      </c>
      <c r="J11" s="2" t="s">
        <v>229</v>
      </c>
      <c r="K11" s="2" t="s">
        <v>706</v>
      </c>
      <c r="L11" s="2" t="s">
        <v>45</v>
      </c>
      <c r="M11" s="2" t="s">
        <v>707</v>
      </c>
      <c r="N11" s="2" t="s">
        <v>74</v>
      </c>
      <c r="O11" s="2" t="n">
        <v>1</v>
      </c>
      <c r="P11" s="2" t="n">
        <v>1</v>
      </c>
      <c r="Q11" s="2" t="s">
        <v>61</v>
      </c>
      <c r="R11" s="2"/>
      <c r="S11" s="2" t="s">
        <v>230</v>
      </c>
      <c r="T11" s="2" t="s">
        <v>47</v>
      </c>
      <c r="U11" s="2"/>
      <c r="V11" s="2"/>
      <c r="W11" s="2" t="s">
        <v>212</v>
      </c>
      <c r="X11" s="2" t="s">
        <v>692</v>
      </c>
      <c r="Y11" s="2" t="n">
        <f aca="false">IF(AND(OR(Query_Interface!$B$5="All",$D11=Query_Interface!$B$5),OR(Query_Interface!$B$6="All",$F11=Query_Interface!$B$6),OR(Query_Interface!$B$7="All",$H11=Query_Interface!$B$7),OR(Query_Interface!$B$8="All",$N11=Query_Interface!$B$8),OR(Query_Interface!$B$9="All",$L11=Query_Interface!$B$9),OR(Query_Interface!$B$10="All",$R11=Query_Interface!$B$10),OR(Query_Interface!$B$11="All",$T11=Query_Interface!$B$11),OR(Query_Interface!$B$12="All",$Q11=Query_Interface!$B$12)),1,0)</f>
        <v>1</v>
      </c>
      <c r="Z11" s="2" t="n">
        <f aca="false">IF($Y11=1,COUNTIF($Y$2:$Y11,1),"")</f>
        <v>10</v>
      </c>
    </row>
    <row r="12" customFormat="false" ht="23.85" hidden="false" customHeight="false" outlineLevel="0" collapsed="false">
      <c r="A12" s="2" t="s">
        <v>231</v>
      </c>
      <c r="B12" s="2" t="n">
        <v>10</v>
      </c>
      <c r="C12" s="2" t="s">
        <v>686</v>
      </c>
      <c r="D12" s="2" t="s">
        <v>34</v>
      </c>
      <c r="E12" s="2" t="s">
        <v>687</v>
      </c>
      <c r="F12" s="2" t="s">
        <v>49</v>
      </c>
      <c r="G12" s="2" t="s">
        <v>688</v>
      </c>
      <c r="H12" s="2" t="s">
        <v>36</v>
      </c>
      <c r="I12" s="2" t="s">
        <v>689</v>
      </c>
      <c r="J12" s="2" t="s">
        <v>232</v>
      </c>
      <c r="K12" s="2" t="s">
        <v>708</v>
      </c>
      <c r="L12" s="2" t="s">
        <v>45</v>
      </c>
      <c r="M12" s="2" t="s">
        <v>709</v>
      </c>
      <c r="N12" s="2" t="s">
        <v>70</v>
      </c>
      <c r="O12" s="2" t="n">
        <v>1</v>
      </c>
      <c r="P12" s="2" t="n">
        <v>1</v>
      </c>
      <c r="Q12" s="2" t="s">
        <v>61</v>
      </c>
      <c r="R12" s="2"/>
      <c r="S12" s="2" t="s">
        <v>233</v>
      </c>
      <c r="T12" s="2" t="s">
        <v>47</v>
      </c>
      <c r="U12" s="2"/>
      <c r="V12" s="2"/>
      <c r="W12" s="2" t="s">
        <v>212</v>
      </c>
      <c r="X12" s="2" t="s">
        <v>692</v>
      </c>
      <c r="Y12" s="2" t="n">
        <f aca="false">IF(AND(OR(Query_Interface!$B$5="All",$D12=Query_Interface!$B$5),OR(Query_Interface!$B$6="All",$F12=Query_Interface!$B$6),OR(Query_Interface!$B$7="All",$H12=Query_Interface!$B$7),OR(Query_Interface!$B$8="All",$N12=Query_Interface!$B$8),OR(Query_Interface!$B$9="All",$L12=Query_Interface!$B$9),OR(Query_Interface!$B$10="All",$R12=Query_Interface!$B$10),OR(Query_Interface!$B$11="All",$T12=Query_Interface!$B$11),OR(Query_Interface!$B$12="All",$Q12=Query_Interface!$B$12)),1,0)</f>
        <v>1</v>
      </c>
      <c r="Z12" s="2" t="n">
        <f aca="false">IF($Y12=1,COUNTIF($Y$2:$Y12,1),"")</f>
        <v>11</v>
      </c>
    </row>
    <row r="13" customFormat="false" ht="23.85" hidden="false" customHeight="false" outlineLevel="0" collapsed="false">
      <c r="A13" s="2" t="s">
        <v>234</v>
      </c>
      <c r="B13" s="2" t="n">
        <v>11</v>
      </c>
      <c r="C13" s="2" t="s">
        <v>686</v>
      </c>
      <c r="D13" s="2" t="s">
        <v>34</v>
      </c>
      <c r="E13" s="2" t="s">
        <v>687</v>
      </c>
      <c r="F13" s="2" t="s">
        <v>49</v>
      </c>
      <c r="G13" s="2" t="s">
        <v>688</v>
      </c>
      <c r="H13" s="2" t="s">
        <v>36</v>
      </c>
      <c r="I13" s="2" t="s">
        <v>689</v>
      </c>
      <c r="J13" s="2" t="s">
        <v>235</v>
      </c>
      <c r="K13" s="2" t="s">
        <v>710</v>
      </c>
      <c r="L13" s="2" t="s">
        <v>45</v>
      </c>
      <c r="M13" s="2" t="s">
        <v>711</v>
      </c>
      <c r="N13" s="2" t="s">
        <v>79</v>
      </c>
      <c r="O13" s="2" t="n">
        <v>1</v>
      </c>
      <c r="P13" s="2" t="n">
        <v>1</v>
      </c>
      <c r="Q13" s="2" t="s">
        <v>61</v>
      </c>
      <c r="R13" s="2"/>
      <c r="S13" s="2" t="s">
        <v>233</v>
      </c>
      <c r="T13" s="2" t="s">
        <v>47</v>
      </c>
      <c r="U13" s="2"/>
      <c r="V13" s="2"/>
      <c r="W13" s="2" t="s">
        <v>212</v>
      </c>
      <c r="X13" s="2" t="s">
        <v>692</v>
      </c>
      <c r="Y13" s="2" t="n">
        <f aca="false">IF(AND(OR(Query_Interface!$B$5="All",$D13=Query_Interface!$B$5),OR(Query_Interface!$B$6="All",$F13=Query_Interface!$B$6),OR(Query_Interface!$B$7="All",$H13=Query_Interface!$B$7),OR(Query_Interface!$B$8="All",$N13=Query_Interface!$B$8),OR(Query_Interface!$B$9="All",$L13=Query_Interface!$B$9),OR(Query_Interface!$B$10="All",$R13=Query_Interface!$B$10),OR(Query_Interface!$B$11="All",$T13=Query_Interface!$B$11),OR(Query_Interface!$B$12="All",$Q13=Query_Interface!$B$12)),1,0)</f>
        <v>1</v>
      </c>
      <c r="Z13" s="2" t="n">
        <f aca="false">IF($Y13=1,COUNTIF($Y$2:$Y13,1),"")</f>
        <v>12</v>
      </c>
    </row>
    <row r="14" customFormat="false" ht="35.05" hidden="false" customHeight="false" outlineLevel="0" collapsed="false">
      <c r="A14" s="2" t="s">
        <v>236</v>
      </c>
      <c r="B14" s="2" t="n">
        <v>12</v>
      </c>
      <c r="C14" s="2" t="s">
        <v>686</v>
      </c>
      <c r="D14" s="2" t="s">
        <v>34</v>
      </c>
      <c r="E14" s="2" t="s">
        <v>687</v>
      </c>
      <c r="F14" s="2" t="s">
        <v>49</v>
      </c>
      <c r="G14" s="2" t="s">
        <v>688</v>
      </c>
      <c r="H14" s="2" t="s">
        <v>36</v>
      </c>
      <c r="I14" s="2" t="s">
        <v>689</v>
      </c>
      <c r="J14" s="2" t="s">
        <v>237</v>
      </c>
      <c r="K14" s="2" t="s">
        <v>712</v>
      </c>
      <c r="L14" s="2" t="s">
        <v>45</v>
      </c>
      <c r="M14" s="2" t="s">
        <v>713</v>
      </c>
      <c r="N14" s="2" t="s">
        <v>94</v>
      </c>
      <c r="O14" s="2" t="n">
        <v>1</v>
      </c>
      <c r="P14" s="2" t="n">
        <v>1</v>
      </c>
      <c r="Q14" s="2" t="s">
        <v>61</v>
      </c>
      <c r="R14" s="2"/>
      <c r="S14" s="2" t="s">
        <v>215</v>
      </c>
      <c r="T14" s="2" t="s">
        <v>47</v>
      </c>
      <c r="U14" s="2"/>
      <c r="V14" s="2"/>
      <c r="W14" s="2" t="s">
        <v>212</v>
      </c>
      <c r="X14" s="2" t="s">
        <v>692</v>
      </c>
      <c r="Y14" s="2" t="n">
        <f aca="false">IF(AND(OR(Query_Interface!$B$5="All",$D14=Query_Interface!$B$5),OR(Query_Interface!$B$6="All",$F14=Query_Interface!$B$6),OR(Query_Interface!$B$7="All",$H14=Query_Interface!$B$7),OR(Query_Interface!$B$8="All",$N14=Query_Interface!$B$8),OR(Query_Interface!$B$9="All",$L14=Query_Interface!$B$9),OR(Query_Interface!$B$10="All",$R14=Query_Interface!$B$10),OR(Query_Interface!$B$11="All",$T14=Query_Interface!$B$11),OR(Query_Interface!$B$12="All",$Q14=Query_Interface!$B$12)),1,0)</f>
        <v>1</v>
      </c>
      <c r="Z14" s="2" t="n">
        <f aca="false">IF($Y14=1,COUNTIF($Y$2:$Y14,1),"")</f>
        <v>13</v>
      </c>
    </row>
    <row r="15" customFormat="false" ht="23.85" hidden="false" customHeight="false" outlineLevel="0" collapsed="false">
      <c r="A15" s="2" t="s">
        <v>238</v>
      </c>
      <c r="B15" s="2" t="n">
        <v>13</v>
      </c>
      <c r="C15" s="2" t="s">
        <v>686</v>
      </c>
      <c r="D15" s="2" t="s">
        <v>34</v>
      </c>
      <c r="E15" s="2" t="s">
        <v>687</v>
      </c>
      <c r="F15" s="2" t="s">
        <v>49</v>
      </c>
      <c r="G15" s="2" t="s">
        <v>688</v>
      </c>
      <c r="H15" s="2" t="s">
        <v>36</v>
      </c>
      <c r="I15" s="2" t="s">
        <v>689</v>
      </c>
      <c r="J15" s="2" t="s">
        <v>239</v>
      </c>
      <c r="K15" s="2" t="s">
        <v>714</v>
      </c>
      <c r="L15" s="2" t="s">
        <v>45</v>
      </c>
      <c r="M15" s="2" t="s">
        <v>713</v>
      </c>
      <c r="N15" s="2" t="s">
        <v>94</v>
      </c>
      <c r="O15" s="2" t="n">
        <v>1</v>
      </c>
      <c r="P15" s="2" t="n">
        <v>2</v>
      </c>
      <c r="Q15" s="2" t="s">
        <v>41</v>
      </c>
      <c r="R15" s="2"/>
      <c r="S15" s="2" t="s">
        <v>230</v>
      </c>
      <c r="T15" s="2" t="s">
        <v>47</v>
      </c>
      <c r="U15" s="2"/>
      <c r="V15" s="2"/>
      <c r="W15" s="2" t="s">
        <v>212</v>
      </c>
      <c r="X15" s="2" t="s">
        <v>692</v>
      </c>
      <c r="Y15" s="2" t="n">
        <f aca="false">IF(AND(OR(Query_Interface!$B$5="All",$D15=Query_Interface!$B$5),OR(Query_Interface!$B$6="All",$F15=Query_Interface!$B$6),OR(Query_Interface!$B$7="All",$H15=Query_Interface!$B$7),OR(Query_Interface!$B$8="All",$N15=Query_Interface!$B$8),OR(Query_Interface!$B$9="All",$L15=Query_Interface!$B$9),OR(Query_Interface!$B$10="All",$R15=Query_Interface!$B$10),OR(Query_Interface!$B$11="All",$T15=Query_Interface!$B$11),OR(Query_Interface!$B$12="All",$Q15=Query_Interface!$B$12)),1,0)</f>
        <v>1</v>
      </c>
      <c r="Z15" s="2" t="n">
        <f aca="false">IF($Y15=1,COUNTIF($Y$2:$Y15,1),"")</f>
        <v>14</v>
      </c>
    </row>
    <row r="16" customFormat="false" ht="23.85" hidden="false" customHeight="false" outlineLevel="0" collapsed="false">
      <c r="A16" s="2" t="s">
        <v>238</v>
      </c>
      <c r="B16" s="2" t="n">
        <v>13</v>
      </c>
      <c r="C16" s="2" t="s">
        <v>686</v>
      </c>
      <c r="D16" s="2" t="s">
        <v>34</v>
      </c>
      <c r="E16" s="2" t="s">
        <v>687</v>
      </c>
      <c r="F16" s="2" t="s">
        <v>49</v>
      </c>
      <c r="G16" s="2" t="s">
        <v>688</v>
      </c>
      <c r="H16" s="2" t="s">
        <v>36</v>
      </c>
      <c r="I16" s="2" t="s">
        <v>689</v>
      </c>
      <c r="J16" s="2" t="s">
        <v>239</v>
      </c>
      <c r="K16" s="2" t="s">
        <v>714</v>
      </c>
      <c r="L16" s="2" t="s">
        <v>45</v>
      </c>
      <c r="M16" s="2" t="s">
        <v>715</v>
      </c>
      <c r="N16" s="2" t="s">
        <v>96</v>
      </c>
      <c r="O16" s="2" t="n">
        <v>2</v>
      </c>
      <c r="P16" s="2" t="n">
        <v>2</v>
      </c>
      <c r="Q16" s="2" t="s">
        <v>41</v>
      </c>
      <c r="R16" s="2"/>
      <c r="S16" s="2" t="s">
        <v>230</v>
      </c>
      <c r="T16" s="2" t="s">
        <v>47</v>
      </c>
      <c r="U16" s="2"/>
      <c r="V16" s="2"/>
      <c r="W16" s="2" t="s">
        <v>212</v>
      </c>
      <c r="X16" s="2" t="s">
        <v>692</v>
      </c>
      <c r="Y16" s="2" t="n">
        <f aca="false">IF(AND(OR(Query_Interface!$B$5="All",$D16=Query_Interface!$B$5),OR(Query_Interface!$B$6="All",$F16=Query_Interface!$B$6),OR(Query_Interface!$B$7="All",$H16=Query_Interface!$B$7),OR(Query_Interface!$B$8="All",$N16=Query_Interface!$B$8),OR(Query_Interface!$B$9="All",$L16=Query_Interface!$B$9),OR(Query_Interface!$B$10="All",$R16=Query_Interface!$B$10),OR(Query_Interface!$B$11="All",$T16=Query_Interface!$B$11),OR(Query_Interface!$B$12="All",$Q16=Query_Interface!$B$12)),1,0)</f>
        <v>1</v>
      </c>
      <c r="Z16" s="2" t="n">
        <f aca="false">IF($Y16=1,COUNTIF($Y$2:$Y16,1),"")</f>
        <v>15</v>
      </c>
    </row>
    <row r="17" customFormat="false" ht="23.85" hidden="false" customHeight="false" outlineLevel="0" collapsed="false">
      <c r="A17" s="2" t="s">
        <v>240</v>
      </c>
      <c r="B17" s="2" t="n">
        <v>14</v>
      </c>
      <c r="C17" s="2" t="s">
        <v>686</v>
      </c>
      <c r="D17" s="2" t="s">
        <v>34</v>
      </c>
      <c r="E17" s="2" t="s">
        <v>687</v>
      </c>
      <c r="F17" s="2" t="s">
        <v>49</v>
      </c>
      <c r="G17" s="2" t="s">
        <v>688</v>
      </c>
      <c r="H17" s="2" t="s">
        <v>36</v>
      </c>
      <c r="I17" s="2" t="s">
        <v>689</v>
      </c>
      <c r="J17" s="2" t="s">
        <v>241</v>
      </c>
      <c r="K17" s="2" t="s">
        <v>716</v>
      </c>
      <c r="L17" s="2" t="s">
        <v>45</v>
      </c>
      <c r="M17" s="2" t="s">
        <v>717</v>
      </c>
      <c r="N17" s="2" t="s">
        <v>76</v>
      </c>
      <c r="O17" s="2" t="n">
        <v>1</v>
      </c>
      <c r="P17" s="2" t="n">
        <v>1</v>
      </c>
      <c r="Q17" s="2" t="s">
        <v>61</v>
      </c>
      <c r="R17" s="2"/>
      <c r="S17" s="2" t="s">
        <v>215</v>
      </c>
      <c r="T17" s="2" t="s">
        <v>47</v>
      </c>
      <c r="U17" s="2"/>
      <c r="V17" s="2"/>
      <c r="W17" s="2" t="s">
        <v>212</v>
      </c>
      <c r="X17" s="2" t="s">
        <v>692</v>
      </c>
      <c r="Y17" s="2" t="n">
        <f aca="false">IF(AND(OR(Query_Interface!$B$5="All",$D17=Query_Interface!$B$5),OR(Query_Interface!$B$6="All",$F17=Query_Interface!$B$6),OR(Query_Interface!$B$7="All",$H17=Query_Interface!$B$7),OR(Query_Interface!$B$8="All",$N17=Query_Interface!$B$8),OR(Query_Interface!$B$9="All",$L17=Query_Interface!$B$9),OR(Query_Interface!$B$10="All",$R17=Query_Interface!$B$10),OR(Query_Interface!$B$11="All",$T17=Query_Interface!$B$11),OR(Query_Interface!$B$12="All",$Q17=Query_Interface!$B$12)),1,0)</f>
        <v>1</v>
      </c>
      <c r="Z17" s="2" t="n">
        <f aca="false">IF($Y17=1,COUNTIF($Y$2:$Y17,1),"")</f>
        <v>16</v>
      </c>
    </row>
    <row r="18" customFormat="false" ht="35.05" hidden="false" customHeight="false" outlineLevel="0" collapsed="false">
      <c r="A18" s="2" t="s">
        <v>242</v>
      </c>
      <c r="B18" s="2" t="n">
        <v>15</v>
      </c>
      <c r="C18" s="2" t="s">
        <v>686</v>
      </c>
      <c r="D18" s="2" t="s">
        <v>34</v>
      </c>
      <c r="E18" s="2" t="s">
        <v>687</v>
      </c>
      <c r="F18" s="2" t="s">
        <v>49</v>
      </c>
      <c r="G18" s="2" t="s">
        <v>688</v>
      </c>
      <c r="H18" s="2" t="s">
        <v>36</v>
      </c>
      <c r="I18" s="2" t="s">
        <v>689</v>
      </c>
      <c r="J18" s="2" t="s">
        <v>243</v>
      </c>
      <c r="K18" s="2" t="s">
        <v>718</v>
      </c>
      <c r="L18" s="2" t="s">
        <v>45</v>
      </c>
      <c r="M18" s="2" t="s">
        <v>715</v>
      </c>
      <c r="N18" s="2" t="s">
        <v>96</v>
      </c>
      <c r="O18" s="2" t="n">
        <v>1</v>
      </c>
      <c r="P18" s="2" t="n">
        <v>1</v>
      </c>
      <c r="Q18" s="2" t="s">
        <v>61</v>
      </c>
      <c r="R18" s="2"/>
      <c r="S18" s="2" t="s">
        <v>215</v>
      </c>
      <c r="T18" s="2" t="s">
        <v>47</v>
      </c>
      <c r="U18" s="2"/>
      <c r="V18" s="2"/>
      <c r="W18" s="2" t="s">
        <v>212</v>
      </c>
      <c r="X18" s="2" t="s">
        <v>692</v>
      </c>
      <c r="Y18" s="2" t="n">
        <f aca="false">IF(AND(OR(Query_Interface!$B$5="All",$D18=Query_Interface!$B$5),OR(Query_Interface!$B$6="All",$F18=Query_Interface!$B$6),OR(Query_Interface!$B$7="All",$H18=Query_Interface!$B$7),OR(Query_Interface!$B$8="All",$N18=Query_Interface!$B$8),OR(Query_Interface!$B$9="All",$L18=Query_Interface!$B$9),OR(Query_Interface!$B$10="All",$R18=Query_Interface!$B$10),OR(Query_Interface!$B$11="All",$T18=Query_Interface!$B$11),OR(Query_Interface!$B$12="All",$Q18=Query_Interface!$B$12)),1,0)</f>
        <v>1</v>
      </c>
      <c r="Z18" s="2" t="n">
        <f aca="false">IF($Y18=1,COUNTIF($Y$2:$Y18,1),"")</f>
        <v>17</v>
      </c>
    </row>
    <row r="19" customFormat="false" ht="23.85" hidden="false" customHeight="false" outlineLevel="0" collapsed="false">
      <c r="A19" s="2" t="s">
        <v>244</v>
      </c>
      <c r="B19" s="2" t="n">
        <v>16</v>
      </c>
      <c r="C19" s="2" t="s">
        <v>686</v>
      </c>
      <c r="D19" s="2" t="s">
        <v>34</v>
      </c>
      <c r="E19" s="2" t="s">
        <v>687</v>
      </c>
      <c r="F19" s="2" t="s">
        <v>49</v>
      </c>
      <c r="G19" s="2" t="s">
        <v>688</v>
      </c>
      <c r="H19" s="2" t="s">
        <v>36</v>
      </c>
      <c r="I19" s="2" t="s">
        <v>689</v>
      </c>
      <c r="J19" s="2" t="s">
        <v>245</v>
      </c>
      <c r="K19" s="2" t="s">
        <v>719</v>
      </c>
      <c r="L19" s="2" t="s">
        <v>71</v>
      </c>
      <c r="M19" s="2" t="s">
        <v>720</v>
      </c>
      <c r="N19" s="2" t="s">
        <v>121</v>
      </c>
      <c r="O19" s="2" t="n">
        <v>1</v>
      </c>
      <c r="P19" s="2" t="n">
        <v>1</v>
      </c>
      <c r="Q19" s="2" t="s">
        <v>61</v>
      </c>
      <c r="R19" s="2"/>
      <c r="S19" s="2" t="s">
        <v>233</v>
      </c>
      <c r="T19" s="2" t="s">
        <v>47</v>
      </c>
      <c r="U19" s="2"/>
      <c r="V19" s="2"/>
      <c r="W19" s="2" t="s">
        <v>212</v>
      </c>
      <c r="X19" s="2" t="s">
        <v>692</v>
      </c>
      <c r="Y19" s="2" t="n">
        <f aca="false">IF(AND(OR(Query_Interface!$B$5="All",$D19=Query_Interface!$B$5),OR(Query_Interface!$B$6="All",$F19=Query_Interface!$B$6),OR(Query_Interface!$B$7="All",$H19=Query_Interface!$B$7),OR(Query_Interface!$B$8="All",$N19=Query_Interface!$B$8),OR(Query_Interface!$B$9="All",$L19=Query_Interface!$B$9),OR(Query_Interface!$B$10="All",$R19=Query_Interface!$B$10),OR(Query_Interface!$B$11="All",$T19=Query_Interface!$B$11),OR(Query_Interface!$B$12="All",$Q19=Query_Interface!$B$12)),1,0)</f>
        <v>1</v>
      </c>
      <c r="Z19" s="2" t="n">
        <f aca="false">IF($Y19=1,COUNTIF($Y$2:$Y19,1),"")</f>
        <v>18</v>
      </c>
    </row>
    <row r="20" customFormat="false" ht="35.05" hidden="false" customHeight="false" outlineLevel="0" collapsed="false">
      <c r="A20" s="2" t="s">
        <v>246</v>
      </c>
      <c r="B20" s="2" t="n">
        <v>17</v>
      </c>
      <c r="C20" s="2" t="s">
        <v>686</v>
      </c>
      <c r="D20" s="2" t="s">
        <v>34</v>
      </c>
      <c r="E20" s="2" t="s">
        <v>687</v>
      </c>
      <c r="F20" s="2" t="s">
        <v>49</v>
      </c>
      <c r="G20" s="2" t="s">
        <v>688</v>
      </c>
      <c r="H20" s="2" t="s">
        <v>36</v>
      </c>
      <c r="I20" s="2" t="s">
        <v>689</v>
      </c>
      <c r="J20" s="2" t="s">
        <v>247</v>
      </c>
      <c r="K20" s="2" t="s">
        <v>721</v>
      </c>
      <c r="L20" s="2" t="s">
        <v>45</v>
      </c>
      <c r="M20" s="2" t="s">
        <v>722</v>
      </c>
      <c r="N20" s="2" t="s">
        <v>72</v>
      </c>
      <c r="O20" s="2" t="n">
        <v>1</v>
      </c>
      <c r="P20" s="2" t="n">
        <v>1</v>
      </c>
      <c r="Q20" s="2" t="s">
        <v>61</v>
      </c>
      <c r="R20" s="2"/>
      <c r="S20" s="2" t="s">
        <v>211</v>
      </c>
      <c r="T20" s="2" t="s">
        <v>40</v>
      </c>
      <c r="U20" s="2"/>
      <c r="V20" s="2"/>
      <c r="W20" s="2" t="s">
        <v>212</v>
      </c>
      <c r="X20" s="2" t="s">
        <v>692</v>
      </c>
      <c r="Y20" s="2" t="n">
        <f aca="false">IF(AND(OR(Query_Interface!$B$5="All",$D20=Query_Interface!$B$5),OR(Query_Interface!$B$6="All",$F20=Query_Interface!$B$6),OR(Query_Interface!$B$7="All",$H20=Query_Interface!$B$7),OR(Query_Interface!$B$8="All",$N20=Query_Interface!$B$8),OR(Query_Interface!$B$9="All",$L20=Query_Interface!$B$9),OR(Query_Interface!$B$10="All",$R20=Query_Interface!$B$10),OR(Query_Interface!$B$11="All",$T20=Query_Interface!$B$11),OR(Query_Interface!$B$12="All",$Q20=Query_Interface!$B$12)),1,0)</f>
        <v>1</v>
      </c>
      <c r="Z20" s="2" t="n">
        <f aca="false">IF($Y20=1,COUNTIF($Y$2:$Y20,1),"")</f>
        <v>19</v>
      </c>
    </row>
    <row r="21" customFormat="false" ht="23.85" hidden="false" customHeight="false" outlineLevel="0" collapsed="false">
      <c r="A21" s="2" t="s">
        <v>248</v>
      </c>
      <c r="B21" s="2" t="n">
        <v>18</v>
      </c>
      <c r="C21" s="2" t="s">
        <v>686</v>
      </c>
      <c r="D21" s="2" t="s">
        <v>34</v>
      </c>
      <c r="E21" s="2" t="s">
        <v>687</v>
      </c>
      <c r="F21" s="2" t="s">
        <v>49</v>
      </c>
      <c r="G21" s="2" t="s">
        <v>688</v>
      </c>
      <c r="H21" s="2" t="s">
        <v>36</v>
      </c>
      <c r="I21" s="2" t="s">
        <v>689</v>
      </c>
      <c r="J21" s="2" t="s">
        <v>249</v>
      </c>
      <c r="K21" s="2" t="s">
        <v>723</v>
      </c>
      <c r="L21" s="2" t="s">
        <v>75</v>
      </c>
      <c r="M21" s="2" t="s">
        <v>724</v>
      </c>
      <c r="N21" s="2" t="s">
        <v>142</v>
      </c>
      <c r="O21" s="2" t="n">
        <v>1</v>
      </c>
      <c r="P21" s="2" t="n">
        <v>1</v>
      </c>
      <c r="Q21" s="2" t="s">
        <v>61</v>
      </c>
      <c r="R21" s="2"/>
      <c r="S21" s="2" t="s">
        <v>215</v>
      </c>
      <c r="T21" s="2" t="s">
        <v>47</v>
      </c>
      <c r="U21" s="2"/>
      <c r="V21" s="2"/>
      <c r="W21" s="2" t="s">
        <v>212</v>
      </c>
      <c r="X21" s="2" t="s">
        <v>692</v>
      </c>
      <c r="Y21" s="2" t="n">
        <f aca="false">IF(AND(OR(Query_Interface!$B$5="All",$D21=Query_Interface!$B$5),OR(Query_Interface!$B$6="All",$F21=Query_Interface!$B$6),OR(Query_Interface!$B$7="All",$H21=Query_Interface!$B$7),OR(Query_Interface!$B$8="All",$N21=Query_Interface!$B$8),OR(Query_Interface!$B$9="All",$L21=Query_Interface!$B$9),OR(Query_Interface!$B$10="All",$R21=Query_Interface!$B$10),OR(Query_Interface!$B$11="All",$T21=Query_Interface!$B$11),OR(Query_Interface!$B$12="All",$Q21=Query_Interface!$B$12)),1,0)</f>
        <v>1</v>
      </c>
      <c r="Z21" s="2" t="n">
        <f aca="false">IF($Y21=1,COUNTIF($Y$2:$Y21,1),"")</f>
        <v>20</v>
      </c>
    </row>
    <row r="22" customFormat="false" ht="23.85" hidden="false" customHeight="false" outlineLevel="0" collapsed="false">
      <c r="A22" s="2" t="s">
        <v>250</v>
      </c>
      <c r="B22" s="2" t="n">
        <v>19</v>
      </c>
      <c r="C22" s="2" t="s">
        <v>686</v>
      </c>
      <c r="D22" s="2" t="s">
        <v>34</v>
      </c>
      <c r="E22" s="2" t="s">
        <v>687</v>
      </c>
      <c r="F22" s="2" t="s">
        <v>49</v>
      </c>
      <c r="G22" s="2" t="s">
        <v>688</v>
      </c>
      <c r="H22" s="2" t="s">
        <v>36</v>
      </c>
      <c r="I22" s="2" t="s">
        <v>689</v>
      </c>
      <c r="J22" s="2" t="s">
        <v>251</v>
      </c>
      <c r="K22" s="2" t="s">
        <v>725</v>
      </c>
      <c r="L22" s="2" t="s">
        <v>75</v>
      </c>
      <c r="M22" s="2" t="s">
        <v>726</v>
      </c>
      <c r="N22" s="2" t="s">
        <v>134</v>
      </c>
      <c r="O22" s="2" t="n">
        <v>1</v>
      </c>
      <c r="P22" s="2" t="n">
        <v>1</v>
      </c>
      <c r="Q22" s="2" t="s">
        <v>61</v>
      </c>
      <c r="R22" s="2"/>
      <c r="S22" s="2" t="s">
        <v>211</v>
      </c>
      <c r="T22" s="2" t="s">
        <v>40</v>
      </c>
      <c r="U22" s="2"/>
      <c r="V22" s="2"/>
      <c r="W22" s="2" t="s">
        <v>212</v>
      </c>
      <c r="X22" s="2" t="s">
        <v>692</v>
      </c>
      <c r="Y22" s="2" t="n">
        <f aca="false">IF(AND(OR(Query_Interface!$B$5="All",$D22=Query_Interface!$B$5),OR(Query_Interface!$B$6="All",$F22=Query_Interface!$B$6),OR(Query_Interface!$B$7="All",$H22=Query_Interface!$B$7),OR(Query_Interface!$B$8="All",$N22=Query_Interface!$B$8),OR(Query_Interface!$B$9="All",$L22=Query_Interface!$B$9),OR(Query_Interface!$B$10="All",$R22=Query_Interface!$B$10),OR(Query_Interface!$B$11="All",$T22=Query_Interface!$B$11),OR(Query_Interface!$B$12="All",$Q22=Query_Interface!$B$12)),1,0)</f>
        <v>1</v>
      </c>
      <c r="Z22" s="2" t="n">
        <f aca="false">IF($Y22=1,COUNTIF($Y$2:$Y22,1),"")</f>
        <v>21</v>
      </c>
    </row>
    <row r="23" customFormat="false" ht="23.85" hidden="false" customHeight="false" outlineLevel="0" collapsed="false">
      <c r="A23" s="2" t="s">
        <v>252</v>
      </c>
      <c r="B23" s="2" t="n">
        <v>20</v>
      </c>
      <c r="C23" s="2" t="s">
        <v>686</v>
      </c>
      <c r="D23" s="2" t="s">
        <v>34</v>
      </c>
      <c r="E23" s="2" t="s">
        <v>687</v>
      </c>
      <c r="F23" s="2" t="s">
        <v>49</v>
      </c>
      <c r="G23" s="2" t="s">
        <v>688</v>
      </c>
      <c r="H23" s="2" t="s">
        <v>36</v>
      </c>
      <c r="I23" s="2" t="s">
        <v>689</v>
      </c>
      <c r="J23" s="2" t="s">
        <v>253</v>
      </c>
      <c r="K23" s="2" t="s">
        <v>727</v>
      </c>
      <c r="L23" s="2" t="s">
        <v>75</v>
      </c>
      <c r="M23" s="2" t="s">
        <v>728</v>
      </c>
      <c r="N23" s="2" t="s">
        <v>136</v>
      </c>
      <c r="O23" s="2" t="n">
        <v>1</v>
      </c>
      <c r="P23" s="2" t="n">
        <v>2</v>
      </c>
      <c r="Q23" s="2" t="s">
        <v>41</v>
      </c>
      <c r="R23" s="2"/>
      <c r="S23" s="2" t="s">
        <v>211</v>
      </c>
      <c r="T23" s="2" t="s">
        <v>40</v>
      </c>
      <c r="U23" s="2"/>
      <c r="V23" s="2"/>
      <c r="W23" s="2" t="s">
        <v>212</v>
      </c>
      <c r="X23" s="2" t="s">
        <v>692</v>
      </c>
      <c r="Y23" s="2" t="n">
        <f aca="false">IF(AND(OR(Query_Interface!$B$5="All",$D23=Query_Interface!$B$5),OR(Query_Interface!$B$6="All",$F23=Query_Interface!$B$6),OR(Query_Interface!$B$7="All",$H23=Query_Interface!$B$7),OR(Query_Interface!$B$8="All",$N23=Query_Interface!$B$8),OR(Query_Interface!$B$9="All",$L23=Query_Interface!$B$9),OR(Query_Interface!$B$10="All",$R23=Query_Interface!$B$10),OR(Query_Interface!$B$11="All",$T23=Query_Interface!$B$11),OR(Query_Interface!$B$12="All",$Q23=Query_Interface!$B$12)),1,0)</f>
        <v>1</v>
      </c>
      <c r="Z23" s="2" t="n">
        <f aca="false">IF($Y23=1,COUNTIF($Y$2:$Y23,1),"")</f>
        <v>22</v>
      </c>
    </row>
    <row r="24" customFormat="false" ht="23.85" hidden="false" customHeight="false" outlineLevel="0" collapsed="false">
      <c r="A24" s="2" t="s">
        <v>252</v>
      </c>
      <c r="B24" s="2" t="n">
        <v>20</v>
      </c>
      <c r="C24" s="2" t="s">
        <v>686</v>
      </c>
      <c r="D24" s="2" t="s">
        <v>34</v>
      </c>
      <c r="E24" s="2" t="s">
        <v>687</v>
      </c>
      <c r="F24" s="2" t="s">
        <v>49</v>
      </c>
      <c r="G24" s="2" t="s">
        <v>688</v>
      </c>
      <c r="H24" s="2" t="s">
        <v>36</v>
      </c>
      <c r="I24" s="2" t="s">
        <v>689</v>
      </c>
      <c r="J24" s="2" t="s">
        <v>253</v>
      </c>
      <c r="K24" s="2" t="s">
        <v>727</v>
      </c>
      <c r="L24" s="2" t="s">
        <v>75</v>
      </c>
      <c r="M24" s="2" t="s">
        <v>698</v>
      </c>
      <c r="N24" s="2" t="s">
        <v>104</v>
      </c>
      <c r="O24" s="2" t="n">
        <v>2</v>
      </c>
      <c r="P24" s="2" t="n">
        <v>2</v>
      </c>
      <c r="Q24" s="2" t="s">
        <v>41</v>
      </c>
      <c r="R24" s="2"/>
      <c r="S24" s="2" t="s">
        <v>211</v>
      </c>
      <c r="T24" s="2" t="s">
        <v>40</v>
      </c>
      <c r="U24" s="2"/>
      <c r="V24" s="2"/>
      <c r="W24" s="2" t="s">
        <v>212</v>
      </c>
      <c r="X24" s="2" t="s">
        <v>692</v>
      </c>
      <c r="Y24" s="2" t="n">
        <f aca="false">IF(AND(OR(Query_Interface!$B$5="All",$D24=Query_Interface!$B$5),OR(Query_Interface!$B$6="All",$F24=Query_Interface!$B$6),OR(Query_Interface!$B$7="All",$H24=Query_Interface!$B$7),OR(Query_Interface!$B$8="All",$N24=Query_Interface!$B$8),OR(Query_Interface!$B$9="All",$L24=Query_Interface!$B$9),OR(Query_Interface!$B$10="All",$R24=Query_Interface!$B$10),OR(Query_Interface!$B$11="All",$T24=Query_Interface!$B$11),OR(Query_Interface!$B$12="All",$Q24=Query_Interface!$B$12)),1,0)</f>
        <v>1</v>
      </c>
      <c r="Z24" s="2" t="n">
        <f aca="false">IF($Y24=1,COUNTIF($Y$2:$Y24,1),"")</f>
        <v>23</v>
      </c>
    </row>
    <row r="25" customFormat="false" ht="35.05" hidden="false" customHeight="false" outlineLevel="0" collapsed="false">
      <c r="A25" s="2" t="s">
        <v>254</v>
      </c>
      <c r="B25" s="2" t="n">
        <v>21</v>
      </c>
      <c r="C25" s="2" t="s">
        <v>686</v>
      </c>
      <c r="D25" s="2" t="s">
        <v>34</v>
      </c>
      <c r="E25" s="2" t="s">
        <v>687</v>
      </c>
      <c r="F25" s="2" t="s">
        <v>49</v>
      </c>
      <c r="G25" s="2" t="s">
        <v>688</v>
      </c>
      <c r="H25" s="2" t="s">
        <v>36</v>
      </c>
      <c r="I25" s="2" t="s">
        <v>689</v>
      </c>
      <c r="J25" s="2" t="s">
        <v>255</v>
      </c>
      <c r="K25" s="2" t="s">
        <v>729</v>
      </c>
      <c r="L25" s="2" t="s">
        <v>75</v>
      </c>
      <c r="M25" s="2" t="s">
        <v>730</v>
      </c>
      <c r="N25" s="2" t="s">
        <v>138</v>
      </c>
      <c r="O25" s="2" t="n">
        <v>1</v>
      </c>
      <c r="P25" s="2" t="n">
        <v>1</v>
      </c>
      <c r="Q25" s="2" t="s">
        <v>61</v>
      </c>
      <c r="R25" s="2"/>
      <c r="S25" s="2" t="s">
        <v>211</v>
      </c>
      <c r="T25" s="2" t="s">
        <v>40</v>
      </c>
      <c r="U25" s="2"/>
      <c r="V25" s="2"/>
      <c r="W25" s="2" t="s">
        <v>212</v>
      </c>
      <c r="X25" s="2" t="s">
        <v>692</v>
      </c>
      <c r="Y25" s="2" t="n">
        <f aca="false">IF(AND(OR(Query_Interface!$B$5="All",$D25=Query_Interface!$B$5),OR(Query_Interface!$B$6="All",$F25=Query_Interface!$B$6),OR(Query_Interface!$B$7="All",$H25=Query_Interface!$B$7),OR(Query_Interface!$B$8="All",$N25=Query_Interface!$B$8),OR(Query_Interface!$B$9="All",$L25=Query_Interface!$B$9),OR(Query_Interface!$B$10="All",$R25=Query_Interface!$B$10),OR(Query_Interface!$B$11="All",$T25=Query_Interface!$B$11),OR(Query_Interface!$B$12="All",$Q25=Query_Interface!$B$12)),1,0)</f>
        <v>1</v>
      </c>
      <c r="Z25" s="2" t="n">
        <f aca="false">IF($Y25=1,COUNTIF($Y$2:$Y25,1),"")</f>
        <v>24</v>
      </c>
    </row>
    <row r="26" customFormat="false" ht="23.85" hidden="false" customHeight="false" outlineLevel="0" collapsed="false">
      <c r="A26" s="2" t="s">
        <v>256</v>
      </c>
      <c r="B26" s="2" t="n">
        <v>22</v>
      </c>
      <c r="C26" s="2" t="s">
        <v>686</v>
      </c>
      <c r="D26" s="2" t="s">
        <v>34</v>
      </c>
      <c r="E26" s="2" t="s">
        <v>687</v>
      </c>
      <c r="F26" s="2" t="s">
        <v>49</v>
      </c>
      <c r="G26" s="2" t="s">
        <v>688</v>
      </c>
      <c r="H26" s="2" t="s">
        <v>36</v>
      </c>
      <c r="I26" s="2" t="s">
        <v>689</v>
      </c>
      <c r="J26" s="2" t="s">
        <v>257</v>
      </c>
      <c r="K26" s="2" t="s">
        <v>731</v>
      </c>
      <c r="L26" s="2" t="s">
        <v>45</v>
      </c>
      <c r="M26" s="2" t="s">
        <v>732</v>
      </c>
      <c r="N26" s="2" t="s">
        <v>77</v>
      </c>
      <c r="O26" s="2" t="n">
        <v>1</v>
      </c>
      <c r="P26" s="2" t="n">
        <v>1</v>
      </c>
      <c r="Q26" s="2" t="s">
        <v>61</v>
      </c>
      <c r="R26" s="2"/>
      <c r="S26" s="2" t="s">
        <v>211</v>
      </c>
      <c r="T26" s="2" t="s">
        <v>40</v>
      </c>
      <c r="U26" s="2"/>
      <c r="V26" s="2"/>
      <c r="W26" s="2" t="s">
        <v>212</v>
      </c>
      <c r="X26" s="2" t="s">
        <v>692</v>
      </c>
      <c r="Y26" s="2" t="n">
        <f aca="false">IF(AND(OR(Query_Interface!$B$5="All",$D26=Query_Interface!$B$5),OR(Query_Interface!$B$6="All",$F26=Query_Interface!$B$6),OR(Query_Interface!$B$7="All",$H26=Query_Interface!$B$7),OR(Query_Interface!$B$8="All",$N26=Query_Interface!$B$8),OR(Query_Interface!$B$9="All",$L26=Query_Interface!$B$9),OR(Query_Interface!$B$10="All",$R26=Query_Interface!$B$10),OR(Query_Interface!$B$11="All",$T26=Query_Interface!$B$11),OR(Query_Interface!$B$12="All",$Q26=Query_Interface!$B$12)),1,0)</f>
        <v>1</v>
      </c>
      <c r="Z26" s="2" t="n">
        <f aca="false">IF($Y26=1,COUNTIF($Y$2:$Y26,1),"")</f>
        <v>25</v>
      </c>
    </row>
    <row r="27" customFormat="false" ht="23.85" hidden="false" customHeight="false" outlineLevel="0" collapsed="false">
      <c r="A27" s="2" t="s">
        <v>258</v>
      </c>
      <c r="B27" s="2" t="n">
        <v>23</v>
      </c>
      <c r="C27" s="2" t="s">
        <v>686</v>
      </c>
      <c r="D27" s="2" t="s">
        <v>34</v>
      </c>
      <c r="E27" s="2" t="s">
        <v>687</v>
      </c>
      <c r="F27" s="2" t="s">
        <v>49</v>
      </c>
      <c r="G27" s="2" t="s">
        <v>688</v>
      </c>
      <c r="H27" s="2" t="s">
        <v>36</v>
      </c>
      <c r="I27" s="2" t="s">
        <v>689</v>
      </c>
      <c r="J27" s="2" t="s">
        <v>259</v>
      </c>
      <c r="K27" s="2" t="s">
        <v>733</v>
      </c>
      <c r="L27" s="2" t="s">
        <v>38</v>
      </c>
      <c r="M27" s="2" t="s">
        <v>734</v>
      </c>
      <c r="N27" s="2" t="s">
        <v>87</v>
      </c>
      <c r="O27" s="2" t="n">
        <v>1</v>
      </c>
      <c r="P27" s="2" t="n">
        <v>1</v>
      </c>
      <c r="Q27" s="2" t="s">
        <v>61</v>
      </c>
      <c r="R27" s="2"/>
      <c r="S27" s="2" t="s">
        <v>230</v>
      </c>
      <c r="T27" s="2" t="s">
        <v>47</v>
      </c>
      <c r="U27" s="2"/>
      <c r="V27" s="2"/>
      <c r="W27" s="2" t="s">
        <v>212</v>
      </c>
      <c r="X27" s="2" t="s">
        <v>692</v>
      </c>
      <c r="Y27" s="2" t="n">
        <f aca="false">IF(AND(OR(Query_Interface!$B$5="All",$D27=Query_Interface!$B$5),OR(Query_Interface!$B$6="All",$F27=Query_Interface!$B$6),OR(Query_Interface!$B$7="All",$H27=Query_Interface!$B$7),OR(Query_Interface!$B$8="All",$N27=Query_Interface!$B$8),OR(Query_Interface!$B$9="All",$L27=Query_Interface!$B$9),OR(Query_Interface!$B$10="All",$R27=Query_Interface!$B$10),OR(Query_Interface!$B$11="All",$T27=Query_Interface!$B$11),OR(Query_Interface!$B$12="All",$Q27=Query_Interface!$B$12)),1,0)</f>
        <v>1</v>
      </c>
      <c r="Z27" s="2" t="n">
        <f aca="false">IF($Y27=1,COUNTIF($Y$2:$Y27,1),"")</f>
        <v>26</v>
      </c>
    </row>
    <row r="28" customFormat="false" ht="23.85" hidden="false" customHeight="false" outlineLevel="0" collapsed="false">
      <c r="A28" s="2" t="s">
        <v>260</v>
      </c>
      <c r="B28" s="2" t="n">
        <v>24</v>
      </c>
      <c r="C28" s="2" t="s">
        <v>686</v>
      </c>
      <c r="D28" s="2" t="s">
        <v>34</v>
      </c>
      <c r="E28" s="2" t="s">
        <v>687</v>
      </c>
      <c r="F28" s="2" t="s">
        <v>49</v>
      </c>
      <c r="G28" s="2" t="s">
        <v>688</v>
      </c>
      <c r="H28" s="2" t="s">
        <v>36</v>
      </c>
      <c r="I28" s="2" t="s">
        <v>689</v>
      </c>
      <c r="J28" s="2" t="s">
        <v>261</v>
      </c>
      <c r="K28" s="2" t="s">
        <v>735</v>
      </c>
      <c r="L28" s="2" t="s">
        <v>38</v>
      </c>
      <c r="M28" s="2" t="s">
        <v>736</v>
      </c>
      <c r="N28" s="2" t="s">
        <v>85</v>
      </c>
      <c r="O28" s="2" t="n">
        <v>1</v>
      </c>
      <c r="P28" s="2" t="n">
        <v>1</v>
      </c>
      <c r="Q28" s="2" t="s">
        <v>61</v>
      </c>
      <c r="R28" s="2"/>
      <c r="S28" s="2" t="s">
        <v>215</v>
      </c>
      <c r="T28" s="2" t="s">
        <v>47</v>
      </c>
      <c r="U28" s="2"/>
      <c r="V28" s="2"/>
      <c r="W28" s="2" t="s">
        <v>212</v>
      </c>
      <c r="X28" s="2" t="s">
        <v>692</v>
      </c>
      <c r="Y28" s="2" t="n">
        <f aca="false">IF(AND(OR(Query_Interface!$B$5="All",$D28=Query_Interface!$B$5),OR(Query_Interface!$B$6="All",$F28=Query_Interface!$B$6),OR(Query_Interface!$B$7="All",$H28=Query_Interface!$B$7),OR(Query_Interface!$B$8="All",$N28=Query_Interface!$B$8),OR(Query_Interface!$B$9="All",$L28=Query_Interface!$B$9),OR(Query_Interface!$B$10="All",$R28=Query_Interface!$B$10),OR(Query_Interface!$B$11="All",$T28=Query_Interface!$B$11),OR(Query_Interface!$B$12="All",$Q28=Query_Interface!$B$12)),1,0)</f>
        <v>1</v>
      </c>
      <c r="Z28" s="2" t="n">
        <f aca="false">IF($Y28=1,COUNTIF($Y$2:$Y28,1),"")</f>
        <v>27</v>
      </c>
    </row>
    <row r="29" customFormat="false" ht="35.05" hidden="false" customHeight="false" outlineLevel="0" collapsed="false">
      <c r="A29" s="2" t="s">
        <v>262</v>
      </c>
      <c r="B29" s="2" t="n">
        <v>25</v>
      </c>
      <c r="C29" s="2" t="s">
        <v>686</v>
      </c>
      <c r="D29" s="2" t="s">
        <v>34</v>
      </c>
      <c r="E29" s="2" t="s">
        <v>687</v>
      </c>
      <c r="F29" s="2" t="s">
        <v>49</v>
      </c>
      <c r="G29" s="2" t="s">
        <v>688</v>
      </c>
      <c r="H29" s="2" t="s">
        <v>36</v>
      </c>
      <c r="I29" s="2" t="s">
        <v>689</v>
      </c>
      <c r="J29" s="2" t="s">
        <v>263</v>
      </c>
      <c r="K29" s="2" t="s">
        <v>737</v>
      </c>
      <c r="L29" s="2" t="s">
        <v>75</v>
      </c>
      <c r="M29" s="2" t="s">
        <v>738</v>
      </c>
      <c r="N29" s="2" t="s">
        <v>144</v>
      </c>
      <c r="O29" s="2" t="n">
        <v>1</v>
      </c>
      <c r="P29" s="2" t="n">
        <v>1</v>
      </c>
      <c r="Q29" s="2" t="s">
        <v>61</v>
      </c>
      <c r="R29" s="2"/>
      <c r="S29" s="2" t="s">
        <v>215</v>
      </c>
      <c r="T29" s="2" t="s">
        <v>47</v>
      </c>
      <c r="U29" s="2"/>
      <c r="V29" s="2"/>
      <c r="W29" s="2" t="s">
        <v>212</v>
      </c>
      <c r="X29" s="2" t="s">
        <v>692</v>
      </c>
      <c r="Y29" s="2" t="n">
        <f aca="false">IF(AND(OR(Query_Interface!$B$5="All",$D29=Query_Interface!$B$5),OR(Query_Interface!$B$6="All",$F29=Query_Interface!$B$6),OR(Query_Interface!$B$7="All",$H29=Query_Interface!$B$7),OR(Query_Interface!$B$8="All",$N29=Query_Interface!$B$8),OR(Query_Interface!$B$9="All",$L29=Query_Interface!$B$9),OR(Query_Interface!$B$10="All",$R29=Query_Interface!$B$10),OR(Query_Interface!$B$11="All",$T29=Query_Interface!$B$11),OR(Query_Interface!$B$12="All",$Q29=Query_Interface!$B$12)),1,0)</f>
        <v>1</v>
      </c>
      <c r="Z29" s="2" t="n">
        <f aca="false">IF($Y29=1,COUNTIF($Y$2:$Y29,1),"")</f>
        <v>28</v>
      </c>
    </row>
    <row r="30" customFormat="false" ht="23.85" hidden="false" customHeight="false" outlineLevel="0" collapsed="false">
      <c r="A30" s="2" t="s">
        <v>264</v>
      </c>
      <c r="B30" s="2" t="n">
        <v>26</v>
      </c>
      <c r="C30" s="2" t="s">
        <v>686</v>
      </c>
      <c r="D30" s="2" t="s">
        <v>34</v>
      </c>
      <c r="E30" s="2" t="s">
        <v>687</v>
      </c>
      <c r="F30" s="2" t="s">
        <v>49</v>
      </c>
      <c r="G30" s="2" t="s">
        <v>688</v>
      </c>
      <c r="H30" s="2" t="s">
        <v>36</v>
      </c>
      <c r="I30" s="2" t="s">
        <v>689</v>
      </c>
      <c r="J30" s="2" t="s">
        <v>265</v>
      </c>
      <c r="K30" s="2" t="s">
        <v>739</v>
      </c>
      <c r="L30" s="2" t="s">
        <v>38</v>
      </c>
      <c r="M30" s="2" t="s">
        <v>740</v>
      </c>
      <c r="N30" s="2" t="s">
        <v>82</v>
      </c>
      <c r="O30" s="2" t="n">
        <v>1</v>
      </c>
      <c r="P30" s="2" t="n">
        <v>1</v>
      </c>
      <c r="Q30" s="2" t="s">
        <v>61</v>
      </c>
      <c r="R30" s="2"/>
      <c r="S30" s="2" t="s">
        <v>215</v>
      </c>
      <c r="T30" s="2" t="s">
        <v>47</v>
      </c>
      <c r="U30" s="2"/>
      <c r="V30" s="2"/>
      <c r="W30" s="2" t="s">
        <v>212</v>
      </c>
      <c r="X30" s="2" t="s">
        <v>692</v>
      </c>
      <c r="Y30" s="2" t="n">
        <f aca="false">IF(AND(OR(Query_Interface!$B$5="All",$D30=Query_Interface!$B$5),OR(Query_Interface!$B$6="All",$F30=Query_Interface!$B$6),OR(Query_Interface!$B$7="All",$H30=Query_Interface!$B$7),OR(Query_Interface!$B$8="All",$N30=Query_Interface!$B$8),OR(Query_Interface!$B$9="All",$L30=Query_Interface!$B$9),OR(Query_Interface!$B$10="All",$R30=Query_Interface!$B$10),OR(Query_Interface!$B$11="All",$T30=Query_Interface!$B$11),OR(Query_Interface!$B$12="All",$Q30=Query_Interface!$B$12)),1,0)</f>
        <v>1</v>
      </c>
      <c r="Z30" s="2" t="n">
        <f aca="false">IF($Y30=1,COUNTIF($Y$2:$Y30,1),"")</f>
        <v>29</v>
      </c>
    </row>
    <row r="31" customFormat="false" ht="35.05" hidden="false" customHeight="false" outlineLevel="0" collapsed="false">
      <c r="A31" s="2" t="s">
        <v>266</v>
      </c>
      <c r="B31" s="2" t="n">
        <v>27</v>
      </c>
      <c r="C31" s="2" t="s">
        <v>686</v>
      </c>
      <c r="D31" s="2" t="s">
        <v>34</v>
      </c>
      <c r="E31" s="2" t="s">
        <v>687</v>
      </c>
      <c r="F31" s="2" t="s">
        <v>49</v>
      </c>
      <c r="G31" s="2" t="s">
        <v>688</v>
      </c>
      <c r="H31" s="2" t="s">
        <v>36</v>
      </c>
      <c r="I31" s="2" t="s">
        <v>689</v>
      </c>
      <c r="J31" s="2" t="s">
        <v>267</v>
      </c>
      <c r="K31" s="2" t="s">
        <v>741</v>
      </c>
      <c r="L31" s="2" t="s">
        <v>75</v>
      </c>
      <c r="M31" s="2" t="s">
        <v>742</v>
      </c>
      <c r="N31" s="2" t="s">
        <v>88</v>
      </c>
      <c r="O31" s="2" t="n">
        <v>1</v>
      </c>
      <c r="P31" s="2" t="n">
        <v>1</v>
      </c>
      <c r="Q31" s="2" t="s">
        <v>61</v>
      </c>
      <c r="R31" s="2"/>
      <c r="S31" s="2" t="s">
        <v>215</v>
      </c>
      <c r="T31" s="2" t="s">
        <v>47</v>
      </c>
      <c r="U31" s="2"/>
      <c r="V31" s="2"/>
      <c r="W31" s="2" t="s">
        <v>212</v>
      </c>
      <c r="X31" s="2" t="s">
        <v>692</v>
      </c>
      <c r="Y31" s="2" t="n">
        <f aca="false">IF(AND(OR(Query_Interface!$B$5="All",$D31=Query_Interface!$B$5),OR(Query_Interface!$B$6="All",$F31=Query_Interface!$B$6),OR(Query_Interface!$B$7="All",$H31=Query_Interface!$B$7),OR(Query_Interface!$B$8="All",$N31=Query_Interface!$B$8),OR(Query_Interface!$B$9="All",$L31=Query_Interface!$B$9),OR(Query_Interface!$B$10="All",$R31=Query_Interface!$B$10),OR(Query_Interface!$B$11="All",$T31=Query_Interface!$B$11),OR(Query_Interface!$B$12="All",$Q31=Query_Interface!$B$12)),1,0)</f>
        <v>1</v>
      </c>
      <c r="Z31" s="2" t="n">
        <f aca="false">IF($Y31=1,COUNTIF($Y$2:$Y31,1),"")</f>
        <v>30</v>
      </c>
    </row>
    <row r="32" customFormat="false" ht="35.05" hidden="false" customHeight="false" outlineLevel="0" collapsed="false">
      <c r="A32" s="2" t="s">
        <v>268</v>
      </c>
      <c r="B32" s="2" t="n">
        <v>28</v>
      </c>
      <c r="C32" s="2" t="s">
        <v>686</v>
      </c>
      <c r="D32" s="2" t="s">
        <v>34</v>
      </c>
      <c r="E32" s="2" t="s">
        <v>687</v>
      </c>
      <c r="F32" s="2" t="s">
        <v>49</v>
      </c>
      <c r="G32" s="2" t="s">
        <v>688</v>
      </c>
      <c r="H32" s="2" t="s">
        <v>36</v>
      </c>
      <c r="I32" s="2" t="s">
        <v>689</v>
      </c>
      <c r="J32" s="2" t="s">
        <v>269</v>
      </c>
      <c r="K32" s="2" t="s">
        <v>743</v>
      </c>
      <c r="L32" s="2" t="s">
        <v>75</v>
      </c>
      <c r="M32" s="2" t="s">
        <v>744</v>
      </c>
      <c r="N32" s="2" t="s">
        <v>131</v>
      </c>
      <c r="O32" s="2" t="n">
        <v>1</v>
      </c>
      <c r="P32" s="2" t="n">
        <v>3</v>
      </c>
      <c r="Q32" s="2" t="s">
        <v>41</v>
      </c>
      <c r="R32" s="2"/>
      <c r="S32" s="2" t="s">
        <v>215</v>
      </c>
      <c r="T32" s="2" t="s">
        <v>40</v>
      </c>
      <c r="U32" s="2"/>
      <c r="V32" s="2"/>
      <c r="W32" s="2" t="s">
        <v>212</v>
      </c>
      <c r="X32" s="2" t="s">
        <v>692</v>
      </c>
      <c r="Y32" s="2" t="n">
        <f aca="false">IF(AND(OR(Query_Interface!$B$5="All",$D32=Query_Interface!$B$5),OR(Query_Interface!$B$6="All",$F32=Query_Interface!$B$6),OR(Query_Interface!$B$7="All",$H32=Query_Interface!$B$7),OR(Query_Interface!$B$8="All",$N32=Query_Interface!$B$8),OR(Query_Interface!$B$9="All",$L32=Query_Interface!$B$9),OR(Query_Interface!$B$10="All",$R32=Query_Interface!$B$10),OR(Query_Interface!$B$11="All",$T32=Query_Interface!$B$11),OR(Query_Interface!$B$12="All",$Q32=Query_Interface!$B$12)),1,0)</f>
        <v>1</v>
      </c>
      <c r="Z32" s="2" t="n">
        <f aca="false">IF($Y32=1,COUNTIF($Y$2:$Y32,1),"")</f>
        <v>31</v>
      </c>
    </row>
    <row r="33" customFormat="false" ht="35.05" hidden="false" customHeight="false" outlineLevel="0" collapsed="false">
      <c r="A33" s="2" t="s">
        <v>268</v>
      </c>
      <c r="B33" s="2" t="n">
        <v>28</v>
      </c>
      <c r="C33" s="2" t="s">
        <v>686</v>
      </c>
      <c r="D33" s="2" t="s">
        <v>34</v>
      </c>
      <c r="E33" s="2" t="s">
        <v>687</v>
      </c>
      <c r="F33" s="2" t="s">
        <v>49</v>
      </c>
      <c r="G33" s="2" t="s">
        <v>688</v>
      </c>
      <c r="H33" s="2" t="s">
        <v>36</v>
      </c>
      <c r="I33" s="2" t="s">
        <v>689</v>
      </c>
      <c r="J33" s="2" t="s">
        <v>269</v>
      </c>
      <c r="K33" s="2" t="s">
        <v>743</v>
      </c>
      <c r="L33" s="2" t="s">
        <v>75</v>
      </c>
      <c r="M33" s="2" t="s">
        <v>745</v>
      </c>
      <c r="N33" s="2" t="s">
        <v>135</v>
      </c>
      <c r="O33" s="2" t="n">
        <v>2</v>
      </c>
      <c r="P33" s="2" t="n">
        <v>3</v>
      </c>
      <c r="Q33" s="2" t="s">
        <v>41</v>
      </c>
      <c r="R33" s="2"/>
      <c r="S33" s="2" t="s">
        <v>215</v>
      </c>
      <c r="T33" s="2" t="s">
        <v>40</v>
      </c>
      <c r="U33" s="2"/>
      <c r="V33" s="2"/>
      <c r="W33" s="2" t="s">
        <v>212</v>
      </c>
      <c r="X33" s="2" t="s">
        <v>692</v>
      </c>
      <c r="Y33" s="2" t="n">
        <f aca="false">IF(AND(OR(Query_Interface!$B$5="All",$D33=Query_Interface!$B$5),OR(Query_Interface!$B$6="All",$F33=Query_Interface!$B$6),OR(Query_Interface!$B$7="All",$H33=Query_Interface!$B$7),OR(Query_Interface!$B$8="All",$N33=Query_Interface!$B$8),OR(Query_Interface!$B$9="All",$L33=Query_Interface!$B$9),OR(Query_Interface!$B$10="All",$R33=Query_Interface!$B$10),OR(Query_Interface!$B$11="All",$T33=Query_Interface!$B$11),OR(Query_Interface!$B$12="All",$Q33=Query_Interface!$B$12)),1,0)</f>
        <v>1</v>
      </c>
      <c r="Z33" s="2" t="n">
        <f aca="false">IF($Y33=1,COUNTIF($Y$2:$Y33,1),"")</f>
        <v>32</v>
      </c>
    </row>
    <row r="34" customFormat="false" ht="35.05" hidden="false" customHeight="false" outlineLevel="0" collapsed="false">
      <c r="A34" s="2" t="s">
        <v>268</v>
      </c>
      <c r="B34" s="2" t="n">
        <v>28</v>
      </c>
      <c r="C34" s="2" t="s">
        <v>686</v>
      </c>
      <c r="D34" s="2" t="s">
        <v>34</v>
      </c>
      <c r="E34" s="2" t="s">
        <v>687</v>
      </c>
      <c r="F34" s="2" t="s">
        <v>49</v>
      </c>
      <c r="G34" s="2" t="s">
        <v>688</v>
      </c>
      <c r="H34" s="2" t="s">
        <v>36</v>
      </c>
      <c r="I34" s="2" t="s">
        <v>689</v>
      </c>
      <c r="J34" s="2" t="s">
        <v>269</v>
      </c>
      <c r="K34" s="2" t="s">
        <v>743</v>
      </c>
      <c r="L34" s="2" t="s">
        <v>75</v>
      </c>
      <c r="M34" s="2" t="s">
        <v>746</v>
      </c>
      <c r="N34" s="2" t="s">
        <v>100</v>
      </c>
      <c r="O34" s="2" t="n">
        <v>3</v>
      </c>
      <c r="P34" s="2" t="n">
        <v>3</v>
      </c>
      <c r="Q34" s="2" t="s">
        <v>41</v>
      </c>
      <c r="R34" s="2"/>
      <c r="S34" s="2" t="s">
        <v>215</v>
      </c>
      <c r="T34" s="2" t="s">
        <v>40</v>
      </c>
      <c r="U34" s="2"/>
      <c r="V34" s="2"/>
      <c r="W34" s="2" t="s">
        <v>212</v>
      </c>
      <c r="X34" s="2" t="s">
        <v>692</v>
      </c>
      <c r="Y34" s="2" t="n">
        <f aca="false">IF(AND(OR(Query_Interface!$B$5="All",$D34=Query_Interface!$B$5),OR(Query_Interface!$B$6="All",$F34=Query_Interface!$B$6),OR(Query_Interface!$B$7="All",$H34=Query_Interface!$B$7),OR(Query_Interface!$B$8="All",$N34=Query_Interface!$B$8),OR(Query_Interface!$B$9="All",$L34=Query_Interface!$B$9),OR(Query_Interface!$B$10="All",$R34=Query_Interface!$B$10),OR(Query_Interface!$B$11="All",$T34=Query_Interface!$B$11),OR(Query_Interface!$B$12="All",$Q34=Query_Interface!$B$12)),1,0)</f>
        <v>1</v>
      </c>
      <c r="Z34" s="2" t="n">
        <f aca="false">IF($Y34=1,COUNTIF($Y$2:$Y34,1),"")</f>
        <v>33</v>
      </c>
    </row>
    <row r="35" customFormat="false" ht="23.85" hidden="false" customHeight="false" outlineLevel="0" collapsed="false">
      <c r="A35" s="2" t="s">
        <v>270</v>
      </c>
      <c r="B35" s="2" t="n">
        <v>29</v>
      </c>
      <c r="C35" s="2" t="s">
        <v>686</v>
      </c>
      <c r="D35" s="2" t="s">
        <v>34</v>
      </c>
      <c r="E35" s="2" t="s">
        <v>687</v>
      </c>
      <c r="F35" s="2" t="s">
        <v>49</v>
      </c>
      <c r="G35" s="2" t="s">
        <v>688</v>
      </c>
      <c r="H35" s="2" t="s">
        <v>36</v>
      </c>
      <c r="I35" s="2" t="s">
        <v>689</v>
      </c>
      <c r="J35" s="2" t="s">
        <v>271</v>
      </c>
      <c r="K35" s="2" t="s">
        <v>747</v>
      </c>
      <c r="L35" s="2" t="s">
        <v>58</v>
      </c>
      <c r="M35" s="2" t="s">
        <v>748</v>
      </c>
      <c r="N35" s="2" t="s">
        <v>132</v>
      </c>
      <c r="O35" s="2" t="n">
        <v>1</v>
      </c>
      <c r="P35" s="2" t="n">
        <v>2</v>
      </c>
      <c r="Q35" s="2" t="s">
        <v>41</v>
      </c>
      <c r="R35" s="2"/>
      <c r="S35" s="2" t="s">
        <v>211</v>
      </c>
      <c r="T35" s="2" t="s">
        <v>40</v>
      </c>
      <c r="U35" s="2"/>
      <c r="V35" s="2"/>
      <c r="W35" s="2" t="s">
        <v>212</v>
      </c>
      <c r="X35" s="2" t="s">
        <v>692</v>
      </c>
      <c r="Y35" s="2" t="n">
        <f aca="false">IF(AND(OR(Query_Interface!$B$5="All",$D35=Query_Interface!$B$5),OR(Query_Interface!$B$6="All",$F35=Query_Interface!$B$6),OR(Query_Interface!$B$7="All",$H35=Query_Interface!$B$7),OR(Query_Interface!$B$8="All",$N35=Query_Interface!$B$8),OR(Query_Interface!$B$9="All",$L35=Query_Interface!$B$9),OR(Query_Interface!$B$10="All",$R35=Query_Interface!$B$10),OR(Query_Interface!$B$11="All",$T35=Query_Interface!$B$11),OR(Query_Interface!$B$12="All",$Q35=Query_Interface!$B$12)),1,0)</f>
        <v>1</v>
      </c>
      <c r="Z35" s="2" t="n">
        <f aca="false">IF($Y35=1,COUNTIF($Y$2:$Y35,1),"")</f>
        <v>34</v>
      </c>
    </row>
    <row r="36" customFormat="false" ht="23.85" hidden="false" customHeight="false" outlineLevel="0" collapsed="false">
      <c r="A36" s="2" t="s">
        <v>270</v>
      </c>
      <c r="B36" s="2" t="n">
        <v>29</v>
      </c>
      <c r="C36" s="2" t="s">
        <v>686</v>
      </c>
      <c r="D36" s="2" t="s">
        <v>34</v>
      </c>
      <c r="E36" s="2" t="s">
        <v>687</v>
      </c>
      <c r="F36" s="2" t="s">
        <v>49</v>
      </c>
      <c r="G36" s="2" t="s">
        <v>688</v>
      </c>
      <c r="H36" s="2" t="s">
        <v>36</v>
      </c>
      <c r="I36" s="2" t="s">
        <v>689</v>
      </c>
      <c r="J36" s="2" t="s">
        <v>271</v>
      </c>
      <c r="K36" s="2" t="s">
        <v>747</v>
      </c>
      <c r="L36" s="2" t="s">
        <v>58</v>
      </c>
      <c r="M36" s="2" t="s">
        <v>736</v>
      </c>
      <c r="N36" s="2" t="s">
        <v>85</v>
      </c>
      <c r="O36" s="2" t="n">
        <v>2</v>
      </c>
      <c r="P36" s="2" t="n">
        <v>2</v>
      </c>
      <c r="Q36" s="2" t="s">
        <v>41</v>
      </c>
      <c r="R36" s="2"/>
      <c r="S36" s="2" t="s">
        <v>211</v>
      </c>
      <c r="T36" s="2" t="s">
        <v>40</v>
      </c>
      <c r="U36" s="2"/>
      <c r="V36" s="2"/>
      <c r="W36" s="2" t="s">
        <v>212</v>
      </c>
      <c r="X36" s="2" t="s">
        <v>692</v>
      </c>
      <c r="Y36" s="2" t="n">
        <f aca="false">IF(AND(OR(Query_Interface!$B$5="All",$D36=Query_Interface!$B$5),OR(Query_Interface!$B$6="All",$F36=Query_Interface!$B$6),OR(Query_Interface!$B$7="All",$H36=Query_Interface!$B$7),OR(Query_Interface!$B$8="All",$N36=Query_Interface!$B$8),OR(Query_Interface!$B$9="All",$L36=Query_Interface!$B$9),OR(Query_Interface!$B$10="All",$R36=Query_Interface!$B$10),OR(Query_Interface!$B$11="All",$T36=Query_Interface!$B$11),OR(Query_Interface!$B$12="All",$Q36=Query_Interface!$B$12)),1,0)</f>
        <v>1</v>
      </c>
      <c r="Z36" s="2" t="n">
        <f aca="false">IF($Y36=1,COUNTIF($Y$2:$Y36,1),"")</f>
        <v>35</v>
      </c>
    </row>
    <row r="37" customFormat="false" ht="35.05" hidden="false" customHeight="false" outlineLevel="0" collapsed="false">
      <c r="A37" s="2" t="s">
        <v>272</v>
      </c>
      <c r="B37" s="2" t="n">
        <v>30</v>
      </c>
      <c r="C37" s="2" t="s">
        <v>686</v>
      </c>
      <c r="D37" s="2" t="s">
        <v>34</v>
      </c>
      <c r="E37" s="2" t="s">
        <v>687</v>
      </c>
      <c r="F37" s="2" t="s">
        <v>49</v>
      </c>
      <c r="G37" s="2" t="s">
        <v>688</v>
      </c>
      <c r="H37" s="2" t="s">
        <v>36</v>
      </c>
      <c r="I37" s="2" t="s">
        <v>689</v>
      </c>
      <c r="J37" s="2" t="s">
        <v>273</v>
      </c>
      <c r="K37" s="2" t="s">
        <v>749</v>
      </c>
      <c r="L37" s="2" t="s">
        <v>58</v>
      </c>
      <c r="M37" s="2" t="s">
        <v>750</v>
      </c>
      <c r="N37" s="2" t="s">
        <v>91</v>
      </c>
      <c r="O37" s="2" t="n">
        <v>1</v>
      </c>
      <c r="P37" s="2" t="n">
        <v>1</v>
      </c>
      <c r="Q37" s="2" t="s">
        <v>61</v>
      </c>
      <c r="R37" s="2"/>
      <c r="S37" s="2" t="s">
        <v>215</v>
      </c>
      <c r="T37" s="2" t="s">
        <v>47</v>
      </c>
      <c r="U37" s="2"/>
      <c r="V37" s="2"/>
      <c r="W37" s="2" t="s">
        <v>212</v>
      </c>
      <c r="X37" s="2" t="s">
        <v>692</v>
      </c>
      <c r="Y37" s="2" t="n">
        <f aca="false">IF(AND(OR(Query_Interface!$B$5="All",$D37=Query_Interface!$B$5),OR(Query_Interface!$B$6="All",$F37=Query_Interface!$B$6),OR(Query_Interface!$B$7="All",$H37=Query_Interface!$B$7),OR(Query_Interface!$B$8="All",$N37=Query_Interface!$B$8),OR(Query_Interface!$B$9="All",$L37=Query_Interface!$B$9),OR(Query_Interface!$B$10="All",$R37=Query_Interface!$B$10),OR(Query_Interface!$B$11="All",$T37=Query_Interface!$B$11),OR(Query_Interface!$B$12="All",$Q37=Query_Interface!$B$12)),1,0)</f>
        <v>1</v>
      </c>
      <c r="Z37" s="2" t="n">
        <f aca="false">IF($Y37=1,COUNTIF($Y$2:$Y37,1),"")</f>
        <v>36</v>
      </c>
    </row>
    <row r="38" customFormat="false" ht="35.05" hidden="false" customHeight="false" outlineLevel="0" collapsed="false">
      <c r="A38" s="2" t="s">
        <v>274</v>
      </c>
      <c r="B38" s="2" t="n">
        <v>31</v>
      </c>
      <c r="C38" s="2" t="s">
        <v>686</v>
      </c>
      <c r="D38" s="2" t="s">
        <v>34</v>
      </c>
      <c r="E38" s="2" t="s">
        <v>687</v>
      </c>
      <c r="F38" s="2" t="s">
        <v>49</v>
      </c>
      <c r="G38" s="2" t="s">
        <v>688</v>
      </c>
      <c r="H38" s="2" t="s">
        <v>36</v>
      </c>
      <c r="I38" s="2" t="s">
        <v>689</v>
      </c>
      <c r="J38" s="2" t="s">
        <v>275</v>
      </c>
      <c r="K38" s="2" t="s">
        <v>751</v>
      </c>
      <c r="L38" s="2" t="s">
        <v>69</v>
      </c>
      <c r="M38" s="2" t="s">
        <v>752</v>
      </c>
      <c r="N38" s="2" t="s">
        <v>113</v>
      </c>
      <c r="O38" s="2" t="n">
        <v>1</v>
      </c>
      <c r="P38" s="2" t="n">
        <v>1</v>
      </c>
      <c r="Q38" s="2" t="s">
        <v>61</v>
      </c>
      <c r="R38" s="2"/>
      <c r="S38" s="2" t="s">
        <v>211</v>
      </c>
      <c r="T38" s="2" t="s">
        <v>40</v>
      </c>
      <c r="U38" s="2"/>
      <c r="V38" s="2"/>
      <c r="W38" s="2" t="s">
        <v>212</v>
      </c>
      <c r="X38" s="2" t="s">
        <v>692</v>
      </c>
      <c r="Y38" s="2" t="n">
        <f aca="false">IF(AND(OR(Query_Interface!$B$5="All",$D38=Query_Interface!$B$5),OR(Query_Interface!$B$6="All",$F38=Query_Interface!$B$6),OR(Query_Interface!$B$7="All",$H38=Query_Interface!$B$7),OR(Query_Interface!$B$8="All",$N38=Query_Interface!$B$8),OR(Query_Interface!$B$9="All",$L38=Query_Interface!$B$9),OR(Query_Interface!$B$10="All",$R38=Query_Interface!$B$10),OR(Query_Interface!$B$11="All",$T38=Query_Interface!$B$11),OR(Query_Interface!$B$12="All",$Q38=Query_Interface!$B$12)),1,0)</f>
        <v>1</v>
      </c>
      <c r="Z38" s="2" t="n">
        <f aca="false">IF($Y38=1,COUNTIF($Y$2:$Y38,1),"")</f>
        <v>37</v>
      </c>
    </row>
    <row r="39" customFormat="false" ht="35.05" hidden="false" customHeight="false" outlineLevel="0" collapsed="false">
      <c r="A39" s="2" t="s">
        <v>276</v>
      </c>
      <c r="B39" s="2" t="n">
        <v>32</v>
      </c>
      <c r="C39" s="2" t="s">
        <v>686</v>
      </c>
      <c r="D39" s="2" t="s">
        <v>34</v>
      </c>
      <c r="E39" s="2" t="s">
        <v>687</v>
      </c>
      <c r="F39" s="2" t="s">
        <v>49</v>
      </c>
      <c r="G39" s="2" t="s">
        <v>688</v>
      </c>
      <c r="H39" s="2" t="s">
        <v>36</v>
      </c>
      <c r="I39" s="2" t="s">
        <v>689</v>
      </c>
      <c r="J39" s="2" t="s">
        <v>277</v>
      </c>
      <c r="K39" s="2" t="s">
        <v>753</v>
      </c>
      <c r="L39" s="2" t="s">
        <v>69</v>
      </c>
      <c r="M39" s="2" t="s">
        <v>754</v>
      </c>
      <c r="N39" s="2" t="s">
        <v>124</v>
      </c>
      <c r="O39" s="2" t="n">
        <v>1</v>
      </c>
      <c r="P39" s="2" t="n">
        <v>1</v>
      </c>
      <c r="Q39" s="2" t="s">
        <v>61</v>
      </c>
      <c r="R39" s="2"/>
      <c r="S39" s="2" t="s">
        <v>211</v>
      </c>
      <c r="T39" s="2" t="s">
        <v>40</v>
      </c>
      <c r="U39" s="2"/>
      <c r="V39" s="2"/>
      <c r="W39" s="2" t="s">
        <v>212</v>
      </c>
      <c r="X39" s="2" t="s">
        <v>692</v>
      </c>
      <c r="Y39" s="2" t="n">
        <f aca="false">IF(AND(OR(Query_Interface!$B$5="All",$D39=Query_Interface!$B$5),OR(Query_Interface!$B$6="All",$F39=Query_Interface!$B$6),OR(Query_Interface!$B$7="All",$H39=Query_Interface!$B$7),OR(Query_Interface!$B$8="All",$N39=Query_Interface!$B$8),OR(Query_Interface!$B$9="All",$L39=Query_Interface!$B$9),OR(Query_Interface!$B$10="All",$R39=Query_Interface!$B$10),OR(Query_Interface!$B$11="All",$T39=Query_Interface!$B$11),OR(Query_Interface!$B$12="All",$Q39=Query_Interface!$B$12)),1,0)</f>
        <v>1</v>
      </c>
      <c r="Z39" s="2" t="n">
        <f aca="false">IF($Y39=1,COUNTIF($Y$2:$Y39,1),"")</f>
        <v>38</v>
      </c>
    </row>
    <row r="40" customFormat="false" ht="35.05" hidden="false" customHeight="false" outlineLevel="0" collapsed="false">
      <c r="A40" s="2" t="s">
        <v>278</v>
      </c>
      <c r="B40" s="2" t="n">
        <v>33</v>
      </c>
      <c r="C40" s="2" t="s">
        <v>686</v>
      </c>
      <c r="D40" s="2" t="s">
        <v>34</v>
      </c>
      <c r="E40" s="2" t="s">
        <v>687</v>
      </c>
      <c r="F40" s="2" t="s">
        <v>49</v>
      </c>
      <c r="G40" s="2" t="s">
        <v>688</v>
      </c>
      <c r="H40" s="2" t="s">
        <v>36</v>
      </c>
      <c r="I40" s="2" t="s">
        <v>689</v>
      </c>
      <c r="J40" s="2" t="s">
        <v>279</v>
      </c>
      <c r="K40" s="2" t="s">
        <v>755</v>
      </c>
      <c r="L40" s="2" t="s">
        <v>71</v>
      </c>
      <c r="M40" s="2" t="s">
        <v>756</v>
      </c>
      <c r="N40" s="2" t="s">
        <v>123</v>
      </c>
      <c r="O40" s="2" t="n">
        <v>1</v>
      </c>
      <c r="P40" s="2" t="n">
        <v>1</v>
      </c>
      <c r="Q40" s="2" t="s">
        <v>61</v>
      </c>
      <c r="R40" s="2"/>
      <c r="S40" s="2" t="s">
        <v>233</v>
      </c>
      <c r="T40" s="2" t="s">
        <v>47</v>
      </c>
      <c r="U40" s="2"/>
      <c r="V40" s="2"/>
      <c r="W40" s="2" t="s">
        <v>212</v>
      </c>
      <c r="X40" s="2" t="s">
        <v>692</v>
      </c>
      <c r="Y40" s="2" t="n">
        <f aca="false">IF(AND(OR(Query_Interface!$B$5="All",$D40=Query_Interface!$B$5),OR(Query_Interface!$B$6="All",$F40=Query_Interface!$B$6),OR(Query_Interface!$B$7="All",$H40=Query_Interface!$B$7),OR(Query_Interface!$B$8="All",$N40=Query_Interface!$B$8),OR(Query_Interface!$B$9="All",$L40=Query_Interface!$B$9),OR(Query_Interface!$B$10="All",$R40=Query_Interface!$B$10),OR(Query_Interface!$B$11="All",$T40=Query_Interface!$B$11),OR(Query_Interface!$B$12="All",$Q40=Query_Interface!$B$12)),1,0)</f>
        <v>1</v>
      </c>
      <c r="Z40" s="2" t="n">
        <f aca="false">IF($Y40=1,COUNTIF($Y$2:$Y40,1),"")</f>
        <v>39</v>
      </c>
    </row>
    <row r="41" customFormat="false" ht="23.85" hidden="false" customHeight="false" outlineLevel="0" collapsed="false">
      <c r="A41" s="2" t="s">
        <v>280</v>
      </c>
      <c r="B41" s="2" t="n">
        <v>34</v>
      </c>
      <c r="C41" s="2" t="s">
        <v>686</v>
      </c>
      <c r="D41" s="2" t="s">
        <v>34</v>
      </c>
      <c r="E41" s="2" t="s">
        <v>687</v>
      </c>
      <c r="F41" s="2" t="s">
        <v>49</v>
      </c>
      <c r="G41" s="2" t="s">
        <v>688</v>
      </c>
      <c r="H41" s="2" t="s">
        <v>36</v>
      </c>
      <c r="I41" s="2" t="s">
        <v>689</v>
      </c>
      <c r="J41" s="2" t="s">
        <v>281</v>
      </c>
      <c r="K41" s="2" t="s">
        <v>757</v>
      </c>
      <c r="L41" s="2" t="s">
        <v>38</v>
      </c>
      <c r="M41" s="2" t="s">
        <v>758</v>
      </c>
      <c r="N41" s="2" t="s">
        <v>84</v>
      </c>
      <c r="O41" s="2" t="n">
        <v>1</v>
      </c>
      <c r="P41" s="2" t="n">
        <v>1</v>
      </c>
      <c r="Q41" s="2" t="s">
        <v>61</v>
      </c>
      <c r="R41" s="2"/>
      <c r="S41" s="2" t="s">
        <v>233</v>
      </c>
      <c r="T41" s="2" t="s">
        <v>40</v>
      </c>
      <c r="U41" s="2"/>
      <c r="V41" s="2"/>
      <c r="W41" s="2" t="s">
        <v>212</v>
      </c>
      <c r="X41" s="2" t="s">
        <v>692</v>
      </c>
      <c r="Y41" s="2" t="n">
        <f aca="false">IF(AND(OR(Query_Interface!$B$5="All",$D41=Query_Interface!$B$5),OR(Query_Interface!$B$6="All",$F41=Query_Interface!$B$6),OR(Query_Interface!$B$7="All",$H41=Query_Interface!$B$7),OR(Query_Interface!$B$8="All",$N41=Query_Interface!$B$8),OR(Query_Interface!$B$9="All",$L41=Query_Interface!$B$9),OR(Query_Interface!$B$10="All",$R41=Query_Interface!$B$10),OR(Query_Interface!$B$11="All",$T41=Query_Interface!$B$11),OR(Query_Interface!$B$12="All",$Q41=Query_Interface!$B$12)),1,0)</f>
        <v>1</v>
      </c>
      <c r="Z41" s="2" t="n">
        <f aca="false">IF($Y41=1,COUNTIF($Y$2:$Y41,1),"")</f>
        <v>40</v>
      </c>
    </row>
    <row r="42" customFormat="false" ht="23.85" hidden="false" customHeight="false" outlineLevel="0" collapsed="false">
      <c r="A42" s="2" t="s">
        <v>282</v>
      </c>
      <c r="B42" s="2" t="n">
        <v>35</v>
      </c>
      <c r="C42" s="2" t="s">
        <v>686</v>
      </c>
      <c r="D42" s="2" t="s">
        <v>34</v>
      </c>
      <c r="E42" s="2" t="s">
        <v>687</v>
      </c>
      <c r="F42" s="2" t="s">
        <v>49</v>
      </c>
      <c r="G42" s="2" t="s">
        <v>688</v>
      </c>
      <c r="H42" s="2" t="s">
        <v>36</v>
      </c>
      <c r="I42" s="2" t="s">
        <v>689</v>
      </c>
      <c r="J42" s="2" t="s">
        <v>283</v>
      </c>
      <c r="K42" s="2" t="s">
        <v>759</v>
      </c>
      <c r="L42" s="2" t="s">
        <v>45</v>
      </c>
      <c r="M42" s="2" t="s">
        <v>760</v>
      </c>
      <c r="N42" s="2" t="s">
        <v>68</v>
      </c>
      <c r="O42" s="2" t="n">
        <v>1</v>
      </c>
      <c r="P42" s="2" t="n">
        <v>1</v>
      </c>
      <c r="Q42" s="2" t="s">
        <v>61</v>
      </c>
      <c r="R42" s="2"/>
      <c r="S42" s="2" t="s">
        <v>211</v>
      </c>
      <c r="T42" s="2" t="s">
        <v>40</v>
      </c>
      <c r="U42" s="2"/>
      <c r="V42" s="2"/>
      <c r="W42" s="2" t="s">
        <v>212</v>
      </c>
      <c r="X42" s="2" t="s">
        <v>692</v>
      </c>
      <c r="Y42" s="2" t="n">
        <f aca="false">IF(AND(OR(Query_Interface!$B$5="All",$D42=Query_Interface!$B$5),OR(Query_Interface!$B$6="All",$F42=Query_Interface!$B$6),OR(Query_Interface!$B$7="All",$H42=Query_Interface!$B$7),OR(Query_Interface!$B$8="All",$N42=Query_Interface!$B$8),OR(Query_Interface!$B$9="All",$L42=Query_Interface!$B$9),OR(Query_Interface!$B$10="All",$R42=Query_Interface!$B$10),OR(Query_Interface!$B$11="All",$T42=Query_Interface!$B$11),OR(Query_Interface!$B$12="All",$Q42=Query_Interface!$B$12)),1,0)</f>
        <v>1</v>
      </c>
      <c r="Z42" s="2" t="n">
        <f aca="false">IF($Y42=1,COUNTIF($Y$2:$Y42,1),"")</f>
        <v>41</v>
      </c>
    </row>
    <row r="43" customFormat="false" ht="35.05" hidden="false" customHeight="false" outlineLevel="0" collapsed="false">
      <c r="A43" s="2" t="s">
        <v>284</v>
      </c>
      <c r="B43" s="2" t="n">
        <v>36</v>
      </c>
      <c r="C43" s="2" t="s">
        <v>686</v>
      </c>
      <c r="D43" s="2" t="s">
        <v>34</v>
      </c>
      <c r="E43" s="2" t="s">
        <v>687</v>
      </c>
      <c r="F43" s="2" t="s">
        <v>49</v>
      </c>
      <c r="G43" s="2" t="s">
        <v>688</v>
      </c>
      <c r="H43" s="2" t="s">
        <v>36</v>
      </c>
      <c r="I43" s="2" t="s">
        <v>689</v>
      </c>
      <c r="J43" s="2" t="s">
        <v>285</v>
      </c>
      <c r="K43" s="2" t="s">
        <v>761</v>
      </c>
      <c r="L43" s="2" t="s">
        <v>69</v>
      </c>
      <c r="M43" s="2" t="s">
        <v>762</v>
      </c>
      <c r="N43" s="2" t="s">
        <v>108</v>
      </c>
      <c r="O43" s="2" t="n">
        <v>1</v>
      </c>
      <c r="P43" s="2" t="n">
        <v>1</v>
      </c>
      <c r="Q43" s="2" t="s">
        <v>61</v>
      </c>
      <c r="R43" s="2"/>
      <c r="S43" s="2" t="s">
        <v>211</v>
      </c>
      <c r="T43" s="2" t="s">
        <v>40</v>
      </c>
      <c r="U43" s="2"/>
      <c r="V43" s="2"/>
      <c r="W43" s="2" t="s">
        <v>212</v>
      </c>
      <c r="X43" s="2" t="s">
        <v>692</v>
      </c>
      <c r="Y43" s="2" t="n">
        <f aca="false">IF(AND(OR(Query_Interface!$B$5="All",$D43=Query_Interface!$B$5),OR(Query_Interface!$B$6="All",$F43=Query_Interface!$B$6),OR(Query_Interface!$B$7="All",$H43=Query_Interface!$B$7),OR(Query_Interface!$B$8="All",$N43=Query_Interface!$B$8),OR(Query_Interface!$B$9="All",$L43=Query_Interface!$B$9),OR(Query_Interface!$B$10="All",$R43=Query_Interface!$B$10),OR(Query_Interface!$B$11="All",$T43=Query_Interface!$B$11),OR(Query_Interface!$B$12="All",$Q43=Query_Interface!$B$12)),1,0)</f>
        <v>1</v>
      </c>
      <c r="Z43" s="2" t="n">
        <f aca="false">IF($Y43=1,COUNTIF($Y$2:$Y43,1),"")</f>
        <v>42</v>
      </c>
    </row>
    <row r="44" customFormat="false" ht="23.85" hidden="false" customHeight="false" outlineLevel="0" collapsed="false">
      <c r="A44" s="2" t="s">
        <v>286</v>
      </c>
      <c r="B44" s="2" t="n">
        <v>37</v>
      </c>
      <c r="C44" s="2" t="s">
        <v>686</v>
      </c>
      <c r="D44" s="2" t="s">
        <v>34</v>
      </c>
      <c r="E44" s="2" t="s">
        <v>687</v>
      </c>
      <c r="F44" s="2" t="s">
        <v>49</v>
      </c>
      <c r="G44" s="2" t="s">
        <v>688</v>
      </c>
      <c r="H44" s="2" t="s">
        <v>36</v>
      </c>
      <c r="I44" s="2" t="s">
        <v>689</v>
      </c>
      <c r="J44" s="2" t="s">
        <v>287</v>
      </c>
      <c r="K44" s="2" t="s">
        <v>763</v>
      </c>
      <c r="L44" s="2" t="s">
        <v>69</v>
      </c>
      <c r="M44" s="2" t="s">
        <v>764</v>
      </c>
      <c r="N44" s="2" t="s">
        <v>115</v>
      </c>
      <c r="O44" s="2" t="n">
        <v>1</v>
      </c>
      <c r="P44" s="2" t="n">
        <v>1</v>
      </c>
      <c r="Q44" s="2" t="s">
        <v>61</v>
      </c>
      <c r="R44" s="2"/>
      <c r="S44" s="2" t="s">
        <v>211</v>
      </c>
      <c r="T44" s="2" t="s">
        <v>40</v>
      </c>
      <c r="U44" s="2"/>
      <c r="V44" s="2"/>
      <c r="W44" s="2" t="s">
        <v>212</v>
      </c>
      <c r="X44" s="2" t="s">
        <v>692</v>
      </c>
      <c r="Y44" s="2" t="n">
        <f aca="false">IF(AND(OR(Query_Interface!$B$5="All",$D44=Query_Interface!$B$5),OR(Query_Interface!$B$6="All",$F44=Query_Interface!$B$6),OR(Query_Interface!$B$7="All",$H44=Query_Interface!$B$7),OR(Query_Interface!$B$8="All",$N44=Query_Interface!$B$8),OR(Query_Interface!$B$9="All",$L44=Query_Interface!$B$9),OR(Query_Interface!$B$10="All",$R44=Query_Interface!$B$10),OR(Query_Interface!$B$11="All",$T44=Query_Interface!$B$11),OR(Query_Interface!$B$12="All",$Q44=Query_Interface!$B$12)),1,0)</f>
        <v>1</v>
      </c>
      <c r="Z44" s="2" t="n">
        <f aca="false">IF($Y44=1,COUNTIF($Y$2:$Y44,1),"")</f>
        <v>43</v>
      </c>
    </row>
    <row r="45" customFormat="false" ht="23.85" hidden="false" customHeight="false" outlineLevel="0" collapsed="false">
      <c r="A45" s="2" t="s">
        <v>288</v>
      </c>
      <c r="B45" s="2" t="n">
        <v>38</v>
      </c>
      <c r="C45" s="2" t="s">
        <v>686</v>
      </c>
      <c r="D45" s="2" t="s">
        <v>34</v>
      </c>
      <c r="E45" s="2" t="s">
        <v>687</v>
      </c>
      <c r="F45" s="2" t="s">
        <v>49</v>
      </c>
      <c r="G45" s="2" t="s">
        <v>688</v>
      </c>
      <c r="H45" s="2" t="s">
        <v>36</v>
      </c>
      <c r="I45" s="2" t="s">
        <v>689</v>
      </c>
      <c r="J45" s="2" t="s">
        <v>289</v>
      </c>
      <c r="K45" s="2" t="s">
        <v>765</v>
      </c>
      <c r="L45" s="2" t="s">
        <v>66</v>
      </c>
      <c r="M45" s="2" t="s">
        <v>766</v>
      </c>
      <c r="N45" s="2" t="s">
        <v>143</v>
      </c>
      <c r="O45" s="2" t="n">
        <v>1</v>
      </c>
      <c r="P45" s="2" t="n">
        <v>2</v>
      </c>
      <c r="Q45" s="2" t="s">
        <v>41</v>
      </c>
      <c r="R45" s="2"/>
      <c r="S45" s="2" t="s">
        <v>233</v>
      </c>
      <c r="T45" s="2" t="s">
        <v>47</v>
      </c>
      <c r="U45" s="2"/>
      <c r="V45" s="2"/>
      <c r="W45" s="2" t="s">
        <v>212</v>
      </c>
      <c r="X45" s="2" t="s">
        <v>692</v>
      </c>
      <c r="Y45" s="2" t="n">
        <f aca="false">IF(AND(OR(Query_Interface!$B$5="All",$D45=Query_Interface!$B$5),OR(Query_Interface!$B$6="All",$F45=Query_Interface!$B$6),OR(Query_Interface!$B$7="All",$H45=Query_Interface!$B$7),OR(Query_Interface!$B$8="All",$N45=Query_Interface!$B$8),OR(Query_Interface!$B$9="All",$L45=Query_Interface!$B$9),OR(Query_Interface!$B$10="All",$R45=Query_Interface!$B$10),OR(Query_Interface!$B$11="All",$T45=Query_Interface!$B$11),OR(Query_Interface!$B$12="All",$Q45=Query_Interface!$B$12)),1,0)</f>
        <v>1</v>
      </c>
      <c r="Z45" s="2" t="n">
        <f aca="false">IF($Y45=1,COUNTIF($Y$2:$Y45,1),"")</f>
        <v>44</v>
      </c>
    </row>
    <row r="46" customFormat="false" ht="23.85" hidden="false" customHeight="false" outlineLevel="0" collapsed="false">
      <c r="A46" s="2" t="s">
        <v>288</v>
      </c>
      <c r="B46" s="2" t="n">
        <v>38</v>
      </c>
      <c r="C46" s="2" t="s">
        <v>686</v>
      </c>
      <c r="D46" s="2" t="s">
        <v>34</v>
      </c>
      <c r="E46" s="2" t="s">
        <v>687</v>
      </c>
      <c r="F46" s="2" t="s">
        <v>49</v>
      </c>
      <c r="G46" s="2" t="s">
        <v>688</v>
      </c>
      <c r="H46" s="2" t="s">
        <v>36</v>
      </c>
      <c r="I46" s="2" t="s">
        <v>689</v>
      </c>
      <c r="J46" s="2" t="s">
        <v>289</v>
      </c>
      <c r="K46" s="2" t="s">
        <v>765</v>
      </c>
      <c r="L46" s="2" t="s">
        <v>66</v>
      </c>
      <c r="M46" s="2" t="s">
        <v>724</v>
      </c>
      <c r="N46" s="2" t="s">
        <v>142</v>
      </c>
      <c r="O46" s="2" t="n">
        <v>2</v>
      </c>
      <c r="P46" s="2" t="n">
        <v>2</v>
      </c>
      <c r="Q46" s="2" t="s">
        <v>41</v>
      </c>
      <c r="R46" s="2"/>
      <c r="S46" s="2" t="s">
        <v>233</v>
      </c>
      <c r="T46" s="2" t="s">
        <v>47</v>
      </c>
      <c r="U46" s="2"/>
      <c r="V46" s="2"/>
      <c r="W46" s="2" t="s">
        <v>212</v>
      </c>
      <c r="X46" s="2" t="s">
        <v>692</v>
      </c>
      <c r="Y46" s="2" t="n">
        <f aca="false">IF(AND(OR(Query_Interface!$B$5="All",$D46=Query_Interface!$B$5),OR(Query_Interface!$B$6="All",$F46=Query_Interface!$B$6),OR(Query_Interface!$B$7="All",$H46=Query_Interface!$B$7),OR(Query_Interface!$B$8="All",$N46=Query_Interface!$B$8),OR(Query_Interface!$B$9="All",$L46=Query_Interface!$B$9),OR(Query_Interface!$B$10="All",$R46=Query_Interface!$B$10),OR(Query_Interface!$B$11="All",$T46=Query_Interface!$B$11),OR(Query_Interface!$B$12="All",$Q46=Query_Interface!$B$12)),1,0)</f>
        <v>1</v>
      </c>
      <c r="Z46" s="2" t="n">
        <f aca="false">IF($Y46=1,COUNTIF($Y$2:$Y46,1),"")</f>
        <v>45</v>
      </c>
    </row>
    <row r="47" customFormat="false" ht="23.85" hidden="false" customHeight="false" outlineLevel="0" collapsed="false">
      <c r="A47" s="2" t="s">
        <v>290</v>
      </c>
      <c r="B47" s="2" t="n">
        <v>39</v>
      </c>
      <c r="C47" s="2" t="s">
        <v>686</v>
      </c>
      <c r="D47" s="2" t="s">
        <v>34</v>
      </c>
      <c r="E47" s="2" t="s">
        <v>687</v>
      </c>
      <c r="F47" s="2" t="s">
        <v>49</v>
      </c>
      <c r="G47" s="2" t="s">
        <v>688</v>
      </c>
      <c r="H47" s="2" t="s">
        <v>36</v>
      </c>
      <c r="I47" s="2" t="s">
        <v>689</v>
      </c>
      <c r="J47" s="2" t="s">
        <v>291</v>
      </c>
      <c r="K47" s="2" t="s">
        <v>767</v>
      </c>
      <c r="L47" s="2" t="s">
        <v>52</v>
      </c>
      <c r="M47" s="2" t="s">
        <v>768</v>
      </c>
      <c r="N47" s="2" t="s">
        <v>90</v>
      </c>
      <c r="O47" s="2" t="n">
        <v>1</v>
      </c>
      <c r="P47" s="2" t="n">
        <v>1</v>
      </c>
      <c r="Q47" s="2" t="s">
        <v>61</v>
      </c>
      <c r="R47" s="2"/>
      <c r="S47" s="2" t="s">
        <v>233</v>
      </c>
      <c r="T47" s="2" t="s">
        <v>47</v>
      </c>
      <c r="U47" s="2"/>
      <c r="V47" s="2"/>
      <c r="W47" s="2" t="s">
        <v>212</v>
      </c>
      <c r="X47" s="2" t="s">
        <v>692</v>
      </c>
      <c r="Y47" s="2" t="n">
        <f aca="false">IF(AND(OR(Query_Interface!$B$5="All",$D47=Query_Interface!$B$5),OR(Query_Interface!$B$6="All",$F47=Query_Interface!$B$6),OR(Query_Interface!$B$7="All",$H47=Query_Interface!$B$7),OR(Query_Interface!$B$8="All",$N47=Query_Interface!$B$8),OR(Query_Interface!$B$9="All",$L47=Query_Interface!$B$9),OR(Query_Interface!$B$10="All",$R47=Query_Interface!$B$10),OR(Query_Interface!$B$11="All",$T47=Query_Interface!$B$11),OR(Query_Interface!$B$12="All",$Q47=Query_Interface!$B$12)),1,0)</f>
        <v>1</v>
      </c>
      <c r="Z47" s="2" t="n">
        <f aca="false">IF($Y47=1,COUNTIF($Y$2:$Y47,1),"")</f>
        <v>46</v>
      </c>
    </row>
    <row r="48" customFormat="false" ht="35.05" hidden="false" customHeight="false" outlineLevel="0" collapsed="false">
      <c r="A48" s="2" t="s">
        <v>292</v>
      </c>
      <c r="B48" s="2" t="n">
        <v>40</v>
      </c>
      <c r="C48" s="2" t="s">
        <v>686</v>
      </c>
      <c r="D48" s="2" t="s">
        <v>34</v>
      </c>
      <c r="E48" s="2" t="s">
        <v>687</v>
      </c>
      <c r="F48" s="2" t="s">
        <v>49</v>
      </c>
      <c r="G48" s="2" t="s">
        <v>688</v>
      </c>
      <c r="H48" s="2" t="s">
        <v>36</v>
      </c>
      <c r="I48" s="2" t="s">
        <v>689</v>
      </c>
      <c r="J48" s="2" t="s">
        <v>293</v>
      </c>
      <c r="K48" s="2" t="s">
        <v>769</v>
      </c>
      <c r="L48" s="2" t="s">
        <v>69</v>
      </c>
      <c r="M48" s="2" t="s">
        <v>770</v>
      </c>
      <c r="N48" s="2" t="s">
        <v>44</v>
      </c>
      <c r="O48" s="2" t="n">
        <v>1</v>
      </c>
      <c r="P48" s="2" t="n">
        <v>1</v>
      </c>
      <c r="Q48" s="2" t="s">
        <v>61</v>
      </c>
      <c r="R48" s="2"/>
      <c r="S48" s="2" t="s">
        <v>211</v>
      </c>
      <c r="T48" s="2" t="s">
        <v>40</v>
      </c>
      <c r="U48" s="2"/>
      <c r="V48" s="2"/>
      <c r="W48" s="2" t="s">
        <v>212</v>
      </c>
      <c r="X48" s="2" t="s">
        <v>692</v>
      </c>
      <c r="Y48" s="2" t="n">
        <f aca="false">IF(AND(OR(Query_Interface!$B$5="All",$D48=Query_Interface!$B$5),OR(Query_Interface!$B$6="All",$F48=Query_Interface!$B$6),OR(Query_Interface!$B$7="All",$H48=Query_Interface!$B$7),OR(Query_Interface!$B$8="All",$N48=Query_Interface!$B$8),OR(Query_Interface!$B$9="All",$L48=Query_Interface!$B$9),OR(Query_Interface!$B$10="All",$R48=Query_Interface!$B$10),OR(Query_Interface!$B$11="All",$T48=Query_Interface!$B$11),OR(Query_Interface!$B$12="All",$Q48=Query_Interface!$B$12)),1,0)</f>
        <v>1</v>
      </c>
      <c r="Z48" s="2" t="n">
        <f aca="false">IF($Y48=1,COUNTIF($Y$2:$Y48,1),"")</f>
        <v>47</v>
      </c>
    </row>
    <row r="49" customFormat="false" ht="23.85" hidden="false" customHeight="false" outlineLevel="0" collapsed="false">
      <c r="A49" s="2" t="s">
        <v>294</v>
      </c>
      <c r="B49" s="2" t="n">
        <v>41</v>
      </c>
      <c r="C49" s="2" t="s">
        <v>686</v>
      </c>
      <c r="D49" s="2" t="s">
        <v>34</v>
      </c>
      <c r="E49" s="2" t="s">
        <v>687</v>
      </c>
      <c r="F49" s="2" t="s">
        <v>49</v>
      </c>
      <c r="G49" s="2" t="s">
        <v>688</v>
      </c>
      <c r="H49" s="2" t="s">
        <v>36</v>
      </c>
      <c r="I49" s="2" t="s">
        <v>689</v>
      </c>
      <c r="J49" s="2" t="s">
        <v>295</v>
      </c>
      <c r="K49" s="2" t="s">
        <v>771</v>
      </c>
      <c r="L49" s="2" t="s">
        <v>69</v>
      </c>
      <c r="M49" s="2" t="s">
        <v>772</v>
      </c>
      <c r="N49" s="2" t="s">
        <v>118</v>
      </c>
      <c r="O49" s="2" t="n">
        <v>1</v>
      </c>
      <c r="P49" s="2" t="n">
        <v>1</v>
      </c>
      <c r="Q49" s="2" t="s">
        <v>61</v>
      </c>
      <c r="R49" s="2"/>
      <c r="S49" s="2" t="s">
        <v>230</v>
      </c>
      <c r="T49" s="2" t="s">
        <v>40</v>
      </c>
      <c r="U49" s="2"/>
      <c r="V49" s="2"/>
      <c r="W49" s="2" t="s">
        <v>212</v>
      </c>
      <c r="X49" s="2" t="s">
        <v>692</v>
      </c>
      <c r="Y49" s="2" t="n">
        <f aca="false">IF(AND(OR(Query_Interface!$B$5="All",$D49=Query_Interface!$B$5),OR(Query_Interface!$B$6="All",$F49=Query_Interface!$B$6),OR(Query_Interface!$B$7="All",$H49=Query_Interface!$B$7),OR(Query_Interface!$B$8="All",$N49=Query_Interface!$B$8),OR(Query_Interface!$B$9="All",$L49=Query_Interface!$B$9),OR(Query_Interface!$B$10="All",$R49=Query_Interface!$B$10),OR(Query_Interface!$B$11="All",$T49=Query_Interface!$B$11),OR(Query_Interface!$B$12="All",$Q49=Query_Interface!$B$12)),1,0)</f>
        <v>1</v>
      </c>
      <c r="Z49" s="2" t="n">
        <f aca="false">IF($Y49=1,COUNTIF($Y$2:$Y49,1),"")</f>
        <v>48</v>
      </c>
    </row>
    <row r="50" customFormat="false" ht="23.85" hidden="false" customHeight="false" outlineLevel="0" collapsed="false">
      <c r="A50" s="2" t="s">
        <v>296</v>
      </c>
      <c r="B50" s="2" t="n">
        <v>42</v>
      </c>
      <c r="C50" s="2" t="s">
        <v>686</v>
      </c>
      <c r="D50" s="2" t="s">
        <v>34</v>
      </c>
      <c r="E50" s="2" t="s">
        <v>687</v>
      </c>
      <c r="F50" s="2" t="s">
        <v>49</v>
      </c>
      <c r="G50" s="2" t="s">
        <v>688</v>
      </c>
      <c r="H50" s="2" t="s">
        <v>36</v>
      </c>
      <c r="I50" s="2" t="s">
        <v>689</v>
      </c>
      <c r="J50" s="2" t="s">
        <v>297</v>
      </c>
      <c r="K50" s="2" t="s">
        <v>773</v>
      </c>
      <c r="L50" s="2" t="s">
        <v>69</v>
      </c>
      <c r="M50" s="2" t="s">
        <v>698</v>
      </c>
      <c r="N50" s="2" t="s">
        <v>104</v>
      </c>
      <c r="O50" s="2" t="n">
        <v>1</v>
      </c>
      <c r="P50" s="2" t="n">
        <v>1</v>
      </c>
      <c r="Q50" s="2" t="s">
        <v>61</v>
      </c>
      <c r="R50" s="2"/>
      <c r="S50" s="2" t="s">
        <v>215</v>
      </c>
      <c r="T50" s="2" t="s">
        <v>47</v>
      </c>
      <c r="U50" s="2"/>
      <c r="V50" s="2"/>
      <c r="W50" s="2" t="s">
        <v>212</v>
      </c>
      <c r="X50" s="2" t="s">
        <v>692</v>
      </c>
      <c r="Y50" s="2" t="n">
        <f aca="false">IF(AND(OR(Query_Interface!$B$5="All",$D50=Query_Interface!$B$5),OR(Query_Interface!$B$6="All",$F50=Query_Interface!$B$6),OR(Query_Interface!$B$7="All",$H50=Query_Interface!$B$7),OR(Query_Interface!$B$8="All",$N50=Query_Interface!$B$8),OR(Query_Interface!$B$9="All",$L50=Query_Interface!$B$9),OR(Query_Interface!$B$10="All",$R50=Query_Interface!$B$10),OR(Query_Interface!$B$11="All",$T50=Query_Interface!$B$11),OR(Query_Interface!$B$12="All",$Q50=Query_Interface!$B$12)),1,0)</f>
        <v>1</v>
      </c>
      <c r="Z50" s="2" t="n">
        <f aca="false">IF($Y50=1,COUNTIF($Y$2:$Y50,1),"")</f>
        <v>49</v>
      </c>
    </row>
    <row r="51" customFormat="false" ht="23.85" hidden="false" customHeight="false" outlineLevel="0" collapsed="false">
      <c r="A51" s="2" t="s">
        <v>298</v>
      </c>
      <c r="B51" s="2" t="n">
        <v>43</v>
      </c>
      <c r="C51" s="2" t="s">
        <v>686</v>
      </c>
      <c r="D51" s="2" t="s">
        <v>34</v>
      </c>
      <c r="E51" s="2" t="s">
        <v>687</v>
      </c>
      <c r="F51" s="2" t="s">
        <v>49</v>
      </c>
      <c r="G51" s="2" t="s">
        <v>688</v>
      </c>
      <c r="H51" s="2" t="s">
        <v>36</v>
      </c>
      <c r="I51" s="2" t="s">
        <v>689</v>
      </c>
      <c r="J51" s="2" t="s">
        <v>299</v>
      </c>
      <c r="K51" s="2" t="s">
        <v>774</v>
      </c>
      <c r="L51" s="2" t="s">
        <v>58</v>
      </c>
      <c r="M51" s="2" t="s">
        <v>775</v>
      </c>
      <c r="N51" s="2" t="s">
        <v>93</v>
      </c>
      <c r="O51" s="2" t="n">
        <v>1</v>
      </c>
      <c r="P51" s="2" t="n">
        <v>2</v>
      </c>
      <c r="Q51" s="2" t="s">
        <v>41</v>
      </c>
      <c r="R51" s="2"/>
      <c r="S51" s="2" t="s">
        <v>211</v>
      </c>
      <c r="T51" s="2" t="s">
        <v>47</v>
      </c>
      <c r="U51" s="2"/>
      <c r="V51" s="2"/>
      <c r="W51" s="2" t="s">
        <v>212</v>
      </c>
      <c r="X51" s="2" t="s">
        <v>692</v>
      </c>
      <c r="Y51" s="2" t="n">
        <f aca="false">IF(AND(OR(Query_Interface!$B$5="All",$D51=Query_Interface!$B$5),OR(Query_Interface!$B$6="All",$F51=Query_Interface!$B$6),OR(Query_Interface!$B$7="All",$H51=Query_Interface!$B$7),OR(Query_Interface!$B$8="All",$N51=Query_Interface!$B$8),OR(Query_Interface!$B$9="All",$L51=Query_Interface!$B$9),OR(Query_Interface!$B$10="All",$R51=Query_Interface!$B$10),OR(Query_Interface!$B$11="All",$T51=Query_Interface!$B$11),OR(Query_Interface!$B$12="All",$Q51=Query_Interface!$B$12)),1,0)</f>
        <v>1</v>
      </c>
      <c r="Z51" s="2" t="n">
        <f aca="false">IF($Y51=1,COUNTIF($Y$2:$Y51,1),"")</f>
        <v>50</v>
      </c>
    </row>
    <row r="52" customFormat="false" ht="23.85" hidden="false" customHeight="false" outlineLevel="0" collapsed="false">
      <c r="A52" s="2" t="s">
        <v>298</v>
      </c>
      <c r="B52" s="2" t="n">
        <v>43</v>
      </c>
      <c r="C52" s="2" t="s">
        <v>686</v>
      </c>
      <c r="D52" s="2" t="s">
        <v>34</v>
      </c>
      <c r="E52" s="2" t="s">
        <v>687</v>
      </c>
      <c r="F52" s="2" t="s">
        <v>49</v>
      </c>
      <c r="G52" s="2" t="s">
        <v>688</v>
      </c>
      <c r="H52" s="2" t="s">
        <v>36</v>
      </c>
      <c r="I52" s="2" t="s">
        <v>689</v>
      </c>
      <c r="J52" s="2" t="s">
        <v>299</v>
      </c>
      <c r="K52" s="2" t="s">
        <v>774</v>
      </c>
      <c r="L52" s="2" t="s">
        <v>58</v>
      </c>
      <c r="M52" s="2" t="s">
        <v>776</v>
      </c>
      <c r="N52" s="2" t="s">
        <v>92</v>
      </c>
      <c r="O52" s="2" t="n">
        <v>2</v>
      </c>
      <c r="P52" s="2" t="n">
        <v>2</v>
      </c>
      <c r="Q52" s="2" t="s">
        <v>41</v>
      </c>
      <c r="R52" s="2"/>
      <c r="S52" s="2" t="s">
        <v>211</v>
      </c>
      <c r="T52" s="2" t="s">
        <v>47</v>
      </c>
      <c r="U52" s="2"/>
      <c r="V52" s="2"/>
      <c r="W52" s="2" t="s">
        <v>212</v>
      </c>
      <c r="X52" s="2" t="s">
        <v>692</v>
      </c>
      <c r="Y52" s="2" t="n">
        <f aca="false">IF(AND(OR(Query_Interface!$B$5="All",$D52=Query_Interface!$B$5),OR(Query_Interface!$B$6="All",$F52=Query_Interface!$B$6),OR(Query_Interface!$B$7="All",$H52=Query_Interface!$B$7),OR(Query_Interface!$B$8="All",$N52=Query_Interface!$B$8),OR(Query_Interface!$B$9="All",$L52=Query_Interface!$B$9),OR(Query_Interface!$B$10="All",$R52=Query_Interface!$B$10),OR(Query_Interface!$B$11="All",$T52=Query_Interface!$B$11),OR(Query_Interface!$B$12="All",$Q52=Query_Interface!$B$12)),1,0)</f>
        <v>1</v>
      </c>
      <c r="Z52" s="2" t="n">
        <f aca="false">IF($Y52=1,COUNTIF($Y$2:$Y52,1),"")</f>
        <v>51</v>
      </c>
    </row>
    <row r="53" customFormat="false" ht="23.85" hidden="false" customHeight="false" outlineLevel="0" collapsed="false">
      <c r="A53" s="2" t="s">
        <v>300</v>
      </c>
      <c r="B53" s="2" t="n">
        <v>44</v>
      </c>
      <c r="C53" s="2" t="s">
        <v>686</v>
      </c>
      <c r="D53" s="2" t="s">
        <v>34</v>
      </c>
      <c r="E53" s="2" t="s">
        <v>687</v>
      </c>
      <c r="F53" s="2" t="s">
        <v>49</v>
      </c>
      <c r="G53" s="2" t="s">
        <v>688</v>
      </c>
      <c r="H53" s="2" t="s">
        <v>36</v>
      </c>
      <c r="I53" s="2" t="s">
        <v>689</v>
      </c>
      <c r="J53" s="2" t="s">
        <v>301</v>
      </c>
      <c r="K53" s="2" t="s">
        <v>777</v>
      </c>
      <c r="L53" s="2" t="s">
        <v>73</v>
      </c>
      <c r="M53" s="2" t="s">
        <v>744</v>
      </c>
      <c r="N53" s="2" t="s">
        <v>131</v>
      </c>
      <c r="O53" s="2" t="n">
        <v>1</v>
      </c>
      <c r="P53" s="2" t="n">
        <v>2</v>
      </c>
      <c r="Q53" s="2" t="s">
        <v>41</v>
      </c>
      <c r="R53" s="2"/>
      <c r="S53" s="2" t="s">
        <v>215</v>
      </c>
      <c r="T53" s="2" t="s">
        <v>47</v>
      </c>
      <c r="U53" s="2"/>
      <c r="V53" s="2"/>
      <c r="W53" s="2" t="s">
        <v>212</v>
      </c>
      <c r="X53" s="2" t="s">
        <v>692</v>
      </c>
      <c r="Y53" s="2" t="n">
        <f aca="false">IF(AND(OR(Query_Interface!$B$5="All",$D53=Query_Interface!$B$5),OR(Query_Interface!$B$6="All",$F53=Query_Interface!$B$6),OR(Query_Interface!$B$7="All",$H53=Query_Interface!$B$7),OR(Query_Interface!$B$8="All",$N53=Query_Interface!$B$8),OR(Query_Interface!$B$9="All",$L53=Query_Interface!$B$9),OR(Query_Interface!$B$10="All",$R53=Query_Interface!$B$10),OR(Query_Interface!$B$11="All",$T53=Query_Interface!$B$11),OR(Query_Interface!$B$12="All",$Q53=Query_Interface!$B$12)),1,0)</f>
        <v>1</v>
      </c>
      <c r="Z53" s="2" t="n">
        <f aca="false">IF($Y53=1,COUNTIF($Y$2:$Y53,1),"")</f>
        <v>52</v>
      </c>
    </row>
    <row r="54" customFormat="false" ht="23.85" hidden="false" customHeight="false" outlineLevel="0" collapsed="false">
      <c r="A54" s="2" t="s">
        <v>300</v>
      </c>
      <c r="B54" s="2" t="n">
        <v>44</v>
      </c>
      <c r="C54" s="2" t="s">
        <v>686</v>
      </c>
      <c r="D54" s="2" t="s">
        <v>34</v>
      </c>
      <c r="E54" s="2" t="s">
        <v>687</v>
      </c>
      <c r="F54" s="2" t="s">
        <v>49</v>
      </c>
      <c r="G54" s="2" t="s">
        <v>688</v>
      </c>
      <c r="H54" s="2" t="s">
        <v>36</v>
      </c>
      <c r="I54" s="2" t="s">
        <v>689</v>
      </c>
      <c r="J54" s="2" t="s">
        <v>301</v>
      </c>
      <c r="K54" s="2" t="s">
        <v>777</v>
      </c>
      <c r="L54" s="2" t="s">
        <v>73</v>
      </c>
      <c r="M54" s="2" t="s">
        <v>778</v>
      </c>
      <c r="N54" s="2" t="s">
        <v>129</v>
      </c>
      <c r="O54" s="2" t="n">
        <v>2</v>
      </c>
      <c r="P54" s="2" t="n">
        <v>2</v>
      </c>
      <c r="Q54" s="2" t="s">
        <v>41</v>
      </c>
      <c r="R54" s="2"/>
      <c r="S54" s="2" t="s">
        <v>215</v>
      </c>
      <c r="T54" s="2" t="s">
        <v>47</v>
      </c>
      <c r="U54" s="2"/>
      <c r="V54" s="2"/>
      <c r="W54" s="2" t="s">
        <v>212</v>
      </c>
      <c r="X54" s="2" t="s">
        <v>692</v>
      </c>
      <c r="Y54" s="2" t="n">
        <f aca="false">IF(AND(OR(Query_Interface!$B$5="All",$D54=Query_Interface!$B$5),OR(Query_Interface!$B$6="All",$F54=Query_Interface!$B$6),OR(Query_Interface!$B$7="All",$H54=Query_Interface!$B$7),OR(Query_Interface!$B$8="All",$N54=Query_Interface!$B$8),OR(Query_Interface!$B$9="All",$L54=Query_Interface!$B$9),OR(Query_Interface!$B$10="All",$R54=Query_Interface!$B$10),OR(Query_Interface!$B$11="All",$T54=Query_Interface!$B$11),OR(Query_Interface!$B$12="All",$Q54=Query_Interface!$B$12)),1,0)</f>
        <v>1</v>
      </c>
      <c r="Z54" s="2" t="n">
        <f aca="false">IF($Y54=1,COUNTIF($Y$2:$Y54,1),"")</f>
        <v>53</v>
      </c>
    </row>
    <row r="55" customFormat="false" ht="35.05" hidden="false" customHeight="false" outlineLevel="0" collapsed="false">
      <c r="A55" s="2" t="s">
        <v>302</v>
      </c>
      <c r="B55" s="2" t="n">
        <v>45</v>
      </c>
      <c r="C55" s="2" t="s">
        <v>686</v>
      </c>
      <c r="D55" s="2" t="s">
        <v>34</v>
      </c>
      <c r="E55" s="2" t="s">
        <v>687</v>
      </c>
      <c r="F55" s="2" t="s">
        <v>49</v>
      </c>
      <c r="G55" s="2" t="s">
        <v>688</v>
      </c>
      <c r="H55" s="2" t="s">
        <v>36</v>
      </c>
      <c r="I55" s="2" t="s">
        <v>689</v>
      </c>
      <c r="J55" s="2" t="s">
        <v>303</v>
      </c>
      <c r="K55" s="2" t="s">
        <v>779</v>
      </c>
      <c r="L55" s="2" t="s">
        <v>75</v>
      </c>
      <c r="M55" s="2" t="s">
        <v>780</v>
      </c>
      <c r="N55" s="2" t="s">
        <v>105</v>
      </c>
      <c r="O55" s="2" t="n">
        <v>1</v>
      </c>
      <c r="P55" s="2" t="n">
        <v>1</v>
      </c>
      <c r="Q55" s="2" t="s">
        <v>61</v>
      </c>
      <c r="R55" s="2"/>
      <c r="S55" s="2" t="s">
        <v>233</v>
      </c>
      <c r="T55" s="2" t="s">
        <v>47</v>
      </c>
      <c r="U55" s="2"/>
      <c r="V55" s="2"/>
      <c r="W55" s="2" t="s">
        <v>212</v>
      </c>
      <c r="X55" s="2" t="s">
        <v>692</v>
      </c>
      <c r="Y55" s="2" t="n">
        <f aca="false">IF(AND(OR(Query_Interface!$B$5="All",$D55=Query_Interface!$B$5),OR(Query_Interface!$B$6="All",$F55=Query_Interface!$B$6),OR(Query_Interface!$B$7="All",$H55=Query_Interface!$B$7),OR(Query_Interface!$B$8="All",$N55=Query_Interface!$B$8),OR(Query_Interface!$B$9="All",$L55=Query_Interface!$B$9),OR(Query_Interface!$B$10="All",$R55=Query_Interface!$B$10),OR(Query_Interface!$B$11="All",$T55=Query_Interface!$B$11),OR(Query_Interface!$B$12="All",$Q55=Query_Interface!$B$12)),1,0)</f>
        <v>1</v>
      </c>
      <c r="Z55" s="2" t="n">
        <f aca="false">IF($Y55=1,COUNTIF($Y$2:$Y55,1),"")</f>
        <v>54</v>
      </c>
    </row>
    <row r="56" customFormat="false" ht="35.05" hidden="false" customHeight="false" outlineLevel="0" collapsed="false">
      <c r="A56" s="2" t="s">
        <v>304</v>
      </c>
      <c r="B56" s="2" t="n">
        <v>46</v>
      </c>
      <c r="C56" s="2" t="s">
        <v>686</v>
      </c>
      <c r="D56" s="2" t="s">
        <v>34</v>
      </c>
      <c r="E56" s="2" t="s">
        <v>687</v>
      </c>
      <c r="F56" s="2" t="s">
        <v>49</v>
      </c>
      <c r="G56" s="2" t="s">
        <v>688</v>
      </c>
      <c r="H56" s="2" t="s">
        <v>36</v>
      </c>
      <c r="I56" s="2" t="s">
        <v>689</v>
      </c>
      <c r="J56" s="2" t="s">
        <v>305</v>
      </c>
      <c r="K56" s="2" t="s">
        <v>781</v>
      </c>
      <c r="L56" s="2" t="s">
        <v>75</v>
      </c>
      <c r="M56" s="2" t="s">
        <v>782</v>
      </c>
      <c r="N56" s="2" t="s">
        <v>133</v>
      </c>
      <c r="O56" s="2" t="n">
        <v>1</v>
      </c>
      <c r="P56" s="2" t="n">
        <v>1</v>
      </c>
      <c r="Q56" s="2" t="s">
        <v>61</v>
      </c>
      <c r="R56" s="2"/>
      <c r="S56" s="2" t="s">
        <v>211</v>
      </c>
      <c r="T56" s="2" t="s">
        <v>40</v>
      </c>
      <c r="U56" s="2"/>
      <c r="V56" s="2"/>
      <c r="W56" s="2" t="s">
        <v>212</v>
      </c>
      <c r="X56" s="2" t="s">
        <v>692</v>
      </c>
      <c r="Y56" s="2" t="n">
        <f aca="false">IF(AND(OR(Query_Interface!$B$5="All",$D56=Query_Interface!$B$5),OR(Query_Interface!$B$6="All",$F56=Query_Interface!$B$6),OR(Query_Interface!$B$7="All",$H56=Query_Interface!$B$7),OR(Query_Interface!$B$8="All",$N56=Query_Interface!$B$8),OR(Query_Interface!$B$9="All",$L56=Query_Interface!$B$9),OR(Query_Interface!$B$10="All",$R56=Query_Interface!$B$10),OR(Query_Interface!$B$11="All",$T56=Query_Interface!$B$11),OR(Query_Interface!$B$12="All",$Q56=Query_Interface!$B$12)),1,0)</f>
        <v>1</v>
      </c>
      <c r="Z56" s="2" t="n">
        <f aca="false">IF($Y56=1,COUNTIF($Y$2:$Y56,1),"")</f>
        <v>55</v>
      </c>
    </row>
    <row r="57" customFormat="false" ht="35.05" hidden="false" customHeight="false" outlineLevel="0" collapsed="false">
      <c r="A57" s="2" t="s">
        <v>306</v>
      </c>
      <c r="B57" s="2" t="n">
        <v>47</v>
      </c>
      <c r="C57" s="2" t="s">
        <v>686</v>
      </c>
      <c r="D57" s="2" t="s">
        <v>34</v>
      </c>
      <c r="E57" s="2" t="s">
        <v>687</v>
      </c>
      <c r="F57" s="2" t="s">
        <v>49</v>
      </c>
      <c r="G57" s="2" t="s">
        <v>688</v>
      </c>
      <c r="H57" s="2" t="s">
        <v>36</v>
      </c>
      <c r="I57" s="2" t="s">
        <v>689</v>
      </c>
      <c r="J57" s="2" t="s">
        <v>307</v>
      </c>
      <c r="K57" s="2" t="s">
        <v>783</v>
      </c>
      <c r="L57" s="2" t="s">
        <v>69</v>
      </c>
      <c r="M57" s="2" t="s">
        <v>784</v>
      </c>
      <c r="N57" s="2" t="s">
        <v>89</v>
      </c>
      <c r="O57" s="2" t="n">
        <v>1</v>
      </c>
      <c r="P57" s="2" t="n">
        <v>1</v>
      </c>
      <c r="Q57" s="2" t="s">
        <v>61</v>
      </c>
      <c r="R57" s="2"/>
      <c r="S57" s="2" t="s">
        <v>211</v>
      </c>
      <c r="T57" s="2" t="s">
        <v>40</v>
      </c>
      <c r="U57" s="2"/>
      <c r="V57" s="2"/>
      <c r="W57" s="2" t="s">
        <v>212</v>
      </c>
      <c r="X57" s="2" t="s">
        <v>692</v>
      </c>
      <c r="Y57" s="2" t="n">
        <f aca="false">IF(AND(OR(Query_Interface!$B$5="All",$D57=Query_Interface!$B$5),OR(Query_Interface!$B$6="All",$F57=Query_Interface!$B$6),OR(Query_Interface!$B$7="All",$H57=Query_Interface!$B$7),OR(Query_Interface!$B$8="All",$N57=Query_Interface!$B$8),OR(Query_Interface!$B$9="All",$L57=Query_Interface!$B$9),OR(Query_Interface!$B$10="All",$R57=Query_Interface!$B$10),OR(Query_Interface!$B$11="All",$T57=Query_Interface!$B$11),OR(Query_Interface!$B$12="All",$Q57=Query_Interface!$B$12)),1,0)</f>
        <v>1</v>
      </c>
      <c r="Z57" s="2" t="n">
        <f aca="false">IF($Y57=1,COUNTIF($Y$2:$Y57,1),"")</f>
        <v>56</v>
      </c>
    </row>
    <row r="58" customFormat="false" ht="35.05" hidden="false" customHeight="false" outlineLevel="0" collapsed="false">
      <c r="A58" s="2" t="s">
        <v>308</v>
      </c>
      <c r="B58" s="2" t="n">
        <v>48</v>
      </c>
      <c r="C58" s="2" t="s">
        <v>686</v>
      </c>
      <c r="D58" s="2" t="s">
        <v>34</v>
      </c>
      <c r="E58" s="2" t="s">
        <v>687</v>
      </c>
      <c r="F58" s="2" t="s">
        <v>49</v>
      </c>
      <c r="G58" s="2" t="s">
        <v>688</v>
      </c>
      <c r="H58" s="2" t="s">
        <v>36</v>
      </c>
      <c r="I58" s="2" t="s">
        <v>689</v>
      </c>
      <c r="J58" s="2" t="s">
        <v>309</v>
      </c>
      <c r="K58" s="2" t="s">
        <v>785</v>
      </c>
      <c r="L58" s="2" t="s">
        <v>71</v>
      </c>
      <c r="M58" s="2" t="s">
        <v>786</v>
      </c>
      <c r="N58" s="2" t="s">
        <v>122</v>
      </c>
      <c r="O58" s="2" t="n">
        <v>1</v>
      </c>
      <c r="P58" s="2" t="n">
        <v>1</v>
      </c>
      <c r="Q58" s="2" t="s">
        <v>61</v>
      </c>
      <c r="R58" s="2"/>
      <c r="S58" s="2" t="s">
        <v>211</v>
      </c>
      <c r="T58" s="2" t="s">
        <v>40</v>
      </c>
      <c r="U58" s="2"/>
      <c r="V58" s="2"/>
      <c r="W58" s="2" t="s">
        <v>212</v>
      </c>
      <c r="X58" s="2" t="s">
        <v>692</v>
      </c>
      <c r="Y58" s="2" t="n">
        <f aca="false">IF(AND(OR(Query_Interface!$B$5="All",$D58=Query_Interface!$B$5),OR(Query_Interface!$B$6="All",$F58=Query_Interface!$B$6),OR(Query_Interface!$B$7="All",$H58=Query_Interface!$B$7),OR(Query_Interface!$B$8="All",$N58=Query_Interface!$B$8),OR(Query_Interface!$B$9="All",$L58=Query_Interface!$B$9),OR(Query_Interface!$B$10="All",$R58=Query_Interface!$B$10),OR(Query_Interface!$B$11="All",$T58=Query_Interface!$B$11),OR(Query_Interface!$B$12="All",$Q58=Query_Interface!$B$12)),1,0)</f>
        <v>1</v>
      </c>
      <c r="Z58" s="2" t="n">
        <f aca="false">IF($Y58=1,COUNTIF($Y$2:$Y58,1),"")</f>
        <v>57</v>
      </c>
    </row>
    <row r="59" customFormat="false" ht="23.85" hidden="false" customHeight="false" outlineLevel="0" collapsed="false">
      <c r="A59" s="2" t="s">
        <v>310</v>
      </c>
      <c r="B59" s="2" t="n">
        <v>49</v>
      </c>
      <c r="C59" s="2" t="s">
        <v>686</v>
      </c>
      <c r="D59" s="2" t="s">
        <v>34</v>
      </c>
      <c r="E59" s="2" t="s">
        <v>687</v>
      </c>
      <c r="F59" s="2" t="s">
        <v>49</v>
      </c>
      <c r="G59" s="2" t="s">
        <v>688</v>
      </c>
      <c r="H59" s="2" t="s">
        <v>36</v>
      </c>
      <c r="I59" s="2" t="s">
        <v>689</v>
      </c>
      <c r="J59" s="2" t="s">
        <v>311</v>
      </c>
      <c r="K59" s="2" t="s">
        <v>787</v>
      </c>
      <c r="L59" s="2" t="s">
        <v>52</v>
      </c>
      <c r="M59" s="2" t="s">
        <v>788</v>
      </c>
      <c r="N59" s="2" t="s">
        <v>37</v>
      </c>
      <c r="O59" s="2" t="n">
        <v>1</v>
      </c>
      <c r="P59" s="2" t="n">
        <v>2</v>
      </c>
      <c r="Q59" s="2" t="s">
        <v>41</v>
      </c>
      <c r="R59" s="2"/>
      <c r="S59" s="2" t="s">
        <v>211</v>
      </c>
      <c r="T59" s="2" t="s">
        <v>40</v>
      </c>
      <c r="U59" s="2"/>
      <c r="V59" s="2"/>
      <c r="W59" s="2" t="s">
        <v>212</v>
      </c>
      <c r="X59" s="2" t="s">
        <v>692</v>
      </c>
      <c r="Y59" s="2" t="n">
        <f aca="false">IF(AND(OR(Query_Interface!$B$5="All",$D59=Query_Interface!$B$5),OR(Query_Interface!$B$6="All",$F59=Query_Interface!$B$6),OR(Query_Interface!$B$7="All",$H59=Query_Interface!$B$7),OR(Query_Interface!$B$8="All",$N59=Query_Interface!$B$8),OR(Query_Interface!$B$9="All",$L59=Query_Interface!$B$9),OR(Query_Interface!$B$10="All",$R59=Query_Interface!$B$10),OR(Query_Interface!$B$11="All",$T59=Query_Interface!$B$11),OR(Query_Interface!$B$12="All",$Q59=Query_Interface!$B$12)),1,0)</f>
        <v>1</v>
      </c>
      <c r="Z59" s="2" t="n">
        <f aca="false">IF($Y59=1,COUNTIF($Y$2:$Y59,1),"")</f>
        <v>58</v>
      </c>
    </row>
    <row r="60" customFormat="false" ht="23.85" hidden="false" customHeight="false" outlineLevel="0" collapsed="false">
      <c r="A60" s="2" t="s">
        <v>310</v>
      </c>
      <c r="B60" s="2" t="n">
        <v>49</v>
      </c>
      <c r="C60" s="2" t="s">
        <v>686</v>
      </c>
      <c r="D60" s="2" t="s">
        <v>34</v>
      </c>
      <c r="E60" s="2" t="s">
        <v>687</v>
      </c>
      <c r="F60" s="2" t="s">
        <v>49</v>
      </c>
      <c r="G60" s="2" t="s">
        <v>688</v>
      </c>
      <c r="H60" s="2" t="s">
        <v>36</v>
      </c>
      <c r="I60" s="2" t="s">
        <v>689</v>
      </c>
      <c r="J60" s="2" t="s">
        <v>311</v>
      </c>
      <c r="K60" s="2" t="s">
        <v>787</v>
      </c>
      <c r="L60" s="2" t="s">
        <v>52</v>
      </c>
      <c r="M60" s="2" t="s">
        <v>768</v>
      </c>
      <c r="N60" s="2" t="s">
        <v>90</v>
      </c>
      <c r="O60" s="2" t="n">
        <v>2</v>
      </c>
      <c r="P60" s="2" t="n">
        <v>2</v>
      </c>
      <c r="Q60" s="2" t="s">
        <v>41</v>
      </c>
      <c r="R60" s="2"/>
      <c r="S60" s="2" t="s">
        <v>211</v>
      </c>
      <c r="T60" s="2" t="s">
        <v>40</v>
      </c>
      <c r="U60" s="2"/>
      <c r="V60" s="2"/>
      <c r="W60" s="2" t="s">
        <v>212</v>
      </c>
      <c r="X60" s="2" t="s">
        <v>692</v>
      </c>
      <c r="Y60" s="2" t="n">
        <f aca="false">IF(AND(OR(Query_Interface!$B$5="All",$D60=Query_Interface!$B$5),OR(Query_Interface!$B$6="All",$F60=Query_Interface!$B$6),OR(Query_Interface!$B$7="All",$H60=Query_Interface!$B$7),OR(Query_Interface!$B$8="All",$N60=Query_Interface!$B$8),OR(Query_Interface!$B$9="All",$L60=Query_Interface!$B$9),OR(Query_Interface!$B$10="All",$R60=Query_Interface!$B$10),OR(Query_Interface!$B$11="All",$T60=Query_Interface!$B$11),OR(Query_Interface!$B$12="All",$Q60=Query_Interface!$B$12)),1,0)</f>
        <v>1</v>
      </c>
      <c r="Z60" s="2" t="n">
        <f aca="false">IF($Y60=1,COUNTIF($Y$2:$Y60,1),"")</f>
        <v>59</v>
      </c>
    </row>
    <row r="61" customFormat="false" ht="23.85" hidden="false" customHeight="false" outlineLevel="0" collapsed="false">
      <c r="A61" s="2" t="s">
        <v>312</v>
      </c>
      <c r="B61" s="2" t="n">
        <v>50</v>
      </c>
      <c r="C61" s="2" t="s">
        <v>686</v>
      </c>
      <c r="D61" s="2" t="s">
        <v>34</v>
      </c>
      <c r="E61" s="2" t="s">
        <v>687</v>
      </c>
      <c r="F61" s="2" t="s">
        <v>49</v>
      </c>
      <c r="G61" s="2" t="s">
        <v>688</v>
      </c>
      <c r="H61" s="2" t="s">
        <v>36</v>
      </c>
      <c r="I61" s="2" t="s">
        <v>689</v>
      </c>
      <c r="J61" s="2" t="s">
        <v>313</v>
      </c>
      <c r="K61" s="2" t="s">
        <v>789</v>
      </c>
      <c r="L61" s="2" t="s">
        <v>69</v>
      </c>
      <c r="M61" s="2" t="s">
        <v>698</v>
      </c>
      <c r="N61" s="2" t="s">
        <v>104</v>
      </c>
      <c r="O61" s="2" t="n">
        <v>1</v>
      </c>
      <c r="P61" s="2" t="n">
        <v>1</v>
      </c>
      <c r="Q61" s="2" t="s">
        <v>61</v>
      </c>
      <c r="R61" s="2"/>
      <c r="S61" s="2" t="s">
        <v>215</v>
      </c>
      <c r="T61" s="2" t="s">
        <v>47</v>
      </c>
      <c r="U61" s="2"/>
      <c r="V61" s="2"/>
      <c r="W61" s="2" t="s">
        <v>212</v>
      </c>
      <c r="X61" s="2" t="s">
        <v>692</v>
      </c>
      <c r="Y61" s="2" t="n">
        <f aca="false">IF(AND(OR(Query_Interface!$B$5="All",$D61=Query_Interface!$B$5),OR(Query_Interface!$B$6="All",$F61=Query_Interface!$B$6),OR(Query_Interface!$B$7="All",$H61=Query_Interface!$B$7),OR(Query_Interface!$B$8="All",$N61=Query_Interface!$B$8),OR(Query_Interface!$B$9="All",$L61=Query_Interface!$B$9),OR(Query_Interface!$B$10="All",$R61=Query_Interface!$B$10),OR(Query_Interface!$B$11="All",$T61=Query_Interface!$B$11),OR(Query_Interface!$B$12="All",$Q61=Query_Interface!$B$12)),1,0)</f>
        <v>1</v>
      </c>
      <c r="Z61" s="2" t="n">
        <f aca="false">IF($Y61=1,COUNTIF($Y$2:$Y61,1),"")</f>
        <v>60</v>
      </c>
    </row>
    <row r="62" customFormat="false" ht="23.85" hidden="false" customHeight="false" outlineLevel="0" collapsed="false">
      <c r="A62" s="2" t="s">
        <v>314</v>
      </c>
      <c r="B62" s="2" t="n">
        <v>51</v>
      </c>
      <c r="C62" s="2" t="s">
        <v>686</v>
      </c>
      <c r="D62" s="2" t="s">
        <v>34</v>
      </c>
      <c r="E62" s="2" t="s">
        <v>687</v>
      </c>
      <c r="F62" s="2" t="s">
        <v>49</v>
      </c>
      <c r="G62" s="2" t="s">
        <v>688</v>
      </c>
      <c r="H62" s="2" t="s">
        <v>36</v>
      </c>
      <c r="I62" s="2" t="s">
        <v>689</v>
      </c>
      <c r="J62" s="2" t="s">
        <v>315</v>
      </c>
      <c r="K62" s="2" t="s">
        <v>790</v>
      </c>
      <c r="L62" s="2" t="s">
        <v>58</v>
      </c>
      <c r="M62" s="2" t="s">
        <v>776</v>
      </c>
      <c r="N62" s="2" t="s">
        <v>92</v>
      </c>
      <c r="O62" s="2" t="n">
        <v>1</v>
      </c>
      <c r="P62" s="2" t="n">
        <v>1</v>
      </c>
      <c r="Q62" s="2" t="s">
        <v>61</v>
      </c>
      <c r="R62" s="2"/>
      <c r="S62" s="2" t="s">
        <v>211</v>
      </c>
      <c r="T62" s="2" t="s">
        <v>47</v>
      </c>
      <c r="U62" s="2"/>
      <c r="V62" s="2"/>
      <c r="W62" s="2" t="s">
        <v>212</v>
      </c>
      <c r="X62" s="2" t="s">
        <v>692</v>
      </c>
      <c r="Y62" s="2" t="n">
        <f aca="false">IF(AND(OR(Query_Interface!$B$5="All",$D62=Query_Interface!$B$5),OR(Query_Interface!$B$6="All",$F62=Query_Interface!$B$6),OR(Query_Interface!$B$7="All",$H62=Query_Interface!$B$7),OR(Query_Interface!$B$8="All",$N62=Query_Interface!$B$8),OR(Query_Interface!$B$9="All",$L62=Query_Interface!$B$9),OR(Query_Interface!$B$10="All",$R62=Query_Interface!$B$10),OR(Query_Interface!$B$11="All",$T62=Query_Interface!$B$11),OR(Query_Interface!$B$12="All",$Q62=Query_Interface!$B$12)),1,0)</f>
        <v>1</v>
      </c>
      <c r="Z62" s="2" t="n">
        <f aca="false">IF($Y62=1,COUNTIF($Y$2:$Y62,1),"")</f>
        <v>61</v>
      </c>
    </row>
    <row r="63" customFormat="false" ht="23.85" hidden="false" customHeight="false" outlineLevel="0" collapsed="false">
      <c r="A63" s="2" t="s">
        <v>316</v>
      </c>
      <c r="B63" s="2" t="n">
        <v>52</v>
      </c>
      <c r="C63" s="2" t="s">
        <v>686</v>
      </c>
      <c r="D63" s="2" t="s">
        <v>34</v>
      </c>
      <c r="E63" s="2" t="s">
        <v>687</v>
      </c>
      <c r="F63" s="2" t="s">
        <v>49</v>
      </c>
      <c r="G63" s="2" t="s">
        <v>688</v>
      </c>
      <c r="H63" s="2" t="s">
        <v>36</v>
      </c>
      <c r="I63" s="2" t="s">
        <v>689</v>
      </c>
      <c r="J63" s="2" t="s">
        <v>317</v>
      </c>
      <c r="K63" s="2" t="s">
        <v>791</v>
      </c>
      <c r="L63" s="2" t="s">
        <v>58</v>
      </c>
      <c r="M63" s="2" t="s">
        <v>792</v>
      </c>
      <c r="N63" s="2" t="s">
        <v>95</v>
      </c>
      <c r="O63" s="2" t="n">
        <v>1</v>
      </c>
      <c r="P63" s="2" t="n">
        <v>2</v>
      </c>
      <c r="Q63" s="2" t="s">
        <v>41</v>
      </c>
      <c r="R63" s="2"/>
      <c r="S63" s="2" t="s">
        <v>215</v>
      </c>
      <c r="T63" s="2" t="s">
        <v>40</v>
      </c>
      <c r="U63" s="2"/>
      <c r="V63" s="2"/>
      <c r="W63" s="2" t="s">
        <v>212</v>
      </c>
      <c r="X63" s="2" t="s">
        <v>692</v>
      </c>
      <c r="Y63" s="2" t="n">
        <f aca="false">IF(AND(OR(Query_Interface!$B$5="All",$D63=Query_Interface!$B$5),OR(Query_Interface!$B$6="All",$F63=Query_Interface!$B$6),OR(Query_Interface!$B$7="All",$H63=Query_Interface!$B$7),OR(Query_Interface!$B$8="All",$N63=Query_Interface!$B$8),OR(Query_Interface!$B$9="All",$L63=Query_Interface!$B$9),OR(Query_Interface!$B$10="All",$R63=Query_Interface!$B$10),OR(Query_Interface!$B$11="All",$T63=Query_Interface!$B$11),OR(Query_Interface!$B$12="All",$Q63=Query_Interface!$B$12)),1,0)</f>
        <v>1</v>
      </c>
      <c r="Z63" s="2" t="n">
        <f aca="false">IF($Y63=1,COUNTIF($Y$2:$Y63,1),"")</f>
        <v>62</v>
      </c>
    </row>
    <row r="64" customFormat="false" ht="23.85" hidden="false" customHeight="false" outlineLevel="0" collapsed="false">
      <c r="A64" s="2" t="s">
        <v>316</v>
      </c>
      <c r="B64" s="2" t="n">
        <v>52</v>
      </c>
      <c r="C64" s="2" t="s">
        <v>686</v>
      </c>
      <c r="D64" s="2" t="s">
        <v>34</v>
      </c>
      <c r="E64" s="2" t="s">
        <v>687</v>
      </c>
      <c r="F64" s="2" t="s">
        <v>49</v>
      </c>
      <c r="G64" s="2" t="s">
        <v>688</v>
      </c>
      <c r="H64" s="2" t="s">
        <v>36</v>
      </c>
      <c r="I64" s="2" t="s">
        <v>689</v>
      </c>
      <c r="J64" s="2" t="s">
        <v>317</v>
      </c>
      <c r="K64" s="2" t="s">
        <v>791</v>
      </c>
      <c r="L64" s="2" t="s">
        <v>58</v>
      </c>
      <c r="M64" s="2" t="s">
        <v>793</v>
      </c>
      <c r="N64" s="2" t="s">
        <v>130</v>
      </c>
      <c r="O64" s="2" t="n">
        <v>2</v>
      </c>
      <c r="P64" s="2" t="n">
        <v>2</v>
      </c>
      <c r="Q64" s="2" t="s">
        <v>41</v>
      </c>
      <c r="R64" s="2"/>
      <c r="S64" s="2" t="s">
        <v>215</v>
      </c>
      <c r="T64" s="2" t="s">
        <v>40</v>
      </c>
      <c r="U64" s="2"/>
      <c r="V64" s="2"/>
      <c r="W64" s="2" t="s">
        <v>212</v>
      </c>
      <c r="X64" s="2" t="s">
        <v>692</v>
      </c>
      <c r="Y64" s="2" t="n">
        <f aca="false">IF(AND(OR(Query_Interface!$B$5="All",$D64=Query_Interface!$B$5),OR(Query_Interface!$B$6="All",$F64=Query_Interface!$B$6),OR(Query_Interface!$B$7="All",$H64=Query_Interface!$B$7),OR(Query_Interface!$B$8="All",$N64=Query_Interface!$B$8),OR(Query_Interface!$B$9="All",$L64=Query_Interface!$B$9),OR(Query_Interface!$B$10="All",$R64=Query_Interface!$B$10),OR(Query_Interface!$B$11="All",$T64=Query_Interface!$B$11),OR(Query_Interface!$B$12="All",$Q64=Query_Interface!$B$12)),1,0)</f>
        <v>1</v>
      </c>
      <c r="Z64" s="2" t="n">
        <f aca="false">IF($Y64=1,COUNTIF($Y$2:$Y64,1),"")</f>
        <v>63</v>
      </c>
    </row>
    <row r="65" customFormat="false" ht="35.05" hidden="false" customHeight="false" outlineLevel="0" collapsed="false">
      <c r="A65" s="2" t="s">
        <v>318</v>
      </c>
      <c r="B65" s="2" t="n">
        <v>53</v>
      </c>
      <c r="C65" s="2" t="s">
        <v>686</v>
      </c>
      <c r="D65" s="2" t="s">
        <v>34</v>
      </c>
      <c r="E65" s="2" t="s">
        <v>687</v>
      </c>
      <c r="F65" s="2" t="s">
        <v>49</v>
      </c>
      <c r="G65" s="2" t="s">
        <v>688</v>
      </c>
      <c r="H65" s="2" t="s">
        <v>36</v>
      </c>
      <c r="I65" s="2" t="s">
        <v>689</v>
      </c>
      <c r="J65" s="2" t="s">
        <v>319</v>
      </c>
      <c r="K65" s="2" t="s">
        <v>794</v>
      </c>
      <c r="L65" s="2" t="s">
        <v>58</v>
      </c>
      <c r="M65" s="2" t="s">
        <v>795</v>
      </c>
      <c r="N65" s="2" t="s">
        <v>97</v>
      </c>
      <c r="O65" s="2" t="n">
        <v>1</v>
      </c>
      <c r="P65" s="2" t="n">
        <v>1</v>
      </c>
      <c r="Q65" s="2" t="s">
        <v>61</v>
      </c>
      <c r="R65" s="2"/>
      <c r="S65" s="2" t="s">
        <v>211</v>
      </c>
      <c r="T65" s="2" t="s">
        <v>40</v>
      </c>
      <c r="U65" s="2"/>
      <c r="V65" s="2"/>
      <c r="W65" s="2" t="s">
        <v>212</v>
      </c>
      <c r="X65" s="2" t="s">
        <v>692</v>
      </c>
      <c r="Y65" s="2" t="n">
        <f aca="false">IF(AND(OR(Query_Interface!$B$5="All",$D65=Query_Interface!$B$5),OR(Query_Interface!$B$6="All",$F65=Query_Interface!$B$6),OR(Query_Interface!$B$7="All",$H65=Query_Interface!$B$7),OR(Query_Interface!$B$8="All",$N65=Query_Interface!$B$8),OR(Query_Interface!$B$9="All",$L65=Query_Interface!$B$9),OR(Query_Interface!$B$10="All",$R65=Query_Interface!$B$10),OR(Query_Interface!$B$11="All",$T65=Query_Interface!$B$11),OR(Query_Interface!$B$12="All",$Q65=Query_Interface!$B$12)),1,0)</f>
        <v>1</v>
      </c>
      <c r="Z65" s="2" t="n">
        <f aca="false">IF($Y65=1,COUNTIF($Y$2:$Y65,1),"")</f>
        <v>64</v>
      </c>
    </row>
    <row r="66" customFormat="false" ht="35.05" hidden="false" customHeight="false" outlineLevel="0" collapsed="false">
      <c r="A66" s="2" t="s">
        <v>320</v>
      </c>
      <c r="B66" s="2" t="n">
        <v>54</v>
      </c>
      <c r="C66" s="2" t="s">
        <v>686</v>
      </c>
      <c r="D66" s="2" t="s">
        <v>34</v>
      </c>
      <c r="E66" s="2" t="s">
        <v>687</v>
      </c>
      <c r="F66" s="2" t="s">
        <v>49</v>
      </c>
      <c r="G66" s="2" t="s">
        <v>688</v>
      </c>
      <c r="H66" s="2" t="s">
        <v>36</v>
      </c>
      <c r="I66" s="2" t="s">
        <v>689</v>
      </c>
      <c r="J66" s="2" t="s">
        <v>321</v>
      </c>
      <c r="K66" s="2" t="s">
        <v>796</v>
      </c>
      <c r="L66" s="2" t="s">
        <v>75</v>
      </c>
      <c r="M66" s="2" t="s">
        <v>792</v>
      </c>
      <c r="N66" s="2" t="s">
        <v>95</v>
      </c>
      <c r="O66" s="2" t="n">
        <v>1</v>
      </c>
      <c r="P66" s="2" t="n">
        <v>1</v>
      </c>
      <c r="Q66" s="2" t="s">
        <v>61</v>
      </c>
      <c r="R66" s="2"/>
      <c r="S66" s="2" t="s">
        <v>211</v>
      </c>
      <c r="T66" s="2" t="s">
        <v>40</v>
      </c>
      <c r="U66" s="2"/>
      <c r="V66" s="2"/>
      <c r="W66" s="2" t="s">
        <v>212</v>
      </c>
      <c r="X66" s="2" t="s">
        <v>692</v>
      </c>
      <c r="Y66" s="2" t="n">
        <f aca="false">IF(AND(OR(Query_Interface!$B$5="All",$D66=Query_Interface!$B$5),OR(Query_Interface!$B$6="All",$F66=Query_Interface!$B$6),OR(Query_Interface!$B$7="All",$H66=Query_Interface!$B$7),OR(Query_Interface!$B$8="All",$N66=Query_Interface!$B$8),OR(Query_Interface!$B$9="All",$L66=Query_Interface!$B$9),OR(Query_Interface!$B$10="All",$R66=Query_Interface!$B$10),OR(Query_Interface!$B$11="All",$T66=Query_Interface!$B$11),OR(Query_Interface!$B$12="All",$Q66=Query_Interface!$B$12)),1,0)</f>
        <v>1</v>
      </c>
      <c r="Z66" s="2" t="n">
        <f aca="false">IF($Y66=1,COUNTIF($Y$2:$Y66,1),"")</f>
        <v>65</v>
      </c>
    </row>
    <row r="67" customFormat="false" ht="23.85" hidden="false" customHeight="false" outlineLevel="0" collapsed="false">
      <c r="A67" s="2" t="s">
        <v>322</v>
      </c>
      <c r="B67" s="2" t="n">
        <v>55</v>
      </c>
      <c r="C67" s="2" t="s">
        <v>686</v>
      </c>
      <c r="D67" s="2" t="s">
        <v>34</v>
      </c>
      <c r="E67" s="2" t="s">
        <v>687</v>
      </c>
      <c r="F67" s="2" t="s">
        <v>49</v>
      </c>
      <c r="G67" s="2" t="s">
        <v>688</v>
      </c>
      <c r="H67" s="2" t="s">
        <v>36</v>
      </c>
      <c r="I67" s="2" t="s">
        <v>689</v>
      </c>
      <c r="J67" s="2" t="s">
        <v>323</v>
      </c>
      <c r="K67" s="2" t="s">
        <v>797</v>
      </c>
      <c r="L67" s="2" t="s">
        <v>75</v>
      </c>
      <c r="M67" s="2" t="s">
        <v>798</v>
      </c>
      <c r="N67" s="2" t="s">
        <v>140</v>
      </c>
      <c r="O67" s="2" t="n">
        <v>1</v>
      </c>
      <c r="P67" s="2" t="n">
        <v>1</v>
      </c>
      <c r="Q67" s="2" t="s">
        <v>61</v>
      </c>
      <c r="R67" s="2"/>
      <c r="S67" s="2" t="s">
        <v>233</v>
      </c>
      <c r="T67" s="2" t="s">
        <v>40</v>
      </c>
      <c r="U67" s="2"/>
      <c r="V67" s="2"/>
      <c r="W67" s="2" t="s">
        <v>212</v>
      </c>
      <c r="X67" s="2" t="s">
        <v>692</v>
      </c>
      <c r="Y67" s="2" t="n">
        <f aca="false">IF(AND(OR(Query_Interface!$B$5="All",$D67=Query_Interface!$B$5),OR(Query_Interface!$B$6="All",$F67=Query_Interface!$B$6),OR(Query_Interface!$B$7="All",$H67=Query_Interface!$B$7),OR(Query_Interface!$B$8="All",$N67=Query_Interface!$B$8),OR(Query_Interface!$B$9="All",$L67=Query_Interface!$B$9),OR(Query_Interface!$B$10="All",$R67=Query_Interface!$B$10),OR(Query_Interface!$B$11="All",$T67=Query_Interface!$B$11),OR(Query_Interface!$B$12="All",$Q67=Query_Interface!$B$12)),1,0)</f>
        <v>1</v>
      </c>
      <c r="Z67" s="2" t="n">
        <f aca="false">IF($Y67=1,COUNTIF($Y$2:$Y67,1),"")</f>
        <v>66</v>
      </c>
    </row>
    <row r="68" customFormat="false" ht="23.85" hidden="false" customHeight="false" outlineLevel="0" collapsed="false">
      <c r="A68" s="2" t="s">
        <v>324</v>
      </c>
      <c r="B68" s="2" t="n">
        <v>56</v>
      </c>
      <c r="C68" s="2" t="s">
        <v>686</v>
      </c>
      <c r="D68" s="2" t="s">
        <v>34</v>
      </c>
      <c r="E68" s="2" t="s">
        <v>687</v>
      </c>
      <c r="F68" s="2" t="s">
        <v>49</v>
      </c>
      <c r="G68" s="2" t="s">
        <v>688</v>
      </c>
      <c r="H68" s="2" t="s">
        <v>36</v>
      </c>
      <c r="I68" s="2" t="s">
        <v>689</v>
      </c>
      <c r="J68" s="2" t="s">
        <v>325</v>
      </c>
      <c r="K68" s="2" t="s">
        <v>799</v>
      </c>
      <c r="L68" s="2" t="s">
        <v>66</v>
      </c>
      <c r="M68" s="2" t="s">
        <v>800</v>
      </c>
      <c r="N68" s="2" t="s">
        <v>102</v>
      </c>
      <c r="O68" s="2" t="n">
        <v>1</v>
      </c>
      <c r="P68" s="2" t="n">
        <v>1</v>
      </c>
      <c r="Q68" s="2" t="s">
        <v>61</v>
      </c>
      <c r="R68" s="2"/>
      <c r="S68" s="2" t="s">
        <v>230</v>
      </c>
      <c r="T68" s="2" t="s">
        <v>40</v>
      </c>
      <c r="U68" s="2"/>
      <c r="V68" s="2"/>
      <c r="W68" s="2" t="s">
        <v>212</v>
      </c>
      <c r="X68" s="2" t="s">
        <v>692</v>
      </c>
      <c r="Y68" s="2" t="n">
        <f aca="false">IF(AND(OR(Query_Interface!$B$5="All",$D68=Query_Interface!$B$5),OR(Query_Interface!$B$6="All",$F68=Query_Interface!$B$6),OR(Query_Interface!$B$7="All",$H68=Query_Interface!$B$7),OR(Query_Interface!$B$8="All",$N68=Query_Interface!$B$8),OR(Query_Interface!$B$9="All",$L68=Query_Interface!$B$9),OR(Query_Interface!$B$10="All",$R68=Query_Interface!$B$10),OR(Query_Interface!$B$11="All",$T68=Query_Interface!$B$11),OR(Query_Interface!$B$12="All",$Q68=Query_Interface!$B$12)),1,0)</f>
        <v>1</v>
      </c>
      <c r="Z68" s="2" t="n">
        <f aca="false">IF($Y68=1,COUNTIF($Y$2:$Y68,1),"")</f>
        <v>67</v>
      </c>
    </row>
    <row r="69" customFormat="false" ht="23.85" hidden="false" customHeight="false" outlineLevel="0" collapsed="false">
      <c r="A69" s="2" t="s">
        <v>326</v>
      </c>
      <c r="B69" s="2" t="n">
        <v>57</v>
      </c>
      <c r="C69" s="2" t="s">
        <v>686</v>
      </c>
      <c r="D69" s="2" t="s">
        <v>34</v>
      </c>
      <c r="E69" s="2" t="s">
        <v>687</v>
      </c>
      <c r="F69" s="2" t="s">
        <v>49</v>
      </c>
      <c r="G69" s="2" t="s">
        <v>688</v>
      </c>
      <c r="H69" s="2" t="s">
        <v>36</v>
      </c>
      <c r="I69" s="2" t="s">
        <v>689</v>
      </c>
      <c r="J69" s="2" t="s">
        <v>327</v>
      </c>
      <c r="K69" s="2" t="s">
        <v>801</v>
      </c>
      <c r="L69" s="2" t="s">
        <v>69</v>
      </c>
      <c r="M69" s="2" t="s">
        <v>802</v>
      </c>
      <c r="N69" s="2" t="s">
        <v>109</v>
      </c>
      <c r="O69" s="2" t="n">
        <v>1</v>
      </c>
      <c r="P69" s="2" t="n">
        <v>1</v>
      </c>
      <c r="Q69" s="2" t="s">
        <v>61</v>
      </c>
      <c r="R69" s="2"/>
      <c r="S69" s="2" t="s">
        <v>233</v>
      </c>
      <c r="T69" s="2" t="s">
        <v>40</v>
      </c>
      <c r="U69" s="2"/>
      <c r="V69" s="2"/>
      <c r="W69" s="2" t="s">
        <v>212</v>
      </c>
      <c r="X69" s="2" t="s">
        <v>692</v>
      </c>
      <c r="Y69" s="2" t="n">
        <f aca="false">IF(AND(OR(Query_Interface!$B$5="All",$D69=Query_Interface!$B$5),OR(Query_Interface!$B$6="All",$F69=Query_Interface!$B$6),OR(Query_Interface!$B$7="All",$H69=Query_Interface!$B$7),OR(Query_Interface!$B$8="All",$N69=Query_Interface!$B$8),OR(Query_Interface!$B$9="All",$L69=Query_Interface!$B$9),OR(Query_Interface!$B$10="All",$R69=Query_Interface!$B$10),OR(Query_Interface!$B$11="All",$T69=Query_Interface!$B$11),OR(Query_Interface!$B$12="All",$Q69=Query_Interface!$B$12)),1,0)</f>
        <v>1</v>
      </c>
      <c r="Z69" s="2" t="n">
        <f aca="false">IF($Y69=1,COUNTIF($Y$2:$Y69,1),"")</f>
        <v>68</v>
      </c>
    </row>
    <row r="70" customFormat="false" ht="23.85" hidden="false" customHeight="false" outlineLevel="0" collapsed="false">
      <c r="A70" s="2" t="s">
        <v>328</v>
      </c>
      <c r="B70" s="2" t="n">
        <v>58</v>
      </c>
      <c r="C70" s="2" t="s">
        <v>686</v>
      </c>
      <c r="D70" s="2" t="s">
        <v>34</v>
      </c>
      <c r="E70" s="2" t="s">
        <v>687</v>
      </c>
      <c r="F70" s="2" t="s">
        <v>49</v>
      </c>
      <c r="G70" s="2" t="s">
        <v>688</v>
      </c>
      <c r="H70" s="2" t="s">
        <v>36</v>
      </c>
      <c r="I70" s="2" t="s">
        <v>689</v>
      </c>
      <c r="J70" s="2" t="s">
        <v>329</v>
      </c>
      <c r="K70" s="2" t="s">
        <v>803</v>
      </c>
      <c r="L70" s="2" t="s">
        <v>75</v>
      </c>
      <c r="M70" s="2" t="s">
        <v>804</v>
      </c>
      <c r="N70" s="2" t="s">
        <v>147</v>
      </c>
      <c r="O70" s="2" t="n">
        <v>1</v>
      </c>
      <c r="P70" s="2" t="n">
        <v>1</v>
      </c>
      <c r="Q70" s="2" t="s">
        <v>61</v>
      </c>
      <c r="R70" s="2"/>
      <c r="S70" s="2" t="s">
        <v>233</v>
      </c>
      <c r="T70" s="2" t="s">
        <v>40</v>
      </c>
      <c r="U70" s="2"/>
      <c r="V70" s="2"/>
      <c r="W70" s="2" t="s">
        <v>212</v>
      </c>
      <c r="X70" s="2" t="s">
        <v>692</v>
      </c>
      <c r="Y70" s="2" t="n">
        <f aca="false">IF(AND(OR(Query_Interface!$B$5="All",$D70=Query_Interface!$B$5),OR(Query_Interface!$B$6="All",$F70=Query_Interface!$B$6),OR(Query_Interface!$B$7="All",$H70=Query_Interface!$B$7),OR(Query_Interface!$B$8="All",$N70=Query_Interface!$B$8),OR(Query_Interface!$B$9="All",$L70=Query_Interface!$B$9),OR(Query_Interface!$B$10="All",$R70=Query_Interface!$B$10),OR(Query_Interface!$B$11="All",$T70=Query_Interface!$B$11),OR(Query_Interface!$B$12="All",$Q70=Query_Interface!$B$12)),1,0)</f>
        <v>1</v>
      </c>
      <c r="Z70" s="2" t="n">
        <f aca="false">IF($Y70=1,COUNTIF($Y$2:$Y70,1),"")</f>
        <v>69</v>
      </c>
    </row>
    <row r="71" customFormat="false" ht="35.05" hidden="false" customHeight="false" outlineLevel="0" collapsed="false">
      <c r="A71" s="2" t="s">
        <v>330</v>
      </c>
      <c r="B71" s="2" t="n">
        <v>59</v>
      </c>
      <c r="C71" s="2" t="s">
        <v>686</v>
      </c>
      <c r="D71" s="2" t="s">
        <v>34</v>
      </c>
      <c r="E71" s="2" t="s">
        <v>687</v>
      </c>
      <c r="F71" s="2" t="s">
        <v>49</v>
      </c>
      <c r="G71" s="2" t="s">
        <v>688</v>
      </c>
      <c r="H71" s="2" t="s">
        <v>36</v>
      </c>
      <c r="I71" s="2" t="s">
        <v>689</v>
      </c>
      <c r="J71" s="2" t="s">
        <v>331</v>
      </c>
      <c r="K71" s="2" t="s">
        <v>805</v>
      </c>
      <c r="L71" s="2" t="s">
        <v>75</v>
      </c>
      <c r="M71" s="2" t="s">
        <v>806</v>
      </c>
      <c r="N71" s="2" t="s">
        <v>145</v>
      </c>
      <c r="O71" s="2" t="n">
        <v>1</v>
      </c>
      <c r="P71" s="2" t="n">
        <v>1</v>
      </c>
      <c r="Q71" s="2" t="s">
        <v>61</v>
      </c>
      <c r="R71" s="2"/>
      <c r="S71" s="2" t="s">
        <v>233</v>
      </c>
      <c r="T71" s="2" t="s">
        <v>40</v>
      </c>
      <c r="U71" s="2"/>
      <c r="V71" s="2"/>
      <c r="W71" s="2" t="s">
        <v>212</v>
      </c>
      <c r="X71" s="2" t="s">
        <v>692</v>
      </c>
      <c r="Y71" s="2" t="n">
        <f aca="false">IF(AND(OR(Query_Interface!$B$5="All",$D71=Query_Interface!$B$5),OR(Query_Interface!$B$6="All",$F71=Query_Interface!$B$6),OR(Query_Interface!$B$7="All",$H71=Query_Interface!$B$7),OR(Query_Interface!$B$8="All",$N71=Query_Interface!$B$8),OR(Query_Interface!$B$9="All",$L71=Query_Interface!$B$9),OR(Query_Interface!$B$10="All",$R71=Query_Interface!$B$10),OR(Query_Interface!$B$11="All",$T71=Query_Interface!$B$11),OR(Query_Interface!$B$12="All",$Q71=Query_Interface!$B$12)),1,0)</f>
        <v>1</v>
      </c>
      <c r="Z71" s="2" t="n">
        <f aca="false">IF($Y71=1,COUNTIF($Y$2:$Y71,1),"")</f>
        <v>70</v>
      </c>
    </row>
    <row r="72" customFormat="false" ht="35.05" hidden="false" customHeight="false" outlineLevel="0" collapsed="false">
      <c r="A72" s="2" t="s">
        <v>332</v>
      </c>
      <c r="B72" s="2" t="n">
        <v>60</v>
      </c>
      <c r="C72" s="2" t="s">
        <v>686</v>
      </c>
      <c r="D72" s="2" t="s">
        <v>34</v>
      </c>
      <c r="E72" s="2" t="s">
        <v>687</v>
      </c>
      <c r="F72" s="2" t="s">
        <v>49</v>
      </c>
      <c r="G72" s="2" t="s">
        <v>688</v>
      </c>
      <c r="H72" s="2" t="s">
        <v>36</v>
      </c>
      <c r="I72" s="2" t="s">
        <v>689</v>
      </c>
      <c r="J72" s="2" t="s">
        <v>333</v>
      </c>
      <c r="K72" s="2" t="s">
        <v>807</v>
      </c>
      <c r="L72" s="2" t="s">
        <v>71</v>
      </c>
      <c r="M72" s="2" t="s">
        <v>808</v>
      </c>
      <c r="N72" s="2" t="s">
        <v>126</v>
      </c>
      <c r="O72" s="2" t="n">
        <v>1</v>
      </c>
      <c r="P72" s="2" t="n">
        <v>1</v>
      </c>
      <c r="Q72" s="2" t="s">
        <v>61</v>
      </c>
      <c r="R72" s="2"/>
      <c r="S72" s="2" t="s">
        <v>211</v>
      </c>
      <c r="T72" s="2" t="s">
        <v>40</v>
      </c>
      <c r="U72" s="2"/>
      <c r="V72" s="2"/>
      <c r="W72" s="2" t="s">
        <v>212</v>
      </c>
      <c r="X72" s="2" t="s">
        <v>692</v>
      </c>
      <c r="Y72" s="2" t="n">
        <f aca="false">IF(AND(OR(Query_Interface!$B$5="All",$D72=Query_Interface!$B$5),OR(Query_Interface!$B$6="All",$F72=Query_Interface!$B$6),OR(Query_Interface!$B$7="All",$H72=Query_Interface!$B$7),OR(Query_Interface!$B$8="All",$N72=Query_Interface!$B$8),OR(Query_Interface!$B$9="All",$L72=Query_Interface!$B$9),OR(Query_Interface!$B$10="All",$R72=Query_Interface!$B$10),OR(Query_Interface!$B$11="All",$T72=Query_Interface!$B$11),OR(Query_Interface!$B$12="All",$Q72=Query_Interface!$B$12)),1,0)</f>
        <v>1</v>
      </c>
      <c r="Z72" s="2" t="n">
        <f aca="false">IF($Y72=1,COUNTIF($Y$2:$Y72,1),"")</f>
        <v>71</v>
      </c>
    </row>
    <row r="73" customFormat="false" ht="23.85" hidden="false" customHeight="false" outlineLevel="0" collapsed="false">
      <c r="A73" s="2" t="s">
        <v>334</v>
      </c>
      <c r="B73" s="2" t="n">
        <v>61</v>
      </c>
      <c r="C73" s="2" t="s">
        <v>686</v>
      </c>
      <c r="D73" s="2" t="s">
        <v>34</v>
      </c>
      <c r="E73" s="2" t="s">
        <v>687</v>
      </c>
      <c r="F73" s="2" t="s">
        <v>49</v>
      </c>
      <c r="G73" s="2" t="s">
        <v>688</v>
      </c>
      <c r="H73" s="2" t="s">
        <v>36</v>
      </c>
      <c r="I73" s="2" t="s">
        <v>689</v>
      </c>
      <c r="J73" s="2" t="s">
        <v>335</v>
      </c>
      <c r="K73" s="2" t="s">
        <v>809</v>
      </c>
      <c r="L73" s="2" t="s">
        <v>73</v>
      </c>
      <c r="M73" s="2" t="s">
        <v>778</v>
      </c>
      <c r="N73" s="2" t="s">
        <v>129</v>
      </c>
      <c r="O73" s="2" t="n">
        <v>1</v>
      </c>
      <c r="P73" s="2" t="n">
        <v>1</v>
      </c>
      <c r="Q73" s="2" t="s">
        <v>61</v>
      </c>
      <c r="R73" s="2"/>
      <c r="S73" s="2" t="s">
        <v>215</v>
      </c>
      <c r="T73" s="2" t="s">
        <v>47</v>
      </c>
      <c r="U73" s="2"/>
      <c r="V73" s="2"/>
      <c r="W73" s="2" t="s">
        <v>212</v>
      </c>
      <c r="X73" s="2" t="s">
        <v>692</v>
      </c>
      <c r="Y73" s="2" t="n">
        <f aca="false">IF(AND(OR(Query_Interface!$B$5="All",$D73=Query_Interface!$B$5),OR(Query_Interface!$B$6="All",$F73=Query_Interface!$B$6),OR(Query_Interface!$B$7="All",$H73=Query_Interface!$B$7),OR(Query_Interface!$B$8="All",$N73=Query_Interface!$B$8),OR(Query_Interface!$B$9="All",$L73=Query_Interface!$B$9),OR(Query_Interface!$B$10="All",$R73=Query_Interface!$B$10),OR(Query_Interface!$B$11="All",$T73=Query_Interface!$B$11),OR(Query_Interface!$B$12="All",$Q73=Query_Interface!$B$12)),1,0)</f>
        <v>1</v>
      </c>
      <c r="Z73" s="2" t="n">
        <f aca="false">IF($Y73=1,COUNTIF($Y$2:$Y73,1),"")</f>
        <v>72</v>
      </c>
    </row>
    <row r="74" customFormat="false" ht="35.05" hidden="false" customHeight="false" outlineLevel="0" collapsed="false">
      <c r="A74" s="2" t="s">
        <v>336</v>
      </c>
      <c r="B74" s="2" t="n">
        <v>62</v>
      </c>
      <c r="C74" s="2" t="s">
        <v>686</v>
      </c>
      <c r="D74" s="2" t="s">
        <v>34</v>
      </c>
      <c r="E74" s="2" t="s">
        <v>810</v>
      </c>
      <c r="F74" s="2" t="s">
        <v>42</v>
      </c>
      <c r="G74" s="2" t="s">
        <v>811</v>
      </c>
      <c r="H74" s="2" t="s">
        <v>43</v>
      </c>
      <c r="I74" s="2" t="s">
        <v>812</v>
      </c>
      <c r="J74" s="2" t="s">
        <v>210</v>
      </c>
      <c r="K74" s="2" t="s">
        <v>813</v>
      </c>
      <c r="L74" s="2" t="s">
        <v>69</v>
      </c>
      <c r="M74" s="2" t="s">
        <v>691</v>
      </c>
      <c r="N74" s="2" t="s">
        <v>119</v>
      </c>
      <c r="O74" s="2" t="n">
        <v>1</v>
      </c>
      <c r="P74" s="2" t="n">
        <v>1</v>
      </c>
      <c r="Q74" s="2" t="s">
        <v>61</v>
      </c>
      <c r="R74" s="2"/>
      <c r="S74" s="2" t="s">
        <v>230</v>
      </c>
      <c r="T74" s="2" t="s">
        <v>54</v>
      </c>
      <c r="U74" s="2"/>
      <c r="V74" s="2"/>
      <c r="W74" s="2" t="s">
        <v>212</v>
      </c>
      <c r="X74" s="2" t="s">
        <v>692</v>
      </c>
      <c r="Y74" s="2" t="n">
        <f aca="false">IF(AND(OR(Query_Interface!$B$5="All",$D74=Query_Interface!$B$5),OR(Query_Interface!$B$6="All",$F74=Query_Interface!$B$6),OR(Query_Interface!$B$7="All",$H74=Query_Interface!$B$7),OR(Query_Interface!$B$8="All",$N74=Query_Interface!$B$8),OR(Query_Interface!$B$9="All",$L74=Query_Interface!$B$9),OR(Query_Interface!$B$10="All",$R74=Query_Interface!$B$10),OR(Query_Interface!$B$11="All",$T74=Query_Interface!$B$11),OR(Query_Interface!$B$12="All",$Q74=Query_Interface!$B$12)),1,0)</f>
        <v>1</v>
      </c>
      <c r="Z74" s="2" t="n">
        <f aca="false">IF($Y74=1,COUNTIF($Y$2:$Y74,1),"")</f>
        <v>73</v>
      </c>
    </row>
    <row r="75" customFormat="false" ht="35.05" hidden="false" customHeight="false" outlineLevel="0" collapsed="false">
      <c r="A75" s="2" t="s">
        <v>337</v>
      </c>
      <c r="B75" s="2" t="n">
        <v>63</v>
      </c>
      <c r="C75" s="2" t="s">
        <v>686</v>
      </c>
      <c r="D75" s="2" t="s">
        <v>34</v>
      </c>
      <c r="E75" s="2" t="s">
        <v>810</v>
      </c>
      <c r="F75" s="2" t="s">
        <v>42</v>
      </c>
      <c r="G75" s="2" t="s">
        <v>811</v>
      </c>
      <c r="H75" s="2" t="s">
        <v>43</v>
      </c>
      <c r="I75" s="2" t="s">
        <v>812</v>
      </c>
      <c r="J75" s="2" t="s">
        <v>219</v>
      </c>
      <c r="K75" s="2" t="s">
        <v>814</v>
      </c>
      <c r="L75" s="2" t="s">
        <v>66</v>
      </c>
      <c r="M75" s="2" t="s">
        <v>724</v>
      </c>
      <c r="N75" s="2" t="s">
        <v>142</v>
      </c>
      <c r="O75" s="2" t="n">
        <v>1</v>
      </c>
      <c r="P75" s="2" t="n">
        <v>2</v>
      </c>
      <c r="Q75" s="2" t="s">
        <v>41</v>
      </c>
      <c r="R75" s="2"/>
      <c r="S75" s="2" t="s">
        <v>230</v>
      </c>
      <c r="T75" s="2" t="s">
        <v>47</v>
      </c>
      <c r="U75" s="2"/>
      <c r="V75" s="2"/>
      <c r="W75" s="2" t="s">
        <v>212</v>
      </c>
      <c r="X75" s="2" t="s">
        <v>692</v>
      </c>
      <c r="Y75" s="2" t="n">
        <f aca="false">IF(AND(OR(Query_Interface!$B$5="All",$D75=Query_Interface!$B$5),OR(Query_Interface!$B$6="All",$F75=Query_Interface!$B$6),OR(Query_Interface!$B$7="All",$H75=Query_Interface!$B$7),OR(Query_Interface!$B$8="All",$N75=Query_Interface!$B$8),OR(Query_Interface!$B$9="All",$L75=Query_Interface!$B$9),OR(Query_Interface!$B$10="All",$R75=Query_Interface!$B$10),OR(Query_Interface!$B$11="All",$T75=Query_Interface!$B$11),OR(Query_Interface!$B$12="All",$Q75=Query_Interface!$B$12)),1,0)</f>
        <v>1</v>
      </c>
      <c r="Z75" s="2" t="n">
        <f aca="false">IF($Y75=1,COUNTIF($Y$2:$Y75,1),"")</f>
        <v>74</v>
      </c>
    </row>
    <row r="76" customFormat="false" ht="35.05" hidden="false" customHeight="false" outlineLevel="0" collapsed="false">
      <c r="A76" s="2" t="s">
        <v>337</v>
      </c>
      <c r="B76" s="2" t="n">
        <v>63</v>
      </c>
      <c r="C76" s="2" t="s">
        <v>686</v>
      </c>
      <c r="D76" s="2" t="s">
        <v>34</v>
      </c>
      <c r="E76" s="2" t="s">
        <v>810</v>
      </c>
      <c r="F76" s="2" t="s">
        <v>42</v>
      </c>
      <c r="G76" s="2" t="s">
        <v>811</v>
      </c>
      <c r="H76" s="2" t="s">
        <v>43</v>
      </c>
      <c r="I76" s="2" t="s">
        <v>812</v>
      </c>
      <c r="J76" s="2" t="s">
        <v>219</v>
      </c>
      <c r="K76" s="2" t="s">
        <v>814</v>
      </c>
      <c r="L76" s="2" t="s">
        <v>66</v>
      </c>
      <c r="M76" s="2" t="s">
        <v>698</v>
      </c>
      <c r="N76" s="2" t="s">
        <v>104</v>
      </c>
      <c r="O76" s="2" t="n">
        <v>2</v>
      </c>
      <c r="P76" s="2" t="n">
        <v>2</v>
      </c>
      <c r="Q76" s="2" t="s">
        <v>41</v>
      </c>
      <c r="R76" s="2"/>
      <c r="S76" s="2" t="s">
        <v>230</v>
      </c>
      <c r="T76" s="2" t="s">
        <v>47</v>
      </c>
      <c r="U76" s="2"/>
      <c r="V76" s="2"/>
      <c r="W76" s="2" t="s">
        <v>212</v>
      </c>
      <c r="X76" s="2" t="s">
        <v>692</v>
      </c>
      <c r="Y76" s="2" t="n">
        <f aca="false">IF(AND(OR(Query_Interface!$B$5="All",$D76=Query_Interface!$B$5),OR(Query_Interface!$B$6="All",$F76=Query_Interface!$B$6),OR(Query_Interface!$B$7="All",$H76=Query_Interface!$B$7),OR(Query_Interface!$B$8="All",$N76=Query_Interface!$B$8),OR(Query_Interface!$B$9="All",$L76=Query_Interface!$B$9),OR(Query_Interface!$B$10="All",$R76=Query_Interface!$B$10),OR(Query_Interface!$B$11="All",$T76=Query_Interface!$B$11),OR(Query_Interface!$B$12="All",$Q76=Query_Interface!$B$12)),1,0)</f>
        <v>1</v>
      </c>
      <c r="Z76" s="2" t="n">
        <f aca="false">IF($Y76=1,COUNTIF($Y$2:$Y76,1),"")</f>
        <v>75</v>
      </c>
    </row>
    <row r="77" customFormat="false" ht="35.05" hidden="false" customHeight="false" outlineLevel="0" collapsed="false">
      <c r="A77" s="2" t="s">
        <v>338</v>
      </c>
      <c r="B77" s="2" t="n">
        <v>64</v>
      </c>
      <c r="C77" s="2" t="s">
        <v>686</v>
      </c>
      <c r="D77" s="2" t="s">
        <v>34</v>
      </c>
      <c r="E77" s="2" t="s">
        <v>810</v>
      </c>
      <c r="F77" s="2" t="s">
        <v>42</v>
      </c>
      <c r="G77" s="2" t="s">
        <v>811</v>
      </c>
      <c r="H77" s="2" t="s">
        <v>43</v>
      </c>
      <c r="I77" s="2" t="s">
        <v>812</v>
      </c>
      <c r="J77" s="2" t="s">
        <v>339</v>
      </c>
      <c r="K77" s="2" t="s">
        <v>815</v>
      </c>
      <c r="L77" s="2" t="s">
        <v>52</v>
      </c>
      <c r="M77" s="2" t="s">
        <v>768</v>
      </c>
      <c r="N77" s="2" t="s">
        <v>90</v>
      </c>
      <c r="O77" s="2" t="n">
        <v>1</v>
      </c>
      <c r="P77" s="2" t="n">
        <v>2</v>
      </c>
      <c r="Q77" s="2" t="s">
        <v>41</v>
      </c>
      <c r="R77" s="2"/>
      <c r="S77" s="2" t="s">
        <v>215</v>
      </c>
      <c r="T77" s="2" t="s">
        <v>47</v>
      </c>
      <c r="U77" s="2"/>
      <c r="V77" s="2"/>
      <c r="W77" s="2" t="s">
        <v>212</v>
      </c>
      <c r="X77" s="2" t="s">
        <v>692</v>
      </c>
      <c r="Y77" s="2" t="n">
        <f aca="false">IF(AND(OR(Query_Interface!$B$5="All",$D77=Query_Interface!$B$5),OR(Query_Interface!$B$6="All",$F77=Query_Interface!$B$6),OR(Query_Interface!$B$7="All",$H77=Query_Interface!$B$7),OR(Query_Interface!$B$8="All",$N77=Query_Interface!$B$8),OR(Query_Interface!$B$9="All",$L77=Query_Interface!$B$9),OR(Query_Interface!$B$10="All",$R77=Query_Interface!$B$10),OR(Query_Interface!$B$11="All",$T77=Query_Interface!$B$11),OR(Query_Interface!$B$12="All",$Q77=Query_Interface!$B$12)),1,0)</f>
        <v>1</v>
      </c>
      <c r="Z77" s="2" t="n">
        <f aca="false">IF($Y77=1,COUNTIF($Y$2:$Y77,1),"")</f>
        <v>76</v>
      </c>
    </row>
    <row r="78" customFormat="false" ht="35.05" hidden="false" customHeight="false" outlineLevel="0" collapsed="false">
      <c r="A78" s="2" t="s">
        <v>338</v>
      </c>
      <c r="B78" s="2" t="n">
        <v>64</v>
      </c>
      <c r="C78" s="2" t="s">
        <v>686</v>
      </c>
      <c r="D78" s="2" t="s">
        <v>34</v>
      </c>
      <c r="E78" s="2" t="s">
        <v>810</v>
      </c>
      <c r="F78" s="2" t="s">
        <v>42</v>
      </c>
      <c r="G78" s="2" t="s">
        <v>811</v>
      </c>
      <c r="H78" s="2" t="s">
        <v>43</v>
      </c>
      <c r="I78" s="2" t="s">
        <v>812</v>
      </c>
      <c r="J78" s="2" t="s">
        <v>339</v>
      </c>
      <c r="K78" s="2" t="s">
        <v>815</v>
      </c>
      <c r="L78" s="2" t="s">
        <v>52</v>
      </c>
      <c r="M78" s="2" t="s">
        <v>724</v>
      </c>
      <c r="N78" s="2" t="s">
        <v>142</v>
      </c>
      <c r="O78" s="2" t="n">
        <v>2</v>
      </c>
      <c r="P78" s="2" t="n">
        <v>2</v>
      </c>
      <c r="Q78" s="2" t="s">
        <v>41</v>
      </c>
      <c r="R78" s="2"/>
      <c r="S78" s="2" t="s">
        <v>215</v>
      </c>
      <c r="T78" s="2" t="s">
        <v>47</v>
      </c>
      <c r="U78" s="2"/>
      <c r="V78" s="2"/>
      <c r="W78" s="2" t="s">
        <v>212</v>
      </c>
      <c r="X78" s="2" t="s">
        <v>692</v>
      </c>
      <c r="Y78" s="2" t="n">
        <f aca="false">IF(AND(OR(Query_Interface!$B$5="All",$D78=Query_Interface!$B$5),OR(Query_Interface!$B$6="All",$F78=Query_Interface!$B$6),OR(Query_Interface!$B$7="All",$H78=Query_Interface!$B$7),OR(Query_Interface!$B$8="All",$N78=Query_Interface!$B$8),OR(Query_Interface!$B$9="All",$L78=Query_Interface!$B$9),OR(Query_Interface!$B$10="All",$R78=Query_Interface!$B$10),OR(Query_Interface!$B$11="All",$T78=Query_Interface!$B$11),OR(Query_Interface!$B$12="All",$Q78=Query_Interface!$B$12)),1,0)</f>
        <v>1</v>
      </c>
      <c r="Z78" s="2" t="n">
        <f aca="false">IF($Y78=1,COUNTIF($Y$2:$Y78,1),"")</f>
        <v>77</v>
      </c>
    </row>
    <row r="79" customFormat="false" ht="35.05" hidden="false" customHeight="false" outlineLevel="0" collapsed="false">
      <c r="A79" s="2" t="s">
        <v>340</v>
      </c>
      <c r="B79" s="2" t="n">
        <v>65</v>
      </c>
      <c r="C79" s="2" t="s">
        <v>686</v>
      </c>
      <c r="D79" s="2" t="s">
        <v>34</v>
      </c>
      <c r="E79" s="2" t="s">
        <v>810</v>
      </c>
      <c r="F79" s="2" t="s">
        <v>42</v>
      </c>
      <c r="G79" s="2" t="s">
        <v>811</v>
      </c>
      <c r="H79" s="2" t="s">
        <v>43</v>
      </c>
      <c r="I79" s="2" t="s">
        <v>812</v>
      </c>
      <c r="J79" s="2" t="s">
        <v>221</v>
      </c>
      <c r="K79" s="2" t="s">
        <v>816</v>
      </c>
      <c r="L79" s="2" t="s">
        <v>75</v>
      </c>
      <c r="M79" s="2" t="s">
        <v>700</v>
      </c>
      <c r="N79" s="2" t="s">
        <v>141</v>
      </c>
      <c r="O79" s="2" t="n">
        <v>1</v>
      </c>
      <c r="P79" s="2" t="n">
        <v>1</v>
      </c>
      <c r="Q79" s="2" t="s">
        <v>61</v>
      </c>
      <c r="R79" s="2"/>
      <c r="S79" s="2" t="s">
        <v>215</v>
      </c>
      <c r="T79" s="2" t="s">
        <v>40</v>
      </c>
      <c r="U79" s="2"/>
      <c r="V79" s="2"/>
      <c r="W79" s="2" t="s">
        <v>212</v>
      </c>
      <c r="X79" s="2" t="s">
        <v>692</v>
      </c>
      <c r="Y79" s="2" t="n">
        <f aca="false">IF(AND(OR(Query_Interface!$B$5="All",$D79=Query_Interface!$B$5),OR(Query_Interface!$B$6="All",$F79=Query_Interface!$B$6),OR(Query_Interface!$B$7="All",$H79=Query_Interface!$B$7),OR(Query_Interface!$B$8="All",$N79=Query_Interface!$B$8),OR(Query_Interface!$B$9="All",$L79=Query_Interface!$B$9),OR(Query_Interface!$B$10="All",$R79=Query_Interface!$B$10),OR(Query_Interface!$B$11="All",$T79=Query_Interface!$B$11),OR(Query_Interface!$B$12="All",$Q79=Query_Interface!$B$12)),1,0)</f>
        <v>1</v>
      </c>
      <c r="Z79" s="2" t="n">
        <f aca="false">IF($Y79=1,COUNTIF($Y$2:$Y79,1),"")</f>
        <v>78</v>
      </c>
    </row>
    <row r="80" customFormat="false" ht="35.05" hidden="false" customHeight="false" outlineLevel="0" collapsed="false">
      <c r="A80" s="2" t="s">
        <v>341</v>
      </c>
      <c r="B80" s="2" t="n">
        <v>66</v>
      </c>
      <c r="C80" s="2" t="s">
        <v>686</v>
      </c>
      <c r="D80" s="2" t="s">
        <v>34</v>
      </c>
      <c r="E80" s="2" t="s">
        <v>810</v>
      </c>
      <c r="F80" s="2" t="s">
        <v>42</v>
      </c>
      <c r="G80" s="2" t="s">
        <v>811</v>
      </c>
      <c r="H80" s="2" t="s">
        <v>43</v>
      </c>
      <c r="I80" s="2" t="s">
        <v>812</v>
      </c>
      <c r="J80" s="2" t="s">
        <v>342</v>
      </c>
      <c r="K80" s="2" t="s">
        <v>817</v>
      </c>
      <c r="L80" s="2" t="s">
        <v>66</v>
      </c>
      <c r="M80" s="2" t="s">
        <v>700</v>
      </c>
      <c r="N80" s="2" t="s">
        <v>141</v>
      </c>
      <c r="O80" s="2" t="n">
        <v>1</v>
      </c>
      <c r="P80" s="2" t="n">
        <v>2</v>
      </c>
      <c r="Q80" s="2" t="s">
        <v>41</v>
      </c>
      <c r="R80" s="2"/>
      <c r="S80" s="2" t="s">
        <v>215</v>
      </c>
      <c r="T80" s="2" t="s">
        <v>40</v>
      </c>
      <c r="U80" s="2"/>
      <c r="V80" s="2"/>
      <c r="W80" s="2" t="s">
        <v>212</v>
      </c>
      <c r="X80" s="2" t="s">
        <v>692</v>
      </c>
      <c r="Y80" s="2" t="n">
        <f aca="false">IF(AND(OR(Query_Interface!$B$5="All",$D80=Query_Interface!$B$5),OR(Query_Interface!$B$6="All",$F80=Query_Interface!$B$6),OR(Query_Interface!$B$7="All",$H80=Query_Interface!$B$7),OR(Query_Interface!$B$8="All",$N80=Query_Interface!$B$8),OR(Query_Interface!$B$9="All",$L80=Query_Interface!$B$9),OR(Query_Interface!$B$10="All",$R80=Query_Interface!$B$10),OR(Query_Interface!$B$11="All",$T80=Query_Interface!$B$11),OR(Query_Interface!$B$12="All",$Q80=Query_Interface!$B$12)),1,0)</f>
        <v>1</v>
      </c>
      <c r="Z80" s="2" t="n">
        <f aca="false">IF($Y80=1,COUNTIF($Y$2:$Y80,1),"")</f>
        <v>79</v>
      </c>
    </row>
    <row r="81" customFormat="false" ht="35.05" hidden="false" customHeight="false" outlineLevel="0" collapsed="false">
      <c r="A81" s="2" t="s">
        <v>341</v>
      </c>
      <c r="B81" s="2" t="n">
        <v>66</v>
      </c>
      <c r="C81" s="2" t="s">
        <v>686</v>
      </c>
      <c r="D81" s="2" t="s">
        <v>34</v>
      </c>
      <c r="E81" s="2" t="s">
        <v>810</v>
      </c>
      <c r="F81" s="2" t="s">
        <v>42</v>
      </c>
      <c r="G81" s="2" t="s">
        <v>811</v>
      </c>
      <c r="H81" s="2" t="s">
        <v>43</v>
      </c>
      <c r="I81" s="2" t="s">
        <v>812</v>
      </c>
      <c r="J81" s="2" t="s">
        <v>342</v>
      </c>
      <c r="K81" s="2" t="s">
        <v>817</v>
      </c>
      <c r="L81" s="2" t="s">
        <v>66</v>
      </c>
      <c r="M81" s="2" t="s">
        <v>702</v>
      </c>
      <c r="N81" s="2" t="s">
        <v>106</v>
      </c>
      <c r="O81" s="2" t="n">
        <v>2</v>
      </c>
      <c r="P81" s="2" t="n">
        <v>2</v>
      </c>
      <c r="Q81" s="2" t="s">
        <v>41</v>
      </c>
      <c r="R81" s="2"/>
      <c r="S81" s="2" t="s">
        <v>215</v>
      </c>
      <c r="T81" s="2" t="s">
        <v>40</v>
      </c>
      <c r="U81" s="2"/>
      <c r="V81" s="2"/>
      <c r="W81" s="2" t="s">
        <v>212</v>
      </c>
      <c r="X81" s="2" t="s">
        <v>692</v>
      </c>
      <c r="Y81" s="2" t="n">
        <f aca="false">IF(AND(OR(Query_Interface!$B$5="All",$D81=Query_Interface!$B$5),OR(Query_Interface!$B$6="All",$F81=Query_Interface!$B$6),OR(Query_Interface!$B$7="All",$H81=Query_Interface!$B$7),OR(Query_Interface!$B$8="All",$N81=Query_Interface!$B$8),OR(Query_Interface!$B$9="All",$L81=Query_Interface!$B$9),OR(Query_Interface!$B$10="All",$R81=Query_Interface!$B$10),OR(Query_Interface!$B$11="All",$T81=Query_Interface!$B$11),OR(Query_Interface!$B$12="All",$Q81=Query_Interface!$B$12)),1,0)</f>
        <v>1</v>
      </c>
      <c r="Z81" s="2" t="n">
        <f aca="false">IF($Y81=1,COUNTIF($Y$2:$Y81,1),"")</f>
        <v>80</v>
      </c>
    </row>
    <row r="82" customFormat="false" ht="35.05" hidden="false" customHeight="false" outlineLevel="0" collapsed="false">
      <c r="A82" s="2" t="s">
        <v>343</v>
      </c>
      <c r="B82" s="2" t="n">
        <v>67</v>
      </c>
      <c r="C82" s="2" t="s">
        <v>686</v>
      </c>
      <c r="D82" s="2" t="s">
        <v>34</v>
      </c>
      <c r="E82" s="2" t="s">
        <v>810</v>
      </c>
      <c r="F82" s="2" t="s">
        <v>42</v>
      </c>
      <c r="G82" s="2" t="s">
        <v>811</v>
      </c>
      <c r="H82" s="2" t="s">
        <v>43</v>
      </c>
      <c r="I82" s="2" t="s">
        <v>812</v>
      </c>
      <c r="J82" s="2" t="s">
        <v>223</v>
      </c>
      <c r="K82" s="2" t="s">
        <v>818</v>
      </c>
      <c r="L82" s="2" t="s">
        <v>69</v>
      </c>
      <c r="M82" s="2" t="s">
        <v>702</v>
      </c>
      <c r="N82" s="2" t="s">
        <v>106</v>
      </c>
      <c r="O82" s="2" t="n">
        <v>1</v>
      </c>
      <c r="P82" s="2" t="n">
        <v>1</v>
      </c>
      <c r="Q82" s="2" t="s">
        <v>61</v>
      </c>
      <c r="R82" s="2"/>
      <c r="S82" s="2" t="s">
        <v>215</v>
      </c>
      <c r="T82" s="2" t="s">
        <v>40</v>
      </c>
      <c r="U82" s="2"/>
      <c r="V82" s="2"/>
      <c r="W82" s="2" t="s">
        <v>212</v>
      </c>
      <c r="X82" s="2" t="s">
        <v>692</v>
      </c>
      <c r="Y82" s="2" t="n">
        <f aca="false">IF(AND(OR(Query_Interface!$B$5="All",$D82=Query_Interface!$B$5),OR(Query_Interface!$B$6="All",$F82=Query_Interface!$B$6),OR(Query_Interface!$B$7="All",$H82=Query_Interface!$B$7),OR(Query_Interface!$B$8="All",$N82=Query_Interface!$B$8),OR(Query_Interface!$B$9="All",$L82=Query_Interface!$B$9),OR(Query_Interface!$B$10="All",$R82=Query_Interface!$B$10),OR(Query_Interface!$B$11="All",$T82=Query_Interface!$B$11),OR(Query_Interface!$B$12="All",$Q82=Query_Interface!$B$12)),1,0)</f>
        <v>1</v>
      </c>
      <c r="Z82" s="2" t="n">
        <f aca="false">IF($Y82=1,COUNTIF($Y$2:$Y82,1),"")</f>
        <v>81</v>
      </c>
    </row>
    <row r="83" customFormat="false" ht="35.05" hidden="false" customHeight="false" outlineLevel="0" collapsed="false">
      <c r="A83" s="2" t="s">
        <v>344</v>
      </c>
      <c r="B83" s="2" t="n">
        <v>68</v>
      </c>
      <c r="C83" s="2" t="s">
        <v>686</v>
      </c>
      <c r="D83" s="2" t="s">
        <v>34</v>
      </c>
      <c r="E83" s="2" t="s">
        <v>810</v>
      </c>
      <c r="F83" s="2" t="s">
        <v>42</v>
      </c>
      <c r="G83" s="2" t="s">
        <v>811</v>
      </c>
      <c r="H83" s="2" t="s">
        <v>43</v>
      </c>
      <c r="I83" s="2" t="s">
        <v>812</v>
      </c>
      <c r="J83" s="2" t="s">
        <v>345</v>
      </c>
      <c r="K83" s="2" t="s">
        <v>819</v>
      </c>
      <c r="L83" s="2" t="s">
        <v>69</v>
      </c>
      <c r="M83" s="2" t="s">
        <v>702</v>
      </c>
      <c r="N83" s="2" t="s">
        <v>106</v>
      </c>
      <c r="O83" s="2" t="n">
        <v>1</v>
      </c>
      <c r="P83" s="2" t="n">
        <v>1</v>
      </c>
      <c r="Q83" s="2" t="s">
        <v>61</v>
      </c>
      <c r="R83" s="2"/>
      <c r="S83" s="2" t="s">
        <v>215</v>
      </c>
      <c r="T83" s="2" t="s">
        <v>40</v>
      </c>
      <c r="U83" s="2"/>
      <c r="V83" s="2"/>
      <c r="W83" s="2" t="s">
        <v>212</v>
      </c>
      <c r="X83" s="2" t="s">
        <v>692</v>
      </c>
      <c r="Y83" s="2" t="n">
        <f aca="false">IF(AND(OR(Query_Interface!$B$5="All",$D83=Query_Interface!$B$5),OR(Query_Interface!$B$6="All",$F83=Query_Interface!$B$6),OR(Query_Interface!$B$7="All",$H83=Query_Interface!$B$7),OR(Query_Interface!$B$8="All",$N83=Query_Interface!$B$8),OR(Query_Interface!$B$9="All",$L83=Query_Interface!$B$9),OR(Query_Interface!$B$10="All",$R83=Query_Interface!$B$10),OR(Query_Interface!$B$11="All",$T83=Query_Interface!$B$11),OR(Query_Interface!$B$12="All",$Q83=Query_Interface!$B$12)),1,0)</f>
        <v>1</v>
      </c>
      <c r="Z83" s="2" t="n">
        <f aca="false">IF($Y83=1,COUNTIF($Y$2:$Y83,1),"")</f>
        <v>82</v>
      </c>
    </row>
    <row r="84" customFormat="false" ht="35.05" hidden="false" customHeight="false" outlineLevel="0" collapsed="false">
      <c r="A84" s="2" t="s">
        <v>346</v>
      </c>
      <c r="B84" s="2" t="n">
        <v>69</v>
      </c>
      <c r="C84" s="2" t="s">
        <v>686</v>
      </c>
      <c r="D84" s="2" t="s">
        <v>34</v>
      </c>
      <c r="E84" s="2" t="s">
        <v>810</v>
      </c>
      <c r="F84" s="2" t="s">
        <v>42</v>
      </c>
      <c r="G84" s="2" t="s">
        <v>811</v>
      </c>
      <c r="H84" s="2" t="s">
        <v>43</v>
      </c>
      <c r="I84" s="2" t="s">
        <v>812</v>
      </c>
      <c r="J84" s="2" t="s">
        <v>225</v>
      </c>
      <c r="K84" s="2" t="s">
        <v>820</v>
      </c>
      <c r="L84" s="2" t="s">
        <v>75</v>
      </c>
      <c r="M84" s="2" t="s">
        <v>700</v>
      </c>
      <c r="N84" s="2" t="s">
        <v>141</v>
      </c>
      <c r="O84" s="2" t="n">
        <v>1</v>
      </c>
      <c r="P84" s="2" t="n">
        <v>2</v>
      </c>
      <c r="Q84" s="2" t="s">
        <v>41</v>
      </c>
      <c r="R84" s="2"/>
      <c r="S84" s="2" t="s">
        <v>215</v>
      </c>
      <c r="T84" s="2" t="s">
        <v>40</v>
      </c>
      <c r="U84" s="2"/>
      <c r="V84" s="2"/>
      <c r="W84" s="2" t="s">
        <v>212</v>
      </c>
      <c r="X84" s="2" t="s">
        <v>692</v>
      </c>
      <c r="Y84" s="2" t="n">
        <f aca="false">IF(AND(OR(Query_Interface!$B$5="All",$D84=Query_Interface!$B$5),OR(Query_Interface!$B$6="All",$F84=Query_Interface!$B$6),OR(Query_Interface!$B$7="All",$H84=Query_Interface!$B$7),OR(Query_Interface!$B$8="All",$N84=Query_Interface!$B$8),OR(Query_Interface!$B$9="All",$L84=Query_Interface!$B$9),OR(Query_Interface!$B$10="All",$R84=Query_Interface!$B$10),OR(Query_Interface!$B$11="All",$T84=Query_Interface!$B$11),OR(Query_Interface!$B$12="All",$Q84=Query_Interface!$B$12)),1,0)</f>
        <v>1</v>
      </c>
      <c r="Z84" s="2" t="n">
        <f aca="false">IF($Y84=1,COUNTIF($Y$2:$Y84,1),"")</f>
        <v>83</v>
      </c>
    </row>
    <row r="85" customFormat="false" ht="35.05" hidden="false" customHeight="false" outlineLevel="0" collapsed="false">
      <c r="A85" s="2" t="s">
        <v>346</v>
      </c>
      <c r="B85" s="2" t="n">
        <v>69</v>
      </c>
      <c r="C85" s="2" t="s">
        <v>686</v>
      </c>
      <c r="D85" s="2" t="s">
        <v>34</v>
      </c>
      <c r="E85" s="2" t="s">
        <v>810</v>
      </c>
      <c r="F85" s="2" t="s">
        <v>42</v>
      </c>
      <c r="G85" s="2" t="s">
        <v>811</v>
      </c>
      <c r="H85" s="2" t="s">
        <v>43</v>
      </c>
      <c r="I85" s="2" t="s">
        <v>812</v>
      </c>
      <c r="J85" s="2" t="s">
        <v>225</v>
      </c>
      <c r="K85" s="2" t="s">
        <v>820</v>
      </c>
      <c r="L85" s="2" t="s">
        <v>75</v>
      </c>
      <c r="M85" s="2" t="s">
        <v>705</v>
      </c>
      <c r="N85" s="2" t="s">
        <v>98</v>
      </c>
      <c r="O85" s="2" t="n">
        <v>2</v>
      </c>
      <c r="P85" s="2" t="n">
        <v>2</v>
      </c>
      <c r="Q85" s="2" t="s">
        <v>41</v>
      </c>
      <c r="R85" s="2"/>
      <c r="S85" s="2" t="s">
        <v>215</v>
      </c>
      <c r="T85" s="2" t="s">
        <v>40</v>
      </c>
      <c r="U85" s="2"/>
      <c r="V85" s="2"/>
      <c r="W85" s="2" t="s">
        <v>212</v>
      </c>
      <c r="X85" s="2" t="s">
        <v>692</v>
      </c>
      <c r="Y85" s="2" t="n">
        <f aca="false">IF(AND(OR(Query_Interface!$B$5="All",$D85=Query_Interface!$B$5),OR(Query_Interface!$B$6="All",$F85=Query_Interface!$B$6),OR(Query_Interface!$B$7="All",$H85=Query_Interface!$B$7),OR(Query_Interface!$B$8="All",$N85=Query_Interface!$B$8),OR(Query_Interface!$B$9="All",$L85=Query_Interface!$B$9),OR(Query_Interface!$B$10="All",$R85=Query_Interface!$B$10),OR(Query_Interface!$B$11="All",$T85=Query_Interface!$B$11),OR(Query_Interface!$B$12="All",$Q85=Query_Interface!$B$12)),1,0)</f>
        <v>1</v>
      </c>
      <c r="Z85" s="2" t="n">
        <f aca="false">IF($Y85=1,COUNTIF($Y$2:$Y85,1),"")</f>
        <v>84</v>
      </c>
    </row>
    <row r="86" customFormat="false" ht="35.05" hidden="false" customHeight="false" outlineLevel="0" collapsed="false">
      <c r="A86" s="2" t="s">
        <v>347</v>
      </c>
      <c r="B86" s="2" t="n">
        <v>70</v>
      </c>
      <c r="C86" s="2" t="s">
        <v>686</v>
      </c>
      <c r="D86" s="2" t="s">
        <v>34</v>
      </c>
      <c r="E86" s="2" t="s">
        <v>810</v>
      </c>
      <c r="F86" s="2" t="s">
        <v>42</v>
      </c>
      <c r="G86" s="2" t="s">
        <v>811</v>
      </c>
      <c r="H86" s="2" t="s">
        <v>43</v>
      </c>
      <c r="I86" s="2" t="s">
        <v>812</v>
      </c>
      <c r="J86" s="2" t="s">
        <v>229</v>
      </c>
      <c r="K86" s="2" t="s">
        <v>821</v>
      </c>
      <c r="L86" s="2" t="s">
        <v>45</v>
      </c>
      <c r="M86" s="2" t="s">
        <v>707</v>
      </c>
      <c r="N86" s="2" t="s">
        <v>74</v>
      </c>
      <c r="O86" s="2" t="n">
        <v>1</v>
      </c>
      <c r="P86" s="2" t="n">
        <v>1</v>
      </c>
      <c r="Q86" s="2" t="s">
        <v>61</v>
      </c>
      <c r="R86" s="2"/>
      <c r="S86" s="2" t="s">
        <v>215</v>
      </c>
      <c r="T86" s="2" t="s">
        <v>47</v>
      </c>
      <c r="U86" s="2"/>
      <c r="V86" s="2"/>
      <c r="W86" s="2" t="s">
        <v>212</v>
      </c>
      <c r="X86" s="2" t="s">
        <v>692</v>
      </c>
      <c r="Y86" s="2" t="n">
        <f aca="false">IF(AND(OR(Query_Interface!$B$5="All",$D86=Query_Interface!$B$5),OR(Query_Interface!$B$6="All",$F86=Query_Interface!$B$6),OR(Query_Interface!$B$7="All",$H86=Query_Interface!$B$7),OR(Query_Interface!$B$8="All",$N86=Query_Interface!$B$8),OR(Query_Interface!$B$9="All",$L86=Query_Interface!$B$9),OR(Query_Interface!$B$10="All",$R86=Query_Interface!$B$10),OR(Query_Interface!$B$11="All",$T86=Query_Interface!$B$11),OR(Query_Interface!$B$12="All",$Q86=Query_Interface!$B$12)),1,0)</f>
        <v>1</v>
      </c>
      <c r="Z86" s="2" t="n">
        <f aca="false">IF($Y86=1,COUNTIF($Y$2:$Y86,1),"")</f>
        <v>85</v>
      </c>
    </row>
    <row r="87" customFormat="false" ht="35.05" hidden="false" customHeight="false" outlineLevel="0" collapsed="false">
      <c r="A87" s="2" t="s">
        <v>348</v>
      </c>
      <c r="B87" s="2" t="n">
        <v>71</v>
      </c>
      <c r="C87" s="2" t="s">
        <v>686</v>
      </c>
      <c r="D87" s="2" t="s">
        <v>34</v>
      </c>
      <c r="E87" s="2" t="s">
        <v>810</v>
      </c>
      <c r="F87" s="2" t="s">
        <v>42</v>
      </c>
      <c r="G87" s="2" t="s">
        <v>811</v>
      </c>
      <c r="H87" s="2" t="s">
        <v>43</v>
      </c>
      <c r="I87" s="2" t="s">
        <v>812</v>
      </c>
      <c r="J87" s="2" t="s">
        <v>232</v>
      </c>
      <c r="K87" s="2" t="s">
        <v>822</v>
      </c>
      <c r="L87" s="2" t="s">
        <v>45</v>
      </c>
      <c r="M87" s="2" t="s">
        <v>709</v>
      </c>
      <c r="N87" s="2" t="s">
        <v>70</v>
      </c>
      <c r="O87" s="2" t="n">
        <v>1</v>
      </c>
      <c r="P87" s="2" t="n">
        <v>1</v>
      </c>
      <c r="Q87" s="2" t="s">
        <v>61</v>
      </c>
      <c r="R87" s="2"/>
      <c r="S87" s="2" t="s">
        <v>215</v>
      </c>
      <c r="T87" s="2" t="s">
        <v>47</v>
      </c>
      <c r="U87" s="2"/>
      <c r="V87" s="2"/>
      <c r="W87" s="2" t="s">
        <v>212</v>
      </c>
      <c r="X87" s="2" t="s">
        <v>692</v>
      </c>
      <c r="Y87" s="2" t="n">
        <f aca="false">IF(AND(OR(Query_Interface!$B$5="All",$D87=Query_Interface!$B$5),OR(Query_Interface!$B$6="All",$F87=Query_Interface!$B$6),OR(Query_Interface!$B$7="All",$H87=Query_Interface!$B$7),OR(Query_Interface!$B$8="All",$N87=Query_Interface!$B$8),OR(Query_Interface!$B$9="All",$L87=Query_Interface!$B$9),OR(Query_Interface!$B$10="All",$R87=Query_Interface!$B$10),OR(Query_Interface!$B$11="All",$T87=Query_Interface!$B$11),OR(Query_Interface!$B$12="All",$Q87=Query_Interface!$B$12)),1,0)</f>
        <v>1</v>
      </c>
      <c r="Z87" s="2" t="n">
        <f aca="false">IF($Y87=1,COUNTIF($Y$2:$Y87,1),"")</f>
        <v>86</v>
      </c>
    </row>
    <row r="88" customFormat="false" ht="46.25" hidden="false" customHeight="false" outlineLevel="0" collapsed="false">
      <c r="A88" s="2" t="s">
        <v>349</v>
      </c>
      <c r="B88" s="2" t="n">
        <v>72</v>
      </c>
      <c r="C88" s="2" t="s">
        <v>686</v>
      </c>
      <c r="D88" s="2" t="s">
        <v>34</v>
      </c>
      <c r="E88" s="2" t="s">
        <v>810</v>
      </c>
      <c r="F88" s="2" t="s">
        <v>42</v>
      </c>
      <c r="G88" s="2" t="s">
        <v>811</v>
      </c>
      <c r="H88" s="2" t="s">
        <v>43</v>
      </c>
      <c r="I88" s="2" t="s">
        <v>812</v>
      </c>
      <c r="J88" s="2" t="s">
        <v>243</v>
      </c>
      <c r="K88" s="2" t="s">
        <v>823</v>
      </c>
      <c r="L88" s="2" t="s">
        <v>45</v>
      </c>
      <c r="M88" s="2" t="s">
        <v>715</v>
      </c>
      <c r="N88" s="2" t="s">
        <v>96</v>
      </c>
      <c r="O88" s="2" t="n">
        <v>1</v>
      </c>
      <c r="P88" s="2" t="n">
        <v>1</v>
      </c>
      <c r="Q88" s="2" t="s">
        <v>61</v>
      </c>
      <c r="R88" s="2"/>
      <c r="S88" s="2" t="s">
        <v>215</v>
      </c>
      <c r="T88" s="2" t="s">
        <v>47</v>
      </c>
      <c r="U88" s="2"/>
      <c r="V88" s="2"/>
      <c r="W88" s="2" t="s">
        <v>212</v>
      </c>
      <c r="X88" s="2" t="s">
        <v>692</v>
      </c>
      <c r="Y88" s="2" t="n">
        <f aca="false">IF(AND(OR(Query_Interface!$B$5="All",$D88=Query_Interface!$B$5),OR(Query_Interface!$B$6="All",$F88=Query_Interface!$B$6),OR(Query_Interface!$B$7="All",$H88=Query_Interface!$B$7),OR(Query_Interface!$B$8="All",$N88=Query_Interface!$B$8),OR(Query_Interface!$B$9="All",$L88=Query_Interface!$B$9),OR(Query_Interface!$B$10="All",$R88=Query_Interface!$B$10),OR(Query_Interface!$B$11="All",$T88=Query_Interface!$B$11),OR(Query_Interface!$B$12="All",$Q88=Query_Interface!$B$12)),1,0)</f>
        <v>1</v>
      </c>
      <c r="Z88" s="2" t="n">
        <f aca="false">IF($Y88=1,COUNTIF($Y$2:$Y88,1),"")</f>
        <v>87</v>
      </c>
    </row>
    <row r="89" customFormat="false" ht="35.05" hidden="false" customHeight="false" outlineLevel="0" collapsed="false">
      <c r="A89" s="2" t="s">
        <v>350</v>
      </c>
      <c r="B89" s="2" t="n">
        <v>73</v>
      </c>
      <c r="C89" s="2" t="s">
        <v>686</v>
      </c>
      <c r="D89" s="2" t="s">
        <v>34</v>
      </c>
      <c r="E89" s="2" t="s">
        <v>810</v>
      </c>
      <c r="F89" s="2" t="s">
        <v>42</v>
      </c>
      <c r="G89" s="2" t="s">
        <v>811</v>
      </c>
      <c r="H89" s="2" t="s">
        <v>43</v>
      </c>
      <c r="I89" s="2" t="s">
        <v>812</v>
      </c>
      <c r="J89" s="2" t="s">
        <v>351</v>
      </c>
      <c r="K89" s="2" t="s">
        <v>824</v>
      </c>
      <c r="L89" s="2" t="s">
        <v>69</v>
      </c>
      <c r="M89" s="2" t="s">
        <v>825</v>
      </c>
      <c r="N89" s="2" t="s">
        <v>110</v>
      </c>
      <c r="O89" s="2" t="n">
        <v>1</v>
      </c>
      <c r="P89" s="2" t="n">
        <v>2</v>
      </c>
      <c r="Q89" s="2" t="s">
        <v>41</v>
      </c>
      <c r="R89" s="2"/>
      <c r="S89" s="2" t="s">
        <v>215</v>
      </c>
      <c r="T89" s="2" t="s">
        <v>40</v>
      </c>
      <c r="U89" s="2"/>
      <c r="V89" s="2"/>
      <c r="W89" s="2" t="s">
        <v>212</v>
      </c>
      <c r="X89" s="2" t="s">
        <v>692</v>
      </c>
      <c r="Y89" s="2" t="n">
        <f aca="false">IF(AND(OR(Query_Interface!$B$5="All",$D89=Query_Interface!$B$5),OR(Query_Interface!$B$6="All",$F89=Query_Interface!$B$6),OR(Query_Interface!$B$7="All",$H89=Query_Interface!$B$7),OR(Query_Interface!$B$8="All",$N89=Query_Interface!$B$8),OR(Query_Interface!$B$9="All",$L89=Query_Interface!$B$9),OR(Query_Interface!$B$10="All",$R89=Query_Interface!$B$10),OR(Query_Interface!$B$11="All",$T89=Query_Interface!$B$11),OR(Query_Interface!$B$12="All",$Q89=Query_Interface!$B$12)),1,0)</f>
        <v>1</v>
      </c>
      <c r="Z89" s="2" t="n">
        <f aca="false">IF($Y89=1,COUNTIF($Y$2:$Y89,1),"")</f>
        <v>88</v>
      </c>
    </row>
    <row r="90" customFormat="false" ht="35.05" hidden="false" customHeight="false" outlineLevel="0" collapsed="false">
      <c r="A90" s="2" t="s">
        <v>350</v>
      </c>
      <c r="B90" s="2" t="n">
        <v>73</v>
      </c>
      <c r="C90" s="2" t="s">
        <v>686</v>
      </c>
      <c r="D90" s="2" t="s">
        <v>34</v>
      </c>
      <c r="E90" s="2" t="s">
        <v>810</v>
      </c>
      <c r="F90" s="2" t="s">
        <v>42</v>
      </c>
      <c r="G90" s="2" t="s">
        <v>811</v>
      </c>
      <c r="H90" s="2" t="s">
        <v>43</v>
      </c>
      <c r="I90" s="2" t="s">
        <v>812</v>
      </c>
      <c r="J90" s="2" t="s">
        <v>351</v>
      </c>
      <c r="K90" s="2" t="s">
        <v>824</v>
      </c>
      <c r="L90" s="2" t="s">
        <v>69</v>
      </c>
      <c r="M90" s="2" t="s">
        <v>826</v>
      </c>
      <c r="N90" s="2" t="s">
        <v>101</v>
      </c>
      <c r="O90" s="2" t="n">
        <v>2</v>
      </c>
      <c r="P90" s="2" t="n">
        <v>2</v>
      </c>
      <c r="Q90" s="2" t="s">
        <v>41</v>
      </c>
      <c r="R90" s="2"/>
      <c r="S90" s="2" t="s">
        <v>215</v>
      </c>
      <c r="T90" s="2" t="s">
        <v>40</v>
      </c>
      <c r="U90" s="2"/>
      <c r="V90" s="2"/>
      <c r="W90" s="2" t="s">
        <v>212</v>
      </c>
      <c r="X90" s="2" t="s">
        <v>692</v>
      </c>
      <c r="Y90" s="2" t="n">
        <f aca="false">IF(AND(OR(Query_Interface!$B$5="All",$D90=Query_Interface!$B$5),OR(Query_Interface!$B$6="All",$F90=Query_Interface!$B$6),OR(Query_Interface!$B$7="All",$H90=Query_Interface!$B$7),OR(Query_Interface!$B$8="All",$N90=Query_Interface!$B$8),OR(Query_Interface!$B$9="All",$L90=Query_Interface!$B$9),OR(Query_Interface!$B$10="All",$R90=Query_Interface!$B$10),OR(Query_Interface!$B$11="All",$T90=Query_Interface!$B$11),OR(Query_Interface!$B$12="All",$Q90=Query_Interface!$B$12)),1,0)</f>
        <v>1</v>
      </c>
      <c r="Z90" s="2" t="n">
        <f aca="false">IF($Y90=1,COUNTIF($Y$2:$Y90,1),"")</f>
        <v>89</v>
      </c>
    </row>
    <row r="91" customFormat="false" ht="35.05" hidden="false" customHeight="false" outlineLevel="0" collapsed="false">
      <c r="A91" s="2" t="s">
        <v>352</v>
      </c>
      <c r="B91" s="2" t="n">
        <v>74</v>
      </c>
      <c r="C91" s="2" t="s">
        <v>686</v>
      </c>
      <c r="D91" s="2" t="s">
        <v>34</v>
      </c>
      <c r="E91" s="2" t="s">
        <v>810</v>
      </c>
      <c r="F91" s="2" t="s">
        <v>42</v>
      </c>
      <c r="G91" s="2" t="s">
        <v>811</v>
      </c>
      <c r="H91" s="2" t="s">
        <v>43</v>
      </c>
      <c r="I91" s="2" t="s">
        <v>812</v>
      </c>
      <c r="J91" s="2" t="s">
        <v>353</v>
      </c>
      <c r="K91" s="2" t="s">
        <v>827</v>
      </c>
      <c r="L91" s="2" t="s">
        <v>45</v>
      </c>
      <c r="M91" s="2" t="s">
        <v>828</v>
      </c>
      <c r="N91" s="2" t="s">
        <v>51</v>
      </c>
      <c r="O91" s="2" t="n">
        <v>1</v>
      </c>
      <c r="P91" s="2" t="n">
        <v>3</v>
      </c>
      <c r="Q91" s="2" t="s">
        <v>41</v>
      </c>
      <c r="R91" s="2"/>
      <c r="S91" s="2" t="s">
        <v>215</v>
      </c>
      <c r="T91" s="2" t="s">
        <v>40</v>
      </c>
      <c r="U91" s="2"/>
      <c r="V91" s="2"/>
      <c r="W91" s="2" t="s">
        <v>212</v>
      </c>
      <c r="X91" s="2" t="s">
        <v>692</v>
      </c>
      <c r="Y91" s="2" t="n">
        <f aca="false">IF(AND(OR(Query_Interface!$B$5="All",$D91=Query_Interface!$B$5),OR(Query_Interface!$B$6="All",$F91=Query_Interface!$B$6),OR(Query_Interface!$B$7="All",$H91=Query_Interface!$B$7),OR(Query_Interface!$B$8="All",$N91=Query_Interface!$B$8),OR(Query_Interface!$B$9="All",$L91=Query_Interface!$B$9),OR(Query_Interface!$B$10="All",$R91=Query_Interface!$B$10),OR(Query_Interface!$B$11="All",$T91=Query_Interface!$B$11),OR(Query_Interface!$B$12="All",$Q91=Query_Interface!$B$12)),1,0)</f>
        <v>1</v>
      </c>
      <c r="Z91" s="2" t="n">
        <f aca="false">IF($Y91=1,COUNTIF($Y$2:$Y91,1),"")</f>
        <v>90</v>
      </c>
    </row>
    <row r="92" customFormat="false" ht="35.05" hidden="false" customHeight="false" outlineLevel="0" collapsed="false">
      <c r="A92" s="2" t="s">
        <v>352</v>
      </c>
      <c r="B92" s="2" t="n">
        <v>74</v>
      </c>
      <c r="C92" s="2" t="s">
        <v>686</v>
      </c>
      <c r="D92" s="2" t="s">
        <v>34</v>
      </c>
      <c r="E92" s="2" t="s">
        <v>810</v>
      </c>
      <c r="F92" s="2" t="s">
        <v>42</v>
      </c>
      <c r="G92" s="2" t="s">
        <v>811</v>
      </c>
      <c r="H92" s="2" t="s">
        <v>43</v>
      </c>
      <c r="I92" s="2" t="s">
        <v>812</v>
      </c>
      <c r="J92" s="2" t="s">
        <v>353</v>
      </c>
      <c r="K92" s="2" t="s">
        <v>827</v>
      </c>
      <c r="L92" s="2" t="s">
        <v>45</v>
      </c>
      <c r="M92" s="2" t="s">
        <v>736</v>
      </c>
      <c r="N92" s="2" t="s">
        <v>85</v>
      </c>
      <c r="O92" s="2" t="n">
        <v>2</v>
      </c>
      <c r="P92" s="2" t="n">
        <v>3</v>
      </c>
      <c r="Q92" s="2" t="s">
        <v>41</v>
      </c>
      <c r="R92" s="2"/>
      <c r="S92" s="2" t="s">
        <v>215</v>
      </c>
      <c r="T92" s="2" t="s">
        <v>40</v>
      </c>
      <c r="U92" s="2"/>
      <c r="V92" s="2"/>
      <c r="W92" s="2" t="s">
        <v>212</v>
      </c>
      <c r="X92" s="2" t="s">
        <v>692</v>
      </c>
      <c r="Y92" s="2" t="n">
        <f aca="false">IF(AND(OR(Query_Interface!$B$5="All",$D92=Query_Interface!$B$5),OR(Query_Interface!$B$6="All",$F92=Query_Interface!$B$6),OR(Query_Interface!$B$7="All",$H92=Query_Interface!$B$7),OR(Query_Interface!$B$8="All",$N92=Query_Interface!$B$8),OR(Query_Interface!$B$9="All",$L92=Query_Interface!$B$9),OR(Query_Interface!$B$10="All",$R92=Query_Interface!$B$10),OR(Query_Interface!$B$11="All",$T92=Query_Interface!$B$11),OR(Query_Interface!$B$12="All",$Q92=Query_Interface!$B$12)),1,0)</f>
        <v>1</v>
      </c>
      <c r="Z92" s="2" t="n">
        <f aca="false">IF($Y92=1,COUNTIF($Y$2:$Y92,1),"")</f>
        <v>91</v>
      </c>
    </row>
    <row r="93" customFormat="false" ht="35.05" hidden="false" customHeight="false" outlineLevel="0" collapsed="false">
      <c r="A93" s="2" t="s">
        <v>352</v>
      </c>
      <c r="B93" s="2" t="n">
        <v>74</v>
      </c>
      <c r="C93" s="2" t="s">
        <v>686</v>
      </c>
      <c r="D93" s="2" t="s">
        <v>34</v>
      </c>
      <c r="E93" s="2" t="s">
        <v>810</v>
      </c>
      <c r="F93" s="2" t="s">
        <v>42</v>
      </c>
      <c r="G93" s="2" t="s">
        <v>811</v>
      </c>
      <c r="H93" s="2" t="s">
        <v>43</v>
      </c>
      <c r="I93" s="2" t="s">
        <v>812</v>
      </c>
      <c r="J93" s="2" t="s">
        <v>353</v>
      </c>
      <c r="K93" s="2" t="s">
        <v>827</v>
      </c>
      <c r="L93" s="2" t="s">
        <v>45</v>
      </c>
      <c r="M93" s="2" t="s">
        <v>722</v>
      </c>
      <c r="N93" s="2" t="s">
        <v>72</v>
      </c>
      <c r="O93" s="2" t="n">
        <v>3</v>
      </c>
      <c r="P93" s="2" t="n">
        <v>3</v>
      </c>
      <c r="Q93" s="2" t="s">
        <v>41</v>
      </c>
      <c r="R93" s="2"/>
      <c r="S93" s="2" t="s">
        <v>215</v>
      </c>
      <c r="T93" s="2" t="s">
        <v>40</v>
      </c>
      <c r="U93" s="2"/>
      <c r="V93" s="2"/>
      <c r="W93" s="2" t="s">
        <v>212</v>
      </c>
      <c r="X93" s="2" t="s">
        <v>692</v>
      </c>
      <c r="Y93" s="2" t="n">
        <f aca="false">IF(AND(OR(Query_Interface!$B$5="All",$D93=Query_Interface!$B$5),OR(Query_Interface!$B$6="All",$F93=Query_Interface!$B$6),OR(Query_Interface!$B$7="All",$H93=Query_Interface!$B$7),OR(Query_Interface!$B$8="All",$N93=Query_Interface!$B$8),OR(Query_Interface!$B$9="All",$L93=Query_Interface!$B$9),OR(Query_Interface!$B$10="All",$R93=Query_Interface!$B$10),OR(Query_Interface!$B$11="All",$T93=Query_Interface!$B$11),OR(Query_Interface!$B$12="All",$Q93=Query_Interface!$B$12)),1,0)</f>
        <v>1</v>
      </c>
      <c r="Z93" s="2" t="n">
        <f aca="false">IF($Y93=1,COUNTIF($Y$2:$Y93,1),"")</f>
        <v>92</v>
      </c>
    </row>
    <row r="94" customFormat="false" ht="35.05" hidden="false" customHeight="false" outlineLevel="0" collapsed="false">
      <c r="A94" s="2" t="s">
        <v>354</v>
      </c>
      <c r="B94" s="2" t="n">
        <v>75</v>
      </c>
      <c r="C94" s="2" t="s">
        <v>686</v>
      </c>
      <c r="D94" s="2" t="s">
        <v>34</v>
      </c>
      <c r="E94" s="2" t="s">
        <v>810</v>
      </c>
      <c r="F94" s="2" t="s">
        <v>42</v>
      </c>
      <c r="G94" s="2" t="s">
        <v>811</v>
      </c>
      <c r="H94" s="2" t="s">
        <v>43</v>
      </c>
      <c r="I94" s="2" t="s">
        <v>812</v>
      </c>
      <c r="J94" s="2" t="s">
        <v>259</v>
      </c>
      <c r="K94" s="2" t="s">
        <v>829</v>
      </c>
      <c r="L94" s="2" t="s">
        <v>38</v>
      </c>
      <c r="M94" s="2" t="s">
        <v>734</v>
      </c>
      <c r="N94" s="2" t="s">
        <v>87</v>
      </c>
      <c r="O94" s="2" t="n">
        <v>1</v>
      </c>
      <c r="P94" s="2" t="n">
        <v>1</v>
      </c>
      <c r="Q94" s="2" t="s">
        <v>61</v>
      </c>
      <c r="R94" s="2"/>
      <c r="S94" s="2" t="s">
        <v>215</v>
      </c>
      <c r="T94" s="2" t="s">
        <v>47</v>
      </c>
      <c r="U94" s="2"/>
      <c r="V94" s="2"/>
      <c r="W94" s="2" t="s">
        <v>212</v>
      </c>
      <c r="X94" s="2" t="s">
        <v>692</v>
      </c>
      <c r="Y94" s="2" t="n">
        <f aca="false">IF(AND(OR(Query_Interface!$B$5="All",$D94=Query_Interface!$B$5),OR(Query_Interface!$B$6="All",$F94=Query_Interface!$B$6),OR(Query_Interface!$B$7="All",$H94=Query_Interface!$B$7),OR(Query_Interface!$B$8="All",$N94=Query_Interface!$B$8),OR(Query_Interface!$B$9="All",$L94=Query_Interface!$B$9),OR(Query_Interface!$B$10="All",$R94=Query_Interface!$B$10),OR(Query_Interface!$B$11="All",$T94=Query_Interface!$B$11),OR(Query_Interface!$B$12="All",$Q94=Query_Interface!$B$12)),1,0)</f>
        <v>1</v>
      </c>
      <c r="Z94" s="2" t="n">
        <f aca="false">IF($Y94=1,COUNTIF($Y$2:$Y94,1),"")</f>
        <v>93</v>
      </c>
    </row>
    <row r="95" customFormat="false" ht="35.05" hidden="false" customHeight="false" outlineLevel="0" collapsed="false">
      <c r="A95" s="2" t="s">
        <v>355</v>
      </c>
      <c r="B95" s="2" t="n">
        <v>76</v>
      </c>
      <c r="C95" s="2" t="s">
        <v>686</v>
      </c>
      <c r="D95" s="2" t="s">
        <v>34</v>
      </c>
      <c r="E95" s="2" t="s">
        <v>810</v>
      </c>
      <c r="F95" s="2" t="s">
        <v>42</v>
      </c>
      <c r="G95" s="2" t="s">
        <v>811</v>
      </c>
      <c r="H95" s="2" t="s">
        <v>43</v>
      </c>
      <c r="I95" s="2" t="s">
        <v>812</v>
      </c>
      <c r="J95" s="2" t="s">
        <v>356</v>
      </c>
      <c r="K95" s="2" t="s">
        <v>830</v>
      </c>
      <c r="L95" s="2" t="s">
        <v>38</v>
      </c>
      <c r="M95" s="2" t="s">
        <v>831</v>
      </c>
      <c r="N95" s="2" t="s">
        <v>80</v>
      </c>
      <c r="O95" s="2" t="n">
        <v>1</v>
      </c>
      <c r="P95" s="2" t="n">
        <v>1</v>
      </c>
      <c r="Q95" s="2" t="s">
        <v>61</v>
      </c>
      <c r="R95" s="2"/>
      <c r="S95" s="2" t="s">
        <v>215</v>
      </c>
      <c r="T95" s="2" t="s">
        <v>40</v>
      </c>
      <c r="U95" s="2"/>
      <c r="V95" s="2"/>
      <c r="W95" s="2" t="s">
        <v>212</v>
      </c>
      <c r="X95" s="2" t="s">
        <v>692</v>
      </c>
      <c r="Y95" s="2" t="n">
        <f aca="false">IF(AND(OR(Query_Interface!$B$5="All",$D95=Query_Interface!$B$5),OR(Query_Interface!$B$6="All",$F95=Query_Interface!$B$6),OR(Query_Interface!$B$7="All",$H95=Query_Interface!$B$7),OR(Query_Interface!$B$8="All",$N95=Query_Interface!$B$8),OR(Query_Interface!$B$9="All",$L95=Query_Interface!$B$9),OR(Query_Interface!$B$10="All",$R95=Query_Interface!$B$10),OR(Query_Interface!$B$11="All",$T95=Query_Interface!$B$11),OR(Query_Interface!$B$12="All",$Q95=Query_Interface!$B$12)),1,0)</f>
        <v>1</v>
      </c>
      <c r="Z95" s="2" t="n">
        <f aca="false">IF($Y95=1,COUNTIF($Y$2:$Y95,1),"")</f>
        <v>94</v>
      </c>
    </row>
    <row r="96" customFormat="false" ht="35.05" hidden="false" customHeight="false" outlineLevel="0" collapsed="false">
      <c r="A96" s="2" t="s">
        <v>357</v>
      </c>
      <c r="B96" s="2" t="n">
        <v>77</v>
      </c>
      <c r="C96" s="2" t="s">
        <v>686</v>
      </c>
      <c r="D96" s="2" t="s">
        <v>34</v>
      </c>
      <c r="E96" s="2" t="s">
        <v>810</v>
      </c>
      <c r="F96" s="2" t="s">
        <v>42</v>
      </c>
      <c r="G96" s="2" t="s">
        <v>811</v>
      </c>
      <c r="H96" s="2" t="s">
        <v>43</v>
      </c>
      <c r="I96" s="2" t="s">
        <v>812</v>
      </c>
      <c r="J96" s="2" t="s">
        <v>261</v>
      </c>
      <c r="K96" s="2" t="s">
        <v>832</v>
      </c>
      <c r="L96" s="2" t="s">
        <v>38</v>
      </c>
      <c r="M96" s="2" t="s">
        <v>833</v>
      </c>
      <c r="N96" s="2" t="s">
        <v>86</v>
      </c>
      <c r="O96" s="2" t="n">
        <v>1</v>
      </c>
      <c r="P96" s="2" t="n">
        <v>1</v>
      </c>
      <c r="Q96" s="2" t="s">
        <v>61</v>
      </c>
      <c r="R96" s="2"/>
      <c r="S96" s="2" t="s">
        <v>215</v>
      </c>
      <c r="T96" s="2" t="s">
        <v>47</v>
      </c>
      <c r="U96" s="2"/>
      <c r="V96" s="2"/>
      <c r="W96" s="2" t="s">
        <v>212</v>
      </c>
      <c r="X96" s="2" t="s">
        <v>692</v>
      </c>
      <c r="Y96" s="2" t="n">
        <f aca="false">IF(AND(OR(Query_Interface!$B$5="All",$D96=Query_Interface!$B$5),OR(Query_Interface!$B$6="All",$F96=Query_Interface!$B$6),OR(Query_Interface!$B$7="All",$H96=Query_Interface!$B$7),OR(Query_Interface!$B$8="All",$N96=Query_Interface!$B$8),OR(Query_Interface!$B$9="All",$L96=Query_Interface!$B$9),OR(Query_Interface!$B$10="All",$R96=Query_Interface!$B$10),OR(Query_Interface!$B$11="All",$T96=Query_Interface!$B$11),OR(Query_Interface!$B$12="All",$Q96=Query_Interface!$B$12)),1,0)</f>
        <v>1</v>
      </c>
      <c r="Z96" s="2" t="n">
        <f aca="false">IF($Y96=1,COUNTIF($Y$2:$Y96,1),"")</f>
        <v>95</v>
      </c>
    </row>
    <row r="97" customFormat="false" ht="35.05" hidden="false" customHeight="false" outlineLevel="0" collapsed="false">
      <c r="A97" s="2" t="s">
        <v>358</v>
      </c>
      <c r="B97" s="2" t="n">
        <v>78</v>
      </c>
      <c r="C97" s="2" t="s">
        <v>686</v>
      </c>
      <c r="D97" s="2" t="s">
        <v>34</v>
      </c>
      <c r="E97" s="2" t="s">
        <v>810</v>
      </c>
      <c r="F97" s="2" t="s">
        <v>42</v>
      </c>
      <c r="G97" s="2" t="s">
        <v>811</v>
      </c>
      <c r="H97" s="2" t="s">
        <v>43</v>
      </c>
      <c r="I97" s="2" t="s">
        <v>812</v>
      </c>
      <c r="J97" s="2" t="s">
        <v>359</v>
      </c>
      <c r="K97" s="2" t="s">
        <v>834</v>
      </c>
      <c r="L97" s="2" t="s">
        <v>75</v>
      </c>
      <c r="M97" s="2" t="s">
        <v>798</v>
      </c>
      <c r="N97" s="2" t="s">
        <v>140</v>
      </c>
      <c r="O97" s="2" t="n">
        <v>1</v>
      </c>
      <c r="P97" s="2" t="n">
        <v>1</v>
      </c>
      <c r="Q97" s="2" t="s">
        <v>61</v>
      </c>
      <c r="R97" s="2"/>
      <c r="S97" s="2" t="s">
        <v>230</v>
      </c>
      <c r="T97" s="2" t="s">
        <v>40</v>
      </c>
      <c r="U97" s="2"/>
      <c r="V97" s="2"/>
      <c r="W97" s="2" t="s">
        <v>212</v>
      </c>
      <c r="X97" s="2" t="s">
        <v>692</v>
      </c>
      <c r="Y97" s="2" t="n">
        <f aca="false">IF(AND(OR(Query_Interface!$B$5="All",$D97=Query_Interface!$B$5),OR(Query_Interface!$B$6="All",$F97=Query_Interface!$B$6),OR(Query_Interface!$B$7="All",$H97=Query_Interface!$B$7),OR(Query_Interface!$B$8="All",$N97=Query_Interface!$B$8),OR(Query_Interface!$B$9="All",$L97=Query_Interface!$B$9),OR(Query_Interface!$B$10="All",$R97=Query_Interface!$B$10),OR(Query_Interface!$B$11="All",$T97=Query_Interface!$B$11),OR(Query_Interface!$B$12="All",$Q97=Query_Interface!$B$12)),1,0)</f>
        <v>1</v>
      </c>
      <c r="Z97" s="2" t="n">
        <f aca="false">IF($Y97=1,COUNTIF($Y$2:$Y97,1),"")</f>
        <v>96</v>
      </c>
    </row>
    <row r="98" customFormat="false" ht="35.05" hidden="false" customHeight="false" outlineLevel="0" collapsed="false">
      <c r="A98" s="2" t="s">
        <v>360</v>
      </c>
      <c r="B98" s="2" t="n">
        <v>79</v>
      </c>
      <c r="C98" s="2" t="s">
        <v>686</v>
      </c>
      <c r="D98" s="2" t="s">
        <v>34</v>
      </c>
      <c r="E98" s="2" t="s">
        <v>810</v>
      </c>
      <c r="F98" s="2" t="s">
        <v>42</v>
      </c>
      <c r="G98" s="2" t="s">
        <v>811</v>
      </c>
      <c r="H98" s="2" t="s">
        <v>43</v>
      </c>
      <c r="I98" s="2" t="s">
        <v>812</v>
      </c>
      <c r="J98" s="2" t="s">
        <v>361</v>
      </c>
      <c r="K98" s="2" t="s">
        <v>835</v>
      </c>
      <c r="L98" s="2" t="s">
        <v>71</v>
      </c>
      <c r="M98" s="2" t="s">
        <v>836</v>
      </c>
      <c r="N98" s="2" t="s">
        <v>128</v>
      </c>
      <c r="O98" s="2" t="n">
        <v>1</v>
      </c>
      <c r="P98" s="2" t="n">
        <v>1</v>
      </c>
      <c r="Q98" s="2" t="s">
        <v>61</v>
      </c>
      <c r="R98" s="2"/>
      <c r="S98" s="2" t="s">
        <v>215</v>
      </c>
      <c r="T98" s="2" t="s">
        <v>54</v>
      </c>
      <c r="U98" s="2"/>
      <c r="V98" s="2"/>
      <c r="W98" s="2" t="s">
        <v>212</v>
      </c>
      <c r="X98" s="2" t="s">
        <v>692</v>
      </c>
      <c r="Y98" s="2" t="n">
        <f aca="false">IF(AND(OR(Query_Interface!$B$5="All",$D98=Query_Interface!$B$5),OR(Query_Interface!$B$6="All",$F98=Query_Interface!$B$6),OR(Query_Interface!$B$7="All",$H98=Query_Interface!$B$7),OR(Query_Interface!$B$8="All",$N98=Query_Interface!$B$8),OR(Query_Interface!$B$9="All",$L98=Query_Interface!$B$9),OR(Query_Interface!$B$10="All",$R98=Query_Interface!$B$10),OR(Query_Interface!$B$11="All",$T98=Query_Interface!$B$11),OR(Query_Interface!$B$12="All",$Q98=Query_Interface!$B$12)),1,0)</f>
        <v>1</v>
      </c>
      <c r="Z98" s="2" t="n">
        <f aca="false">IF($Y98=1,COUNTIF($Y$2:$Y98,1),"")</f>
        <v>97</v>
      </c>
    </row>
    <row r="99" customFormat="false" ht="35.05" hidden="false" customHeight="false" outlineLevel="0" collapsed="false">
      <c r="A99" s="2" t="s">
        <v>362</v>
      </c>
      <c r="B99" s="2" t="n">
        <v>80</v>
      </c>
      <c r="C99" s="2" t="s">
        <v>686</v>
      </c>
      <c r="D99" s="2" t="s">
        <v>34</v>
      </c>
      <c r="E99" s="2" t="s">
        <v>810</v>
      </c>
      <c r="F99" s="2" t="s">
        <v>42</v>
      </c>
      <c r="G99" s="2" t="s">
        <v>811</v>
      </c>
      <c r="H99" s="2" t="s">
        <v>43</v>
      </c>
      <c r="I99" s="2" t="s">
        <v>812</v>
      </c>
      <c r="J99" s="2" t="s">
        <v>363</v>
      </c>
      <c r="K99" s="2" t="s">
        <v>837</v>
      </c>
      <c r="L99" s="2" t="s">
        <v>69</v>
      </c>
      <c r="M99" s="2" t="s">
        <v>838</v>
      </c>
      <c r="N99" s="2" t="s">
        <v>111</v>
      </c>
      <c r="O99" s="2" t="n">
        <v>1</v>
      </c>
      <c r="P99" s="2" t="n">
        <v>2</v>
      </c>
      <c r="Q99" s="2" t="s">
        <v>41</v>
      </c>
      <c r="R99" s="2"/>
      <c r="S99" s="2" t="s">
        <v>233</v>
      </c>
      <c r="T99" s="2" t="s">
        <v>60</v>
      </c>
      <c r="U99" s="2"/>
      <c r="V99" s="2"/>
      <c r="W99" s="2" t="s">
        <v>212</v>
      </c>
      <c r="X99" s="2" t="s">
        <v>692</v>
      </c>
      <c r="Y99" s="2" t="n">
        <f aca="false">IF(AND(OR(Query_Interface!$B$5="All",$D99=Query_Interface!$B$5),OR(Query_Interface!$B$6="All",$F99=Query_Interface!$B$6),OR(Query_Interface!$B$7="All",$H99=Query_Interface!$B$7),OR(Query_Interface!$B$8="All",$N99=Query_Interface!$B$8),OR(Query_Interface!$B$9="All",$L99=Query_Interface!$B$9),OR(Query_Interface!$B$10="All",$R99=Query_Interface!$B$10),OR(Query_Interface!$B$11="All",$T99=Query_Interface!$B$11),OR(Query_Interface!$B$12="All",$Q99=Query_Interface!$B$12)),1,0)</f>
        <v>1</v>
      </c>
      <c r="Z99" s="2" t="n">
        <f aca="false">IF($Y99=1,COUNTIF($Y$2:$Y99,1),"")</f>
        <v>98</v>
      </c>
    </row>
    <row r="100" customFormat="false" ht="35.05" hidden="false" customHeight="false" outlineLevel="0" collapsed="false">
      <c r="A100" s="2" t="s">
        <v>362</v>
      </c>
      <c r="B100" s="2" t="n">
        <v>80</v>
      </c>
      <c r="C100" s="2" t="s">
        <v>686</v>
      </c>
      <c r="D100" s="2" t="s">
        <v>34</v>
      </c>
      <c r="E100" s="2" t="s">
        <v>810</v>
      </c>
      <c r="F100" s="2" t="s">
        <v>42</v>
      </c>
      <c r="G100" s="2" t="s">
        <v>811</v>
      </c>
      <c r="H100" s="2" t="s">
        <v>43</v>
      </c>
      <c r="I100" s="2" t="s">
        <v>812</v>
      </c>
      <c r="J100" s="2" t="s">
        <v>363</v>
      </c>
      <c r="K100" s="2" t="s">
        <v>837</v>
      </c>
      <c r="L100" s="2" t="s">
        <v>69</v>
      </c>
      <c r="M100" s="2" t="s">
        <v>839</v>
      </c>
      <c r="N100" s="2" t="s">
        <v>125</v>
      </c>
      <c r="O100" s="2" t="n">
        <v>2</v>
      </c>
      <c r="P100" s="2" t="n">
        <v>2</v>
      </c>
      <c r="Q100" s="2" t="s">
        <v>41</v>
      </c>
      <c r="R100" s="2"/>
      <c r="S100" s="2" t="s">
        <v>233</v>
      </c>
      <c r="T100" s="2" t="s">
        <v>60</v>
      </c>
      <c r="U100" s="2"/>
      <c r="V100" s="2"/>
      <c r="W100" s="2" t="s">
        <v>212</v>
      </c>
      <c r="X100" s="2" t="s">
        <v>692</v>
      </c>
      <c r="Y100" s="2" t="n">
        <f aca="false">IF(AND(OR(Query_Interface!$B$5="All",$D100=Query_Interface!$B$5),OR(Query_Interface!$B$6="All",$F100=Query_Interface!$B$6),OR(Query_Interface!$B$7="All",$H100=Query_Interface!$B$7),OR(Query_Interface!$B$8="All",$N100=Query_Interface!$B$8),OR(Query_Interface!$B$9="All",$L100=Query_Interface!$B$9),OR(Query_Interface!$B$10="All",$R100=Query_Interface!$B$10),OR(Query_Interface!$B$11="All",$T100=Query_Interface!$B$11),OR(Query_Interface!$B$12="All",$Q100=Query_Interface!$B$12)),1,0)</f>
        <v>1</v>
      </c>
      <c r="Z100" s="2" t="n">
        <f aca="false">IF($Y100=1,COUNTIF($Y$2:$Y100,1),"")</f>
        <v>99</v>
      </c>
    </row>
    <row r="101" customFormat="false" ht="35.05" hidden="false" customHeight="false" outlineLevel="0" collapsed="false">
      <c r="A101" s="2" t="s">
        <v>364</v>
      </c>
      <c r="B101" s="2" t="n">
        <v>81</v>
      </c>
      <c r="C101" s="2" t="s">
        <v>686</v>
      </c>
      <c r="D101" s="2" t="s">
        <v>34</v>
      </c>
      <c r="E101" s="2" t="s">
        <v>810</v>
      </c>
      <c r="F101" s="2" t="s">
        <v>42</v>
      </c>
      <c r="G101" s="2" t="s">
        <v>811</v>
      </c>
      <c r="H101" s="2" t="s">
        <v>43</v>
      </c>
      <c r="I101" s="2" t="s">
        <v>812</v>
      </c>
      <c r="J101" s="2" t="s">
        <v>365</v>
      </c>
      <c r="K101" s="2" t="s">
        <v>840</v>
      </c>
      <c r="L101" s="2" t="s">
        <v>75</v>
      </c>
      <c r="M101" s="2" t="s">
        <v>826</v>
      </c>
      <c r="N101" s="2" t="s">
        <v>101</v>
      </c>
      <c r="O101" s="2" t="n">
        <v>1</v>
      </c>
      <c r="P101" s="2" t="n">
        <v>2</v>
      </c>
      <c r="Q101" s="2" t="s">
        <v>41</v>
      </c>
      <c r="R101" s="2"/>
      <c r="S101" s="2" t="s">
        <v>230</v>
      </c>
      <c r="T101" s="2" t="s">
        <v>40</v>
      </c>
      <c r="U101" s="2"/>
      <c r="V101" s="2"/>
      <c r="W101" s="2" t="s">
        <v>212</v>
      </c>
      <c r="X101" s="2" t="s">
        <v>692</v>
      </c>
      <c r="Y101" s="2" t="n">
        <f aca="false">IF(AND(OR(Query_Interface!$B$5="All",$D101=Query_Interface!$B$5),OR(Query_Interface!$B$6="All",$F101=Query_Interface!$B$6),OR(Query_Interface!$B$7="All",$H101=Query_Interface!$B$7),OR(Query_Interface!$B$8="All",$N101=Query_Interface!$B$8),OR(Query_Interface!$B$9="All",$L101=Query_Interface!$B$9),OR(Query_Interface!$B$10="All",$R101=Query_Interface!$B$10),OR(Query_Interface!$B$11="All",$T101=Query_Interface!$B$11),OR(Query_Interface!$B$12="All",$Q101=Query_Interface!$B$12)),1,0)</f>
        <v>1</v>
      </c>
      <c r="Z101" s="2" t="n">
        <f aca="false">IF($Y101=1,COUNTIF($Y$2:$Y101,1),"")</f>
        <v>100</v>
      </c>
    </row>
    <row r="102" customFormat="false" ht="35.05" hidden="false" customHeight="false" outlineLevel="0" collapsed="false">
      <c r="A102" s="2" t="s">
        <v>364</v>
      </c>
      <c r="B102" s="2" t="n">
        <v>81</v>
      </c>
      <c r="C102" s="2" t="s">
        <v>686</v>
      </c>
      <c r="D102" s="2" t="s">
        <v>34</v>
      </c>
      <c r="E102" s="2" t="s">
        <v>810</v>
      </c>
      <c r="F102" s="2" t="s">
        <v>42</v>
      </c>
      <c r="G102" s="2" t="s">
        <v>811</v>
      </c>
      <c r="H102" s="2" t="s">
        <v>43</v>
      </c>
      <c r="I102" s="2" t="s">
        <v>812</v>
      </c>
      <c r="J102" s="2" t="s">
        <v>365</v>
      </c>
      <c r="K102" s="2" t="s">
        <v>840</v>
      </c>
      <c r="L102" s="2" t="s">
        <v>75</v>
      </c>
      <c r="M102" s="2" t="s">
        <v>800</v>
      </c>
      <c r="N102" s="2" t="s">
        <v>102</v>
      </c>
      <c r="O102" s="2" t="n">
        <v>2</v>
      </c>
      <c r="P102" s="2" t="n">
        <v>2</v>
      </c>
      <c r="Q102" s="2" t="s">
        <v>41</v>
      </c>
      <c r="R102" s="2"/>
      <c r="S102" s="2" t="s">
        <v>230</v>
      </c>
      <c r="T102" s="2" t="s">
        <v>40</v>
      </c>
      <c r="U102" s="2"/>
      <c r="V102" s="2"/>
      <c r="W102" s="2" t="s">
        <v>212</v>
      </c>
      <c r="X102" s="2" t="s">
        <v>692</v>
      </c>
      <c r="Y102" s="2" t="n">
        <f aca="false">IF(AND(OR(Query_Interface!$B$5="All",$D102=Query_Interface!$B$5),OR(Query_Interface!$B$6="All",$F102=Query_Interface!$B$6),OR(Query_Interface!$B$7="All",$H102=Query_Interface!$B$7),OR(Query_Interface!$B$8="All",$N102=Query_Interface!$B$8),OR(Query_Interface!$B$9="All",$L102=Query_Interface!$B$9),OR(Query_Interface!$B$10="All",$R102=Query_Interface!$B$10),OR(Query_Interface!$B$11="All",$T102=Query_Interface!$B$11),OR(Query_Interface!$B$12="All",$Q102=Query_Interface!$B$12)),1,0)</f>
        <v>1</v>
      </c>
      <c r="Z102" s="2" t="n">
        <f aca="false">IF($Y102=1,COUNTIF($Y$2:$Y102,1),"")</f>
        <v>101</v>
      </c>
    </row>
    <row r="103" customFormat="false" ht="46.25" hidden="false" customHeight="false" outlineLevel="0" collapsed="false">
      <c r="A103" s="2" t="s">
        <v>366</v>
      </c>
      <c r="B103" s="2" t="n">
        <v>82</v>
      </c>
      <c r="C103" s="2" t="s">
        <v>686</v>
      </c>
      <c r="D103" s="2" t="s">
        <v>34</v>
      </c>
      <c r="E103" s="2" t="s">
        <v>810</v>
      </c>
      <c r="F103" s="2" t="s">
        <v>42</v>
      </c>
      <c r="G103" s="2" t="s">
        <v>811</v>
      </c>
      <c r="H103" s="2" t="s">
        <v>43</v>
      </c>
      <c r="I103" s="2" t="s">
        <v>812</v>
      </c>
      <c r="J103" s="2" t="s">
        <v>267</v>
      </c>
      <c r="K103" s="2" t="s">
        <v>841</v>
      </c>
      <c r="L103" s="2" t="s">
        <v>75</v>
      </c>
      <c r="M103" s="2" t="s">
        <v>742</v>
      </c>
      <c r="N103" s="2" t="s">
        <v>88</v>
      </c>
      <c r="O103" s="2" t="n">
        <v>1</v>
      </c>
      <c r="P103" s="2" t="n">
        <v>1</v>
      </c>
      <c r="Q103" s="2" t="s">
        <v>61</v>
      </c>
      <c r="R103" s="2"/>
      <c r="S103" s="2" t="s">
        <v>215</v>
      </c>
      <c r="T103" s="2" t="s">
        <v>47</v>
      </c>
      <c r="U103" s="2"/>
      <c r="V103" s="2"/>
      <c r="W103" s="2" t="s">
        <v>212</v>
      </c>
      <c r="X103" s="2" t="s">
        <v>692</v>
      </c>
      <c r="Y103" s="2" t="n">
        <f aca="false">IF(AND(OR(Query_Interface!$B$5="All",$D103=Query_Interface!$B$5),OR(Query_Interface!$B$6="All",$F103=Query_Interface!$B$6),OR(Query_Interface!$B$7="All",$H103=Query_Interface!$B$7),OR(Query_Interface!$B$8="All",$N103=Query_Interface!$B$8),OR(Query_Interface!$B$9="All",$L103=Query_Interface!$B$9),OR(Query_Interface!$B$10="All",$R103=Query_Interface!$B$10),OR(Query_Interface!$B$11="All",$T103=Query_Interface!$B$11),OR(Query_Interface!$B$12="All",$Q103=Query_Interface!$B$12)),1,0)</f>
        <v>1</v>
      </c>
      <c r="Z103" s="2" t="n">
        <f aca="false">IF($Y103=1,COUNTIF($Y$2:$Y103,1),"")</f>
        <v>102</v>
      </c>
    </row>
    <row r="104" customFormat="false" ht="35.05" hidden="false" customHeight="false" outlineLevel="0" collapsed="false">
      <c r="A104" s="2" t="s">
        <v>367</v>
      </c>
      <c r="B104" s="2" t="n">
        <v>83</v>
      </c>
      <c r="C104" s="2" t="s">
        <v>686</v>
      </c>
      <c r="D104" s="2" t="s">
        <v>34</v>
      </c>
      <c r="E104" s="2" t="s">
        <v>810</v>
      </c>
      <c r="F104" s="2" t="s">
        <v>42</v>
      </c>
      <c r="G104" s="2" t="s">
        <v>811</v>
      </c>
      <c r="H104" s="2" t="s">
        <v>43</v>
      </c>
      <c r="I104" s="2" t="s">
        <v>812</v>
      </c>
      <c r="J104" s="2" t="s">
        <v>368</v>
      </c>
      <c r="K104" s="2" t="s">
        <v>842</v>
      </c>
      <c r="L104" s="2" t="s">
        <v>66</v>
      </c>
      <c r="M104" s="2" t="s">
        <v>806</v>
      </c>
      <c r="N104" s="2" t="s">
        <v>145</v>
      </c>
      <c r="O104" s="2" t="n">
        <v>1</v>
      </c>
      <c r="P104" s="2" t="n">
        <v>2</v>
      </c>
      <c r="Q104" s="2" t="s">
        <v>41</v>
      </c>
      <c r="R104" s="2"/>
      <c r="S104" s="2" t="s">
        <v>230</v>
      </c>
      <c r="T104" s="2" t="s">
        <v>40</v>
      </c>
      <c r="U104" s="2"/>
      <c r="V104" s="2"/>
      <c r="W104" s="2" t="s">
        <v>212</v>
      </c>
      <c r="X104" s="2" t="s">
        <v>692</v>
      </c>
      <c r="Y104" s="2" t="n">
        <f aca="false">IF(AND(OR(Query_Interface!$B$5="All",$D104=Query_Interface!$B$5),OR(Query_Interface!$B$6="All",$F104=Query_Interface!$B$6),OR(Query_Interface!$B$7="All",$H104=Query_Interface!$B$7),OR(Query_Interface!$B$8="All",$N104=Query_Interface!$B$8),OR(Query_Interface!$B$9="All",$L104=Query_Interface!$B$9),OR(Query_Interface!$B$10="All",$R104=Query_Interface!$B$10),OR(Query_Interface!$B$11="All",$T104=Query_Interface!$B$11),OR(Query_Interface!$B$12="All",$Q104=Query_Interface!$B$12)),1,0)</f>
        <v>1</v>
      </c>
      <c r="Z104" s="2" t="n">
        <f aca="false">IF($Y104=1,COUNTIF($Y$2:$Y104,1),"")</f>
        <v>103</v>
      </c>
    </row>
    <row r="105" customFormat="false" ht="35.05" hidden="false" customHeight="false" outlineLevel="0" collapsed="false">
      <c r="A105" s="2" t="s">
        <v>367</v>
      </c>
      <c r="B105" s="2" t="n">
        <v>83</v>
      </c>
      <c r="C105" s="2" t="s">
        <v>686</v>
      </c>
      <c r="D105" s="2" t="s">
        <v>34</v>
      </c>
      <c r="E105" s="2" t="s">
        <v>810</v>
      </c>
      <c r="F105" s="2" t="s">
        <v>42</v>
      </c>
      <c r="G105" s="2" t="s">
        <v>811</v>
      </c>
      <c r="H105" s="2" t="s">
        <v>43</v>
      </c>
      <c r="I105" s="2" t="s">
        <v>812</v>
      </c>
      <c r="J105" s="2" t="s">
        <v>368</v>
      </c>
      <c r="K105" s="2" t="s">
        <v>842</v>
      </c>
      <c r="L105" s="2" t="s">
        <v>66</v>
      </c>
      <c r="M105" s="2" t="s">
        <v>843</v>
      </c>
      <c r="N105" s="2" t="s">
        <v>120</v>
      </c>
      <c r="O105" s="2" t="n">
        <v>2</v>
      </c>
      <c r="P105" s="2" t="n">
        <v>2</v>
      </c>
      <c r="Q105" s="2" t="s">
        <v>41</v>
      </c>
      <c r="R105" s="2"/>
      <c r="S105" s="2" t="s">
        <v>230</v>
      </c>
      <c r="T105" s="2" t="s">
        <v>40</v>
      </c>
      <c r="U105" s="2"/>
      <c r="V105" s="2"/>
      <c r="W105" s="2" t="s">
        <v>212</v>
      </c>
      <c r="X105" s="2" t="s">
        <v>692</v>
      </c>
      <c r="Y105" s="2" t="n">
        <f aca="false">IF(AND(OR(Query_Interface!$B$5="All",$D105=Query_Interface!$B$5),OR(Query_Interface!$B$6="All",$F105=Query_Interface!$B$6),OR(Query_Interface!$B$7="All",$H105=Query_Interface!$B$7),OR(Query_Interface!$B$8="All",$N105=Query_Interface!$B$8),OR(Query_Interface!$B$9="All",$L105=Query_Interface!$B$9),OR(Query_Interface!$B$10="All",$R105=Query_Interface!$B$10),OR(Query_Interface!$B$11="All",$T105=Query_Interface!$B$11),OR(Query_Interface!$B$12="All",$Q105=Query_Interface!$B$12)),1,0)</f>
        <v>1</v>
      </c>
      <c r="Z105" s="2" t="n">
        <f aca="false">IF($Y105=1,COUNTIF($Y$2:$Y105,1),"")</f>
        <v>104</v>
      </c>
    </row>
    <row r="106" customFormat="false" ht="46.25" hidden="false" customHeight="false" outlineLevel="0" collapsed="false">
      <c r="A106" s="2" t="s">
        <v>369</v>
      </c>
      <c r="B106" s="2" t="n">
        <v>84</v>
      </c>
      <c r="C106" s="2" t="s">
        <v>686</v>
      </c>
      <c r="D106" s="2" t="s">
        <v>34</v>
      </c>
      <c r="E106" s="2" t="s">
        <v>810</v>
      </c>
      <c r="F106" s="2" t="s">
        <v>42</v>
      </c>
      <c r="G106" s="2" t="s">
        <v>811</v>
      </c>
      <c r="H106" s="2" t="s">
        <v>43</v>
      </c>
      <c r="I106" s="2" t="s">
        <v>812</v>
      </c>
      <c r="J106" s="2" t="s">
        <v>273</v>
      </c>
      <c r="K106" s="2" t="s">
        <v>844</v>
      </c>
      <c r="L106" s="2" t="s">
        <v>58</v>
      </c>
      <c r="M106" s="2" t="s">
        <v>750</v>
      </c>
      <c r="N106" s="2" t="s">
        <v>91</v>
      </c>
      <c r="O106" s="2" t="n">
        <v>1</v>
      </c>
      <c r="P106" s="2" t="n">
        <v>1</v>
      </c>
      <c r="Q106" s="2" t="s">
        <v>61</v>
      </c>
      <c r="R106" s="2"/>
      <c r="S106" s="2" t="s">
        <v>215</v>
      </c>
      <c r="T106" s="2" t="s">
        <v>40</v>
      </c>
      <c r="U106" s="2"/>
      <c r="V106" s="2"/>
      <c r="W106" s="2" t="s">
        <v>212</v>
      </c>
      <c r="X106" s="2" t="s">
        <v>692</v>
      </c>
      <c r="Y106" s="2" t="n">
        <f aca="false">IF(AND(OR(Query_Interface!$B$5="All",$D106=Query_Interface!$B$5),OR(Query_Interface!$B$6="All",$F106=Query_Interface!$B$6),OR(Query_Interface!$B$7="All",$H106=Query_Interface!$B$7),OR(Query_Interface!$B$8="All",$N106=Query_Interface!$B$8),OR(Query_Interface!$B$9="All",$L106=Query_Interface!$B$9),OR(Query_Interface!$B$10="All",$R106=Query_Interface!$B$10),OR(Query_Interface!$B$11="All",$T106=Query_Interface!$B$11),OR(Query_Interface!$B$12="All",$Q106=Query_Interface!$B$12)),1,0)</f>
        <v>1</v>
      </c>
      <c r="Z106" s="2" t="n">
        <f aca="false">IF($Y106=1,COUNTIF($Y$2:$Y106,1),"")</f>
        <v>105</v>
      </c>
    </row>
    <row r="107" customFormat="false" ht="46.25" hidden="false" customHeight="false" outlineLevel="0" collapsed="false">
      <c r="A107" s="2" t="s">
        <v>370</v>
      </c>
      <c r="B107" s="2" t="n">
        <v>85</v>
      </c>
      <c r="C107" s="2" t="s">
        <v>686</v>
      </c>
      <c r="D107" s="2" t="s">
        <v>34</v>
      </c>
      <c r="E107" s="2" t="s">
        <v>810</v>
      </c>
      <c r="F107" s="2" t="s">
        <v>42</v>
      </c>
      <c r="G107" s="2" t="s">
        <v>811</v>
      </c>
      <c r="H107" s="2" t="s">
        <v>43</v>
      </c>
      <c r="I107" s="2" t="s">
        <v>812</v>
      </c>
      <c r="J107" s="2" t="s">
        <v>275</v>
      </c>
      <c r="K107" s="2" t="s">
        <v>845</v>
      </c>
      <c r="L107" s="2" t="s">
        <v>69</v>
      </c>
      <c r="M107" s="2" t="s">
        <v>846</v>
      </c>
      <c r="N107" s="2" t="s">
        <v>112</v>
      </c>
      <c r="O107" s="2" t="n">
        <v>1</v>
      </c>
      <c r="P107" s="2" t="n">
        <v>1</v>
      </c>
      <c r="Q107" s="2" t="s">
        <v>61</v>
      </c>
      <c r="R107" s="2"/>
      <c r="S107" s="2" t="s">
        <v>230</v>
      </c>
      <c r="T107" s="2" t="s">
        <v>40</v>
      </c>
      <c r="U107" s="2"/>
      <c r="V107" s="2"/>
      <c r="W107" s="2" t="s">
        <v>212</v>
      </c>
      <c r="X107" s="2" t="s">
        <v>692</v>
      </c>
      <c r="Y107" s="2" t="n">
        <f aca="false">IF(AND(OR(Query_Interface!$B$5="All",$D107=Query_Interface!$B$5),OR(Query_Interface!$B$6="All",$F107=Query_Interface!$B$6),OR(Query_Interface!$B$7="All",$H107=Query_Interface!$B$7),OR(Query_Interface!$B$8="All",$N107=Query_Interface!$B$8),OR(Query_Interface!$B$9="All",$L107=Query_Interface!$B$9),OR(Query_Interface!$B$10="All",$R107=Query_Interface!$B$10),OR(Query_Interface!$B$11="All",$T107=Query_Interface!$B$11),OR(Query_Interface!$B$12="All",$Q107=Query_Interface!$B$12)),1,0)</f>
        <v>1</v>
      </c>
      <c r="Z107" s="2" t="n">
        <f aca="false">IF($Y107=1,COUNTIF($Y$2:$Y107,1),"")</f>
        <v>106</v>
      </c>
    </row>
    <row r="108" customFormat="false" ht="35.05" hidden="false" customHeight="false" outlineLevel="0" collapsed="false">
      <c r="A108" s="2" t="s">
        <v>371</v>
      </c>
      <c r="B108" s="2" t="n">
        <v>86</v>
      </c>
      <c r="C108" s="2" t="s">
        <v>686</v>
      </c>
      <c r="D108" s="2" t="s">
        <v>34</v>
      </c>
      <c r="E108" s="2" t="s">
        <v>810</v>
      </c>
      <c r="F108" s="2" t="s">
        <v>42</v>
      </c>
      <c r="G108" s="2" t="s">
        <v>811</v>
      </c>
      <c r="H108" s="2" t="s">
        <v>43</v>
      </c>
      <c r="I108" s="2" t="s">
        <v>812</v>
      </c>
      <c r="J108" s="2" t="s">
        <v>372</v>
      </c>
      <c r="K108" s="2" t="s">
        <v>847</v>
      </c>
      <c r="L108" s="2" t="s">
        <v>71</v>
      </c>
      <c r="M108" s="2" t="s">
        <v>848</v>
      </c>
      <c r="N108" s="2" t="s">
        <v>127</v>
      </c>
      <c r="O108" s="2" t="n">
        <v>1</v>
      </c>
      <c r="P108" s="2" t="n">
        <v>1</v>
      </c>
      <c r="Q108" s="2" t="s">
        <v>61</v>
      </c>
      <c r="R108" s="2"/>
      <c r="S108" s="2" t="s">
        <v>215</v>
      </c>
      <c r="T108" s="2" t="s">
        <v>40</v>
      </c>
      <c r="U108" s="2"/>
      <c r="V108" s="2"/>
      <c r="W108" s="2" t="s">
        <v>212</v>
      </c>
      <c r="X108" s="2" t="s">
        <v>692</v>
      </c>
      <c r="Y108" s="2" t="n">
        <f aca="false">IF(AND(OR(Query_Interface!$B$5="All",$D108=Query_Interface!$B$5),OR(Query_Interface!$B$6="All",$F108=Query_Interface!$B$6),OR(Query_Interface!$B$7="All",$H108=Query_Interface!$B$7),OR(Query_Interface!$B$8="All",$N108=Query_Interface!$B$8),OR(Query_Interface!$B$9="All",$L108=Query_Interface!$B$9),OR(Query_Interface!$B$10="All",$R108=Query_Interface!$B$10),OR(Query_Interface!$B$11="All",$T108=Query_Interface!$B$11),OR(Query_Interface!$B$12="All",$Q108=Query_Interface!$B$12)),1,0)</f>
        <v>1</v>
      </c>
      <c r="Z108" s="2" t="n">
        <f aca="false">IF($Y108=1,COUNTIF($Y$2:$Y108,1),"")</f>
        <v>107</v>
      </c>
    </row>
    <row r="109" customFormat="false" ht="35.05" hidden="false" customHeight="false" outlineLevel="0" collapsed="false">
      <c r="A109" s="2" t="s">
        <v>373</v>
      </c>
      <c r="B109" s="2" t="n">
        <v>87</v>
      </c>
      <c r="C109" s="2" t="s">
        <v>686</v>
      </c>
      <c r="D109" s="2" t="s">
        <v>34</v>
      </c>
      <c r="E109" s="2" t="s">
        <v>810</v>
      </c>
      <c r="F109" s="2" t="s">
        <v>42</v>
      </c>
      <c r="G109" s="2" t="s">
        <v>811</v>
      </c>
      <c r="H109" s="2" t="s">
        <v>43</v>
      </c>
      <c r="I109" s="2" t="s">
        <v>812</v>
      </c>
      <c r="J109" s="2" t="s">
        <v>374</v>
      </c>
      <c r="K109" s="2" t="s">
        <v>849</v>
      </c>
      <c r="L109" s="2" t="s">
        <v>69</v>
      </c>
      <c r="M109" s="2" t="s">
        <v>754</v>
      </c>
      <c r="N109" s="2" t="s">
        <v>124</v>
      </c>
      <c r="O109" s="2" t="n">
        <v>1</v>
      </c>
      <c r="P109" s="2" t="n">
        <v>1</v>
      </c>
      <c r="Q109" s="2" t="s">
        <v>61</v>
      </c>
      <c r="R109" s="2"/>
      <c r="S109" s="2" t="s">
        <v>215</v>
      </c>
      <c r="T109" s="2" t="s">
        <v>40</v>
      </c>
      <c r="U109" s="2"/>
      <c r="V109" s="2"/>
      <c r="W109" s="2" t="s">
        <v>212</v>
      </c>
      <c r="X109" s="2" t="s">
        <v>692</v>
      </c>
      <c r="Y109" s="2" t="n">
        <f aca="false">IF(AND(OR(Query_Interface!$B$5="All",$D109=Query_Interface!$B$5),OR(Query_Interface!$B$6="All",$F109=Query_Interface!$B$6),OR(Query_Interface!$B$7="All",$H109=Query_Interface!$B$7),OR(Query_Interface!$B$8="All",$N109=Query_Interface!$B$8),OR(Query_Interface!$B$9="All",$L109=Query_Interface!$B$9),OR(Query_Interface!$B$10="All",$R109=Query_Interface!$B$10),OR(Query_Interface!$B$11="All",$T109=Query_Interface!$B$11),OR(Query_Interface!$B$12="All",$Q109=Query_Interface!$B$12)),1,0)</f>
        <v>1</v>
      </c>
      <c r="Z109" s="2" t="n">
        <f aca="false">IF($Y109=1,COUNTIF($Y$2:$Y109,1),"")</f>
        <v>108</v>
      </c>
    </row>
    <row r="110" customFormat="false" ht="35.05" hidden="false" customHeight="false" outlineLevel="0" collapsed="false">
      <c r="A110" s="2" t="s">
        <v>375</v>
      </c>
      <c r="B110" s="2" t="n">
        <v>88</v>
      </c>
      <c r="C110" s="2" t="s">
        <v>686</v>
      </c>
      <c r="D110" s="2" t="s">
        <v>34</v>
      </c>
      <c r="E110" s="2" t="s">
        <v>810</v>
      </c>
      <c r="F110" s="2" t="s">
        <v>42</v>
      </c>
      <c r="G110" s="2" t="s">
        <v>811</v>
      </c>
      <c r="H110" s="2" t="s">
        <v>43</v>
      </c>
      <c r="I110" s="2" t="s">
        <v>812</v>
      </c>
      <c r="J110" s="2" t="s">
        <v>281</v>
      </c>
      <c r="K110" s="2" t="s">
        <v>850</v>
      </c>
      <c r="L110" s="2" t="s">
        <v>38</v>
      </c>
      <c r="M110" s="2" t="s">
        <v>758</v>
      </c>
      <c r="N110" s="2" t="s">
        <v>84</v>
      </c>
      <c r="O110" s="2" t="n">
        <v>1</v>
      </c>
      <c r="P110" s="2" t="n">
        <v>1</v>
      </c>
      <c r="Q110" s="2" t="s">
        <v>61</v>
      </c>
      <c r="R110" s="2"/>
      <c r="S110" s="2" t="s">
        <v>215</v>
      </c>
      <c r="T110" s="2" t="s">
        <v>40</v>
      </c>
      <c r="U110" s="2"/>
      <c r="V110" s="2"/>
      <c r="W110" s="2" t="s">
        <v>212</v>
      </c>
      <c r="X110" s="2" t="s">
        <v>692</v>
      </c>
      <c r="Y110" s="2" t="n">
        <f aca="false">IF(AND(OR(Query_Interface!$B$5="All",$D110=Query_Interface!$B$5),OR(Query_Interface!$B$6="All",$F110=Query_Interface!$B$6),OR(Query_Interface!$B$7="All",$H110=Query_Interface!$B$7),OR(Query_Interface!$B$8="All",$N110=Query_Interface!$B$8),OR(Query_Interface!$B$9="All",$L110=Query_Interface!$B$9),OR(Query_Interface!$B$10="All",$R110=Query_Interface!$B$10),OR(Query_Interface!$B$11="All",$T110=Query_Interface!$B$11),OR(Query_Interface!$B$12="All",$Q110=Query_Interface!$B$12)),1,0)</f>
        <v>1</v>
      </c>
      <c r="Z110" s="2" t="n">
        <f aca="false">IF($Y110=1,COUNTIF($Y$2:$Y110,1),"")</f>
        <v>109</v>
      </c>
    </row>
    <row r="111" customFormat="false" ht="35.05" hidden="false" customHeight="false" outlineLevel="0" collapsed="false">
      <c r="A111" s="2" t="s">
        <v>376</v>
      </c>
      <c r="B111" s="2" t="n">
        <v>89</v>
      </c>
      <c r="C111" s="2" t="s">
        <v>686</v>
      </c>
      <c r="D111" s="2" t="s">
        <v>34</v>
      </c>
      <c r="E111" s="2" t="s">
        <v>810</v>
      </c>
      <c r="F111" s="2" t="s">
        <v>42</v>
      </c>
      <c r="G111" s="2" t="s">
        <v>811</v>
      </c>
      <c r="H111" s="2" t="s">
        <v>43</v>
      </c>
      <c r="I111" s="2" t="s">
        <v>812</v>
      </c>
      <c r="J111" s="2" t="s">
        <v>377</v>
      </c>
      <c r="K111" s="2" t="s">
        <v>851</v>
      </c>
      <c r="L111" s="2" t="s">
        <v>69</v>
      </c>
      <c r="M111" s="2" t="s">
        <v>852</v>
      </c>
      <c r="N111" s="2" t="s">
        <v>114</v>
      </c>
      <c r="O111" s="2" t="n">
        <v>1</v>
      </c>
      <c r="P111" s="2" t="n">
        <v>1</v>
      </c>
      <c r="Q111" s="2" t="s">
        <v>61</v>
      </c>
      <c r="R111" s="2"/>
      <c r="S111" s="2" t="s">
        <v>215</v>
      </c>
      <c r="T111" s="2" t="s">
        <v>40</v>
      </c>
      <c r="U111" s="2"/>
      <c r="V111" s="2"/>
      <c r="W111" s="2" t="s">
        <v>212</v>
      </c>
      <c r="X111" s="2" t="s">
        <v>692</v>
      </c>
      <c r="Y111" s="2" t="n">
        <f aca="false">IF(AND(OR(Query_Interface!$B$5="All",$D111=Query_Interface!$B$5),OR(Query_Interface!$B$6="All",$F111=Query_Interface!$B$6),OR(Query_Interface!$B$7="All",$H111=Query_Interface!$B$7),OR(Query_Interface!$B$8="All",$N111=Query_Interface!$B$8),OR(Query_Interface!$B$9="All",$L111=Query_Interface!$B$9),OR(Query_Interface!$B$10="All",$R111=Query_Interface!$B$10),OR(Query_Interface!$B$11="All",$T111=Query_Interface!$B$11),OR(Query_Interface!$B$12="All",$Q111=Query_Interface!$B$12)),1,0)</f>
        <v>1</v>
      </c>
      <c r="Z111" s="2" t="n">
        <f aca="false">IF($Y111=1,COUNTIF($Y$2:$Y111,1),"")</f>
        <v>110</v>
      </c>
    </row>
    <row r="112" customFormat="false" ht="46.25" hidden="false" customHeight="false" outlineLevel="0" collapsed="false">
      <c r="A112" s="2" t="s">
        <v>378</v>
      </c>
      <c r="B112" s="2" t="n">
        <v>90</v>
      </c>
      <c r="C112" s="2" t="s">
        <v>686</v>
      </c>
      <c r="D112" s="2" t="s">
        <v>34</v>
      </c>
      <c r="E112" s="2" t="s">
        <v>810</v>
      </c>
      <c r="F112" s="2" t="s">
        <v>42</v>
      </c>
      <c r="G112" s="2" t="s">
        <v>811</v>
      </c>
      <c r="H112" s="2" t="s">
        <v>43</v>
      </c>
      <c r="I112" s="2" t="s">
        <v>812</v>
      </c>
      <c r="J112" s="2" t="s">
        <v>379</v>
      </c>
      <c r="K112" s="2" t="s">
        <v>853</v>
      </c>
      <c r="L112" s="2" t="s">
        <v>75</v>
      </c>
      <c r="M112" s="2" t="s">
        <v>806</v>
      </c>
      <c r="N112" s="2" t="s">
        <v>145</v>
      </c>
      <c r="O112" s="2" t="n">
        <v>1</v>
      </c>
      <c r="P112" s="2" t="n">
        <v>1</v>
      </c>
      <c r="Q112" s="2" t="s">
        <v>61</v>
      </c>
      <c r="R112" s="2"/>
      <c r="S112" s="2" t="s">
        <v>230</v>
      </c>
      <c r="T112" s="2" t="s">
        <v>40</v>
      </c>
      <c r="U112" s="2"/>
      <c r="V112" s="2"/>
      <c r="W112" s="2" t="s">
        <v>212</v>
      </c>
      <c r="X112" s="2" t="s">
        <v>692</v>
      </c>
      <c r="Y112" s="2" t="n">
        <f aca="false">IF(AND(OR(Query_Interface!$B$5="All",$D112=Query_Interface!$B$5),OR(Query_Interface!$B$6="All",$F112=Query_Interface!$B$6),OR(Query_Interface!$B$7="All",$H112=Query_Interface!$B$7),OR(Query_Interface!$B$8="All",$N112=Query_Interface!$B$8),OR(Query_Interface!$B$9="All",$L112=Query_Interface!$B$9),OR(Query_Interface!$B$10="All",$R112=Query_Interface!$B$10),OR(Query_Interface!$B$11="All",$T112=Query_Interface!$B$11),OR(Query_Interface!$B$12="All",$Q112=Query_Interface!$B$12)),1,0)</f>
        <v>1</v>
      </c>
      <c r="Z112" s="2" t="n">
        <f aca="false">IF($Y112=1,COUNTIF($Y$2:$Y112,1),"")</f>
        <v>111</v>
      </c>
    </row>
    <row r="113" customFormat="false" ht="35.05" hidden="false" customHeight="false" outlineLevel="0" collapsed="false">
      <c r="A113" s="2" t="s">
        <v>380</v>
      </c>
      <c r="B113" s="2" t="n">
        <v>91</v>
      </c>
      <c r="C113" s="2" t="s">
        <v>686</v>
      </c>
      <c r="D113" s="2" t="s">
        <v>34</v>
      </c>
      <c r="E113" s="2" t="s">
        <v>810</v>
      </c>
      <c r="F113" s="2" t="s">
        <v>42</v>
      </c>
      <c r="G113" s="2" t="s">
        <v>811</v>
      </c>
      <c r="H113" s="2" t="s">
        <v>43</v>
      </c>
      <c r="I113" s="2" t="s">
        <v>812</v>
      </c>
      <c r="J113" s="2" t="s">
        <v>381</v>
      </c>
      <c r="K113" s="2" t="s">
        <v>854</v>
      </c>
      <c r="L113" s="2" t="s">
        <v>73</v>
      </c>
      <c r="M113" s="2" t="s">
        <v>744</v>
      </c>
      <c r="N113" s="2" t="s">
        <v>131</v>
      </c>
      <c r="O113" s="2" t="n">
        <v>1</v>
      </c>
      <c r="P113" s="2" t="n">
        <v>1</v>
      </c>
      <c r="Q113" s="2" t="s">
        <v>61</v>
      </c>
      <c r="R113" s="2"/>
      <c r="S113" s="2" t="s">
        <v>215</v>
      </c>
      <c r="T113" s="2" t="s">
        <v>40</v>
      </c>
      <c r="U113" s="2"/>
      <c r="V113" s="2"/>
      <c r="W113" s="2" t="s">
        <v>212</v>
      </c>
      <c r="X113" s="2" t="s">
        <v>692</v>
      </c>
      <c r="Y113" s="2" t="n">
        <f aca="false">IF(AND(OR(Query_Interface!$B$5="All",$D113=Query_Interface!$B$5),OR(Query_Interface!$B$6="All",$F113=Query_Interface!$B$6),OR(Query_Interface!$B$7="All",$H113=Query_Interface!$B$7),OR(Query_Interface!$B$8="All",$N113=Query_Interface!$B$8),OR(Query_Interface!$B$9="All",$L113=Query_Interface!$B$9),OR(Query_Interface!$B$10="All",$R113=Query_Interface!$B$10),OR(Query_Interface!$B$11="All",$T113=Query_Interface!$B$11),OR(Query_Interface!$B$12="All",$Q113=Query_Interface!$B$12)),1,0)</f>
        <v>1</v>
      </c>
      <c r="Z113" s="2" t="n">
        <f aca="false">IF($Y113=1,COUNTIF($Y$2:$Y113,1),"")</f>
        <v>112</v>
      </c>
    </row>
    <row r="114" customFormat="false" ht="35.05" hidden="false" customHeight="false" outlineLevel="0" collapsed="false">
      <c r="A114" s="2" t="s">
        <v>382</v>
      </c>
      <c r="B114" s="2" t="n">
        <v>92</v>
      </c>
      <c r="C114" s="2" t="s">
        <v>686</v>
      </c>
      <c r="D114" s="2" t="s">
        <v>34</v>
      </c>
      <c r="E114" s="2" t="s">
        <v>810</v>
      </c>
      <c r="F114" s="2" t="s">
        <v>42</v>
      </c>
      <c r="G114" s="2" t="s">
        <v>811</v>
      </c>
      <c r="H114" s="2" t="s">
        <v>43</v>
      </c>
      <c r="I114" s="2" t="s">
        <v>812</v>
      </c>
      <c r="J114" s="2" t="s">
        <v>383</v>
      </c>
      <c r="K114" s="2" t="s">
        <v>855</v>
      </c>
      <c r="L114" s="2" t="s">
        <v>45</v>
      </c>
      <c r="M114" s="2" t="s">
        <v>828</v>
      </c>
      <c r="N114" s="2" t="s">
        <v>51</v>
      </c>
      <c r="O114" s="2" t="n">
        <v>1</v>
      </c>
      <c r="P114" s="2" t="n">
        <v>1</v>
      </c>
      <c r="Q114" s="2" t="s">
        <v>61</v>
      </c>
      <c r="R114" s="2"/>
      <c r="S114" s="2" t="s">
        <v>215</v>
      </c>
      <c r="T114" s="2" t="s">
        <v>40</v>
      </c>
      <c r="U114" s="2"/>
      <c r="V114" s="2"/>
      <c r="W114" s="2" t="s">
        <v>212</v>
      </c>
      <c r="X114" s="2" t="s">
        <v>692</v>
      </c>
      <c r="Y114" s="2" t="n">
        <f aca="false">IF(AND(OR(Query_Interface!$B$5="All",$D114=Query_Interface!$B$5),OR(Query_Interface!$B$6="All",$F114=Query_Interface!$B$6),OR(Query_Interface!$B$7="All",$H114=Query_Interface!$B$7),OR(Query_Interface!$B$8="All",$N114=Query_Interface!$B$8),OR(Query_Interface!$B$9="All",$L114=Query_Interface!$B$9),OR(Query_Interface!$B$10="All",$R114=Query_Interface!$B$10),OR(Query_Interface!$B$11="All",$T114=Query_Interface!$B$11),OR(Query_Interface!$B$12="All",$Q114=Query_Interface!$B$12)),1,0)</f>
        <v>1</v>
      </c>
      <c r="Z114" s="2" t="n">
        <f aca="false">IF($Y114=1,COUNTIF($Y$2:$Y114,1),"")</f>
        <v>113</v>
      </c>
    </row>
    <row r="115" customFormat="false" ht="35.05" hidden="false" customHeight="false" outlineLevel="0" collapsed="false">
      <c r="A115" s="2" t="s">
        <v>384</v>
      </c>
      <c r="B115" s="2" t="n">
        <v>93</v>
      </c>
      <c r="C115" s="2" t="s">
        <v>686</v>
      </c>
      <c r="D115" s="2" t="s">
        <v>34</v>
      </c>
      <c r="E115" s="2" t="s">
        <v>810</v>
      </c>
      <c r="F115" s="2" t="s">
        <v>42</v>
      </c>
      <c r="G115" s="2" t="s">
        <v>811</v>
      </c>
      <c r="H115" s="2" t="s">
        <v>43</v>
      </c>
      <c r="I115" s="2" t="s">
        <v>812</v>
      </c>
      <c r="J115" s="2" t="s">
        <v>385</v>
      </c>
      <c r="K115" s="2" t="s">
        <v>856</v>
      </c>
      <c r="L115" s="2" t="s">
        <v>69</v>
      </c>
      <c r="M115" s="2" t="s">
        <v>825</v>
      </c>
      <c r="N115" s="2" t="s">
        <v>110</v>
      </c>
      <c r="O115" s="2" t="n">
        <v>1</v>
      </c>
      <c r="P115" s="2" t="n">
        <v>1</v>
      </c>
      <c r="Q115" s="2" t="s">
        <v>61</v>
      </c>
      <c r="R115" s="2"/>
      <c r="S115" s="2" t="s">
        <v>230</v>
      </c>
      <c r="T115" s="2" t="s">
        <v>54</v>
      </c>
      <c r="U115" s="2"/>
      <c r="V115" s="2"/>
      <c r="W115" s="2" t="s">
        <v>212</v>
      </c>
      <c r="X115" s="2" t="s">
        <v>692</v>
      </c>
      <c r="Y115" s="2" t="n">
        <f aca="false">IF(AND(OR(Query_Interface!$B$5="All",$D115=Query_Interface!$B$5),OR(Query_Interface!$B$6="All",$F115=Query_Interface!$B$6),OR(Query_Interface!$B$7="All",$H115=Query_Interface!$B$7),OR(Query_Interface!$B$8="All",$N115=Query_Interface!$B$8),OR(Query_Interface!$B$9="All",$L115=Query_Interface!$B$9),OR(Query_Interface!$B$10="All",$R115=Query_Interface!$B$10),OR(Query_Interface!$B$11="All",$T115=Query_Interface!$B$11),OR(Query_Interface!$B$12="All",$Q115=Query_Interface!$B$12)),1,0)</f>
        <v>1</v>
      </c>
      <c r="Z115" s="2" t="n">
        <f aca="false">IF($Y115=1,COUNTIF($Y$2:$Y115,1),"")</f>
        <v>114</v>
      </c>
    </row>
    <row r="116" customFormat="false" ht="35.05" hidden="false" customHeight="false" outlineLevel="0" collapsed="false">
      <c r="A116" s="2" t="s">
        <v>386</v>
      </c>
      <c r="B116" s="2" t="n">
        <v>94</v>
      </c>
      <c r="C116" s="2" t="s">
        <v>686</v>
      </c>
      <c r="D116" s="2" t="s">
        <v>34</v>
      </c>
      <c r="E116" s="2" t="s">
        <v>810</v>
      </c>
      <c r="F116" s="2" t="s">
        <v>42</v>
      </c>
      <c r="G116" s="2" t="s">
        <v>811</v>
      </c>
      <c r="H116" s="2" t="s">
        <v>43</v>
      </c>
      <c r="I116" s="2" t="s">
        <v>812</v>
      </c>
      <c r="J116" s="2" t="s">
        <v>387</v>
      </c>
      <c r="K116" s="2" t="s">
        <v>857</v>
      </c>
      <c r="L116" s="2" t="s">
        <v>75</v>
      </c>
      <c r="M116" s="2" t="s">
        <v>804</v>
      </c>
      <c r="N116" s="2" t="s">
        <v>147</v>
      </c>
      <c r="O116" s="2" t="n">
        <v>1</v>
      </c>
      <c r="P116" s="2" t="n">
        <v>2</v>
      </c>
      <c r="Q116" s="2" t="s">
        <v>41</v>
      </c>
      <c r="R116" s="2"/>
      <c r="S116" s="2" t="s">
        <v>230</v>
      </c>
      <c r="T116" s="2" t="s">
        <v>40</v>
      </c>
      <c r="U116" s="2"/>
      <c r="V116" s="2"/>
      <c r="W116" s="2" t="s">
        <v>212</v>
      </c>
      <c r="X116" s="2" t="s">
        <v>692</v>
      </c>
      <c r="Y116" s="2" t="n">
        <f aca="false">IF(AND(OR(Query_Interface!$B$5="All",$D116=Query_Interface!$B$5),OR(Query_Interface!$B$6="All",$F116=Query_Interface!$B$6),OR(Query_Interface!$B$7="All",$H116=Query_Interface!$B$7),OR(Query_Interface!$B$8="All",$N116=Query_Interface!$B$8),OR(Query_Interface!$B$9="All",$L116=Query_Interface!$B$9),OR(Query_Interface!$B$10="All",$R116=Query_Interface!$B$10),OR(Query_Interface!$B$11="All",$T116=Query_Interface!$B$11),OR(Query_Interface!$B$12="All",$Q116=Query_Interface!$B$12)),1,0)</f>
        <v>1</v>
      </c>
      <c r="Z116" s="2" t="n">
        <f aca="false">IF($Y116=1,COUNTIF($Y$2:$Y116,1),"")</f>
        <v>115</v>
      </c>
    </row>
    <row r="117" customFormat="false" ht="35.05" hidden="false" customHeight="false" outlineLevel="0" collapsed="false">
      <c r="A117" s="2" t="s">
        <v>386</v>
      </c>
      <c r="B117" s="2" t="n">
        <v>94</v>
      </c>
      <c r="C117" s="2" t="s">
        <v>686</v>
      </c>
      <c r="D117" s="2" t="s">
        <v>34</v>
      </c>
      <c r="E117" s="2" t="s">
        <v>810</v>
      </c>
      <c r="F117" s="2" t="s">
        <v>42</v>
      </c>
      <c r="G117" s="2" t="s">
        <v>811</v>
      </c>
      <c r="H117" s="2" t="s">
        <v>43</v>
      </c>
      <c r="I117" s="2" t="s">
        <v>812</v>
      </c>
      <c r="J117" s="2" t="s">
        <v>387</v>
      </c>
      <c r="K117" s="2" t="s">
        <v>857</v>
      </c>
      <c r="L117" s="2" t="s">
        <v>75</v>
      </c>
      <c r="M117" s="2" t="s">
        <v>745</v>
      </c>
      <c r="N117" s="2" t="s">
        <v>135</v>
      </c>
      <c r="O117" s="2" t="n">
        <v>2</v>
      </c>
      <c r="P117" s="2" t="n">
        <v>2</v>
      </c>
      <c r="Q117" s="2" t="s">
        <v>41</v>
      </c>
      <c r="R117" s="2"/>
      <c r="S117" s="2" t="s">
        <v>230</v>
      </c>
      <c r="T117" s="2" t="s">
        <v>40</v>
      </c>
      <c r="U117" s="2"/>
      <c r="V117" s="2"/>
      <c r="W117" s="2" t="s">
        <v>212</v>
      </c>
      <c r="X117" s="2" t="s">
        <v>692</v>
      </c>
      <c r="Y117" s="2" t="n">
        <f aca="false">IF(AND(OR(Query_Interface!$B$5="All",$D117=Query_Interface!$B$5),OR(Query_Interface!$B$6="All",$F117=Query_Interface!$B$6),OR(Query_Interface!$B$7="All",$H117=Query_Interface!$B$7),OR(Query_Interface!$B$8="All",$N117=Query_Interface!$B$8),OR(Query_Interface!$B$9="All",$L117=Query_Interface!$B$9),OR(Query_Interface!$B$10="All",$R117=Query_Interface!$B$10),OR(Query_Interface!$B$11="All",$T117=Query_Interface!$B$11),OR(Query_Interface!$B$12="All",$Q117=Query_Interface!$B$12)),1,0)</f>
        <v>1</v>
      </c>
      <c r="Z117" s="2" t="n">
        <f aca="false">IF($Y117=1,COUNTIF($Y$2:$Y117,1),"")</f>
        <v>116</v>
      </c>
    </row>
    <row r="118" customFormat="false" ht="35.05" hidden="false" customHeight="false" outlineLevel="0" collapsed="false">
      <c r="A118" s="2" t="s">
        <v>388</v>
      </c>
      <c r="B118" s="2" t="n">
        <v>95</v>
      </c>
      <c r="C118" s="2" t="s">
        <v>686</v>
      </c>
      <c r="D118" s="2" t="s">
        <v>34</v>
      </c>
      <c r="E118" s="2" t="s">
        <v>810</v>
      </c>
      <c r="F118" s="2" t="s">
        <v>42</v>
      </c>
      <c r="G118" s="2" t="s">
        <v>811</v>
      </c>
      <c r="H118" s="2" t="s">
        <v>43</v>
      </c>
      <c r="I118" s="2" t="s">
        <v>812</v>
      </c>
      <c r="J118" s="2" t="s">
        <v>283</v>
      </c>
      <c r="K118" s="2" t="s">
        <v>858</v>
      </c>
      <c r="L118" s="2" t="s">
        <v>45</v>
      </c>
      <c r="M118" s="2" t="s">
        <v>760</v>
      </c>
      <c r="N118" s="2" t="s">
        <v>68</v>
      </c>
      <c r="O118" s="2" t="n">
        <v>1</v>
      </c>
      <c r="P118" s="2" t="n">
        <v>1</v>
      </c>
      <c r="Q118" s="2" t="s">
        <v>61</v>
      </c>
      <c r="R118" s="2"/>
      <c r="S118" s="2" t="s">
        <v>215</v>
      </c>
      <c r="T118" s="2" t="s">
        <v>40</v>
      </c>
      <c r="U118" s="2"/>
      <c r="V118" s="2"/>
      <c r="W118" s="2" t="s">
        <v>212</v>
      </c>
      <c r="X118" s="2" t="s">
        <v>692</v>
      </c>
      <c r="Y118" s="2" t="n">
        <f aca="false">IF(AND(OR(Query_Interface!$B$5="All",$D118=Query_Interface!$B$5),OR(Query_Interface!$B$6="All",$F118=Query_Interface!$B$6),OR(Query_Interface!$B$7="All",$H118=Query_Interface!$B$7),OR(Query_Interface!$B$8="All",$N118=Query_Interface!$B$8),OR(Query_Interface!$B$9="All",$L118=Query_Interface!$B$9),OR(Query_Interface!$B$10="All",$R118=Query_Interface!$B$10),OR(Query_Interface!$B$11="All",$T118=Query_Interface!$B$11),OR(Query_Interface!$B$12="All",$Q118=Query_Interface!$B$12)),1,0)</f>
        <v>1</v>
      </c>
      <c r="Z118" s="2" t="n">
        <f aca="false">IF($Y118=1,COUNTIF($Y$2:$Y118,1),"")</f>
        <v>117</v>
      </c>
    </row>
    <row r="119" customFormat="false" ht="35.05" hidden="false" customHeight="false" outlineLevel="0" collapsed="false">
      <c r="A119" s="2" t="s">
        <v>389</v>
      </c>
      <c r="B119" s="2" t="n">
        <v>96</v>
      </c>
      <c r="C119" s="2" t="s">
        <v>686</v>
      </c>
      <c r="D119" s="2" t="s">
        <v>34</v>
      </c>
      <c r="E119" s="2" t="s">
        <v>810</v>
      </c>
      <c r="F119" s="2" t="s">
        <v>42</v>
      </c>
      <c r="G119" s="2" t="s">
        <v>811</v>
      </c>
      <c r="H119" s="2" t="s">
        <v>43</v>
      </c>
      <c r="I119" s="2" t="s">
        <v>812</v>
      </c>
      <c r="J119" s="2" t="s">
        <v>289</v>
      </c>
      <c r="K119" s="2" t="s">
        <v>859</v>
      </c>
      <c r="L119" s="2" t="s">
        <v>66</v>
      </c>
      <c r="M119" s="2" t="s">
        <v>724</v>
      </c>
      <c r="N119" s="2" t="s">
        <v>142</v>
      </c>
      <c r="O119" s="2" t="n">
        <v>1</v>
      </c>
      <c r="P119" s="2" t="n">
        <v>3</v>
      </c>
      <c r="Q119" s="2" t="s">
        <v>41</v>
      </c>
      <c r="R119" s="2"/>
      <c r="S119" s="2" t="s">
        <v>215</v>
      </c>
      <c r="T119" s="2" t="s">
        <v>47</v>
      </c>
      <c r="U119" s="2"/>
      <c r="V119" s="2"/>
      <c r="W119" s="2" t="s">
        <v>212</v>
      </c>
      <c r="X119" s="2" t="s">
        <v>692</v>
      </c>
      <c r="Y119" s="2" t="n">
        <f aca="false">IF(AND(OR(Query_Interface!$B$5="All",$D119=Query_Interface!$B$5),OR(Query_Interface!$B$6="All",$F119=Query_Interface!$B$6),OR(Query_Interface!$B$7="All",$H119=Query_Interface!$B$7),OR(Query_Interface!$B$8="All",$N119=Query_Interface!$B$8),OR(Query_Interface!$B$9="All",$L119=Query_Interface!$B$9),OR(Query_Interface!$B$10="All",$R119=Query_Interface!$B$10),OR(Query_Interface!$B$11="All",$T119=Query_Interface!$B$11),OR(Query_Interface!$B$12="All",$Q119=Query_Interface!$B$12)),1,0)</f>
        <v>1</v>
      </c>
      <c r="Z119" s="2" t="n">
        <f aca="false">IF($Y119=1,COUNTIF($Y$2:$Y119,1),"")</f>
        <v>118</v>
      </c>
    </row>
    <row r="120" customFormat="false" ht="35.05" hidden="false" customHeight="false" outlineLevel="0" collapsed="false">
      <c r="A120" s="2" t="s">
        <v>389</v>
      </c>
      <c r="B120" s="2" t="n">
        <v>96</v>
      </c>
      <c r="C120" s="2" t="s">
        <v>686</v>
      </c>
      <c r="D120" s="2" t="s">
        <v>34</v>
      </c>
      <c r="E120" s="2" t="s">
        <v>810</v>
      </c>
      <c r="F120" s="2" t="s">
        <v>42</v>
      </c>
      <c r="G120" s="2" t="s">
        <v>811</v>
      </c>
      <c r="H120" s="2" t="s">
        <v>43</v>
      </c>
      <c r="I120" s="2" t="s">
        <v>812</v>
      </c>
      <c r="J120" s="2" t="s">
        <v>289</v>
      </c>
      <c r="K120" s="2" t="s">
        <v>859</v>
      </c>
      <c r="L120" s="2" t="s">
        <v>66</v>
      </c>
      <c r="M120" s="2" t="s">
        <v>698</v>
      </c>
      <c r="N120" s="2" t="s">
        <v>104</v>
      </c>
      <c r="O120" s="2" t="n">
        <v>2</v>
      </c>
      <c r="P120" s="2" t="n">
        <v>3</v>
      </c>
      <c r="Q120" s="2" t="s">
        <v>41</v>
      </c>
      <c r="R120" s="2"/>
      <c r="S120" s="2" t="s">
        <v>215</v>
      </c>
      <c r="T120" s="2" t="s">
        <v>47</v>
      </c>
      <c r="U120" s="2"/>
      <c r="V120" s="2"/>
      <c r="W120" s="2" t="s">
        <v>212</v>
      </c>
      <c r="X120" s="2" t="s">
        <v>692</v>
      </c>
      <c r="Y120" s="2" t="n">
        <f aca="false">IF(AND(OR(Query_Interface!$B$5="All",$D120=Query_Interface!$B$5),OR(Query_Interface!$B$6="All",$F120=Query_Interface!$B$6),OR(Query_Interface!$B$7="All",$H120=Query_Interface!$B$7),OR(Query_Interface!$B$8="All",$N120=Query_Interface!$B$8),OR(Query_Interface!$B$9="All",$L120=Query_Interface!$B$9),OR(Query_Interface!$B$10="All",$R120=Query_Interface!$B$10),OR(Query_Interface!$B$11="All",$T120=Query_Interface!$B$11),OR(Query_Interface!$B$12="All",$Q120=Query_Interface!$B$12)),1,0)</f>
        <v>1</v>
      </c>
      <c r="Z120" s="2" t="n">
        <f aca="false">IF($Y120=1,COUNTIF($Y$2:$Y120,1),"")</f>
        <v>119</v>
      </c>
    </row>
    <row r="121" customFormat="false" ht="35.05" hidden="false" customHeight="false" outlineLevel="0" collapsed="false">
      <c r="A121" s="2" t="s">
        <v>389</v>
      </c>
      <c r="B121" s="2" t="n">
        <v>96</v>
      </c>
      <c r="C121" s="2" t="s">
        <v>686</v>
      </c>
      <c r="D121" s="2" t="s">
        <v>34</v>
      </c>
      <c r="E121" s="2" t="s">
        <v>810</v>
      </c>
      <c r="F121" s="2" t="s">
        <v>42</v>
      </c>
      <c r="G121" s="2" t="s">
        <v>811</v>
      </c>
      <c r="H121" s="2" t="s">
        <v>43</v>
      </c>
      <c r="I121" s="2" t="s">
        <v>812</v>
      </c>
      <c r="J121" s="2" t="s">
        <v>289</v>
      </c>
      <c r="K121" s="2" t="s">
        <v>859</v>
      </c>
      <c r="L121" s="2" t="s">
        <v>66</v>
      </c>
      <c r="M121" s="2" t="s">
        <v>806</v>
      </c>
      <c r="N121" s="2" t="s">
        <v>145</v>
      </c>
      <c r="O121" s="2" t="n">
        <v>3</v>
      </c>
      <c r="P121" s="2" t="n">
        <v>3</v>
      </c>
      <c r="Q121" s="2" t="s">
        <v>41</v>
      </c>
      <c r="R121" s="2"/>
      <c r="S121" s="2" t="s">
        <v>215</v>
      </c>
      <c r="T121" s="2" t="s">
        <v>47</v>
      </c>
      <c r="U121" s="2"/>
      <c r="V121" s="2"/>
      <c r="W121" s="2" t="s">
        <v>212</v>
      </c>
      <c r="X121" s="2" t="s">
        <v>692</v>
      </c>
      <c r="Y121" s="2" t="n">
        <f aca="false">IF(AND(OR(Query_Interface!$B$5="All",$D121=Query_Interface!$B$5),OR(Query_Interface!$B$6="All",$F121=Query_Interface!$B$6),OR(Query_Interface!$B$7="All",$H121=Query_Interface!$B$7),OR(Query_Interface!$B$8="All",$N121=Query_Interface!$B$8),OR(Query_Interface!$B$9="All",$L121=Query_Interface!$B$9),OR(Query_Interface!$B$10="All",$R121=Query_Interface!$B$10),OR(Query_Interface!$B$11="All",$T121=Query_Interface!$B$11),OR(Query_Interface!$B$12="All",$Q121=Query_Interface!$B$12)),1,0)</f>
        <v>1</v>
      </c>
      <c r="Z121" s="2" t="n">
        <f aca="false">IF($Y121=1,COUNTIF($Y$2:$Y121,1),"")</f>
        <v>120</v>
      </c>
    </row>
    <row r="122" customFormat="false" ht="35.05" hidden="false" customHeight="false" outlineLevel="0" collapsed="false">
      <c r="A122" s="2" t="s">
        <v>390</v>
      </c>
      <c r="B122" s="2" t="n">
        <v>97</v>
      </c>
      <c r="C122" s="2" t="s">
        <v>686</v>
      </c>
      <c r="D122" s="2" t="s">
        <v>34</v>
      </c>
      <c r="E122" s="2" t="s">
        <v>810</v>
      </c>
      <c r="F122" s="2" t="s">
        <v>42</v>
      </c>
      <c r="G122" s="2" t="s">
        <v>811</v>
      </c>
      <c r="H122" s="2" t="s">
        <v>43</v>
      </c>
      <c r="I122" s="2" t="s">
        <v>812</v>
      </c>
      <c r="J122" s="2" t="s">
        <v>291</v>
      </c>
      <c r="K122" s="2" t="s">
        <v>860</v>
      </c>
      <c r="L122" s="2" t="s">
        <v>52</v>
      </c>
      <c r="M122" s="2" t="s">
        <v>724</v>
      </c>
      <c r="N122" s="2" t="s">
        <v>142</v>
      </c>
      <c r="O122" s="2" t="n">
        <v>1</v>
      </c>
      <c r="P122" s="2" t="n">
        <v>2</v>
      </c>
      <c r="Q122" s="2" t="s">
        <v>41</v>
      </c>
      <c r="R122" s="2"/>
      <c r="S122" s="2" t="s">
        <v>215</v>
      </c>
      <c r="T122" s="2" t="s">
        <v>47</v>
      </c>
      <c r="U122" s="2"/>
      <c r="V122" s="2"/>
      <c r="W122" s="2" t="s">
        <v>212</v>
      </c>
      <c r="X122" s="2" t="s">
        <v>692</v>
      </c>
      <c r="Y122" s="2" t="n">
        <f aca="false">IF(AND(OR(Query_Interface!$B$5="All",$D122=Query_Interface!$B$5),OR(Query_Interface!$B$6="All",$F122=Query_Interface!$B$6),OR(Query_Interface!$B$7="All",$H122=Query_Interface!$B$7),OR(Query_Interface!$B$8="All",$N122=Query_Interface!$B$8),OR(Query_Interface!$B$9="All",$L122=Query_Interface!$B$9),OR(Query_Interface!$B$10="All",$R122=Query_Interface!$B$10),OR(Query_Interface!$B$11="All",$T122=Query_Interface!$B$11),OR(Query_Interface!$B$12="All",$Q122=Query_Interface!$B$12)),1,0)</f>
        <v>1</v>
      </c>
      <c r="Z122" s="2" t="n">
        <f aca="false">IF($Y122=1,COUNTIF($Y$2:$Y122,1),"")</f>
        <v>121</v>
      </c>
    </row>
    <row r="123" customFormat="false" ht="35.05" hidden="false" customHeight="false" outlineLevel="0" collapsed="false">
      <c r="A123" s="2" t="s">
        <v>390</v>
      </c>
      <c r="B123" s="2" t="n">
        <v>97</v>
      </c>
      <c r="C123" s="2" t="s">
        <v>686</v>
      </c>
      <c r="D123" s="2" t="s">
        <v>34</v>
      </c>
      <c r="E123" s="2" t="s">
        <v>810</v>
      </c>
      <c r="F123" s="2" t="s">
        <v>42</v>
      </c>
      <c r="G123" s="2" t="s">
        <v>811</v>
      </c>
      <c r="H123" s="2" t="s">
        <v>43</v>
      </c>
      <c r="I123" s="2" t="s">
        <v>812</v>
      </c>
      <c r="J123" s="2" t="s">
        <v>291</v>
      </c>
      <c r="K123" s="2" t="s">
        <v>860</v>
      </c>
      <c r="L123" s="2" t="s">
        <v>52</v>
      </c>
      <c r="M123" s="2" t="s">
        <v>768</v>
      </c>
      <c r="N123" s="2" t="s">
        <v>90</v>
      </c>
      <c r="O123" s="2" t="n">
        <v>2</v>
      </c>
      <c r="P123" s="2" t="n">
        <v>2</v>
      </c>
      <c r="Q123" s="2" t="s">
        <v>41</v>
      </c>
      <c r="R123" s="2"/>
      <c r="S123" s="2" t="s">
        <v>215</v>
      </c>
      <c r="T123" s="2" t="s">
        <v>47</v>
      </c>
      <c r="U123" s="2"/>
      <c r="V123" s="2"/>
      <c r="W123" s="2" t="s">
        <v>212</v>
      </c>
      <c r="X123" s="2" t="s">
        <v>692</v>
      </c>
      <c r="Y123" s="2" t="n">
        <f aca="false">IF(AND(OR(Query_Interface!$B$5="All",$D123=Query_Interface!$B$5),OR(Query_Interface!$B$6="All",$F123=Query_Interface!$B$6),OR(Query_Interface!$B$7="All",$H123=Query_Interface!$B$7),OR(Query_Interface!$B$8="All",$N123=Query_Interface!$B$8),OR(Query_Interface!$B$9="All",$L123=Query_Interface!$B$9),OR(Query_Interface!$B$10="All",$R123=Query_Interface!$B$10),OR(Query_Interface!$B$11="All",$T123=Query_Interface!$B$11),OR(Query_Interface!$B$12="All",$Q123=Query_Interface!$B$12)),1,0)</f>
        <v>1</v>
      </c>
      <c r="Z123" s="2" t="n">
        <f aca="false">IF($Y123=1,COUNTIF($Y$2:$Y123,1),"")</f>
        <v>122</v>
      </c>
    </row>
    <row r="124" customFormat="false" ht="35.05" hidden="false" customHeight="false" outlineLevel="0" collapsed="false">
      <c r="A124" s="2" t="s">
        <v>391</v>
      </c>
      <c r="B124" s="2" t="n">
        <v>98</v>
      </c>
      <c r="C124" s="2" t="s">
        <v>686</v>
      </c>
      <c r="D124" s="2" t="s">
        <v>34</v>
      </c>
      <c r="E124" s="2" t="s">
        <v>810</v>
      </c>
      <c r="F124" s="2" t="s">
        <v>42</v>
      </c>
      <c r="G124" s="2" t="s">
        <v>811</v>
      </c>
      <c r="H124" s="2" t="s">
        <v>43</v>
      </c>
      <c r="I124" s="2" t="s">
        <v>812</v>
      </c>
      <c r="J124" s="2" t="s">
        <v>392</v>
      </c>
      <c r="K124" s="2" t="s">
        <v>861</v>
      </c>
      <c r="L124" s="2" t="s">
        <v>75</v>
      </c>
      <c r="M124" s="2" t="s">
        <v>698</v>
      </c>
      <c r="N124" s="2" t="s">
        <v>104</v>
      </c>
      <c r="O124" s="2" t="n">
        <v>1</v>
      </c>
      <c r="P124" s="2" t="n">
        <v>2</v>
      </c>
      <c r="Q124" s="2" t="s">
        <v>41</v>
      </c>
      <c r="R124" s="2"/>
      <c r="S124" s="2" t="s">
        <v>215</v>
      </c>
      <c r="T124" s="2" t="s">
        <v>40</v>
      </c>
      <c r="U124" s="2"/>
      <c r="V124" s="2"/>
      <c r="W124" s="2" t="s">
        <v>212</v>
      </c>
      <c r="X124" s="2" t="s">
        <v>692</v>
      </c>
      <c r="Y124" s="2" t="n">
        <f aca="false">IF(AND(OR(Query_Interface!$B$5="All",$D124=Query_Interface!$B$5),OR(Query_Interface!$B$6="All",$F124=Query_Interface!$B$6),OR(Query_Interface!$B$7="All",$H124=Query_Interface!$B$7),OR(Query_Interface!$B$8="All",$N124=Query_Interface!$B$8),OR(Query_Interface!$B$9="All",$L124=Query_Interface!$B$9),OR(Query_Interface!$B$10="All",$R124=Query_Interface!$B$10),OR(Query_Interface!$B$11="All",$T124=Query_Interface!$B$11),OR(Query_Interface!$B$12="All",$Q124=Query_Interface!$B$12)),1,0)</f>
        <v>1</v>
      </c>
      <c r="Z124" s="2" t="n">
        <f aca="false">IF($Y124=1,COUNTIF($Y$2:$Y124,1),"")</f>
        <v>123</v>
      </c>
    </row>
    <row r="125" customFormat="false" ht="35.05" hidden="false" customHeight="false" outlineLevel="0" collapsed="false">
      <c r="A125" s="2" t="s">
        <v>391</v>
      </c>
      <c r="B125" s="2" t="n">
        <v>98</v>
      </c>
      <c r="C125" s="2" t="s">
        <v>686</v>
      </c>
      <c r="D125" s="2" t="s">
        <v>34</v>
      </c>
      <c r="E125" s="2" t="s">
        <v>810</v>
      </c>
      <c r="F125" s="2" t="s">
        <v>42</v>
      </c>
      <c r="G125" s="2" t="s">
        <v>811</v>
      </c>
      <c r="H125" s="2" t="s">
        <v>43</v>
      </c>
      <c r="I125" s="2" t="s">
        <v>812</v>
      </c>
      <c r="J125" s="2" t="s">
        <v>392</v>
      </c>
      <c r="K125" s="2" t="s">
        <v>861</v>
      </c>
      <c r="L125" s="2" t="s">
        <v>75</v>
      </c>
      <c r="M125" s="2" t="s">
        <v>754</v>
      </c>
      <c r="N125" s="2" t="s">
        <v>124</v>
      </c>
      <c r="O125" s="2" t="n">
        <v>2</v>
      </c>
      <c r="P125" s="2" t="n">
        <v>2</v>
      </c>
      <c r="Q125" s="2" t="s">
        <v>41</v>
      </c>
      <c r="R125" s="2"/>
      <c r="S125" s="2" t="s">
        <v>215</v>
      </c>
      <c r="T125" s="2" t="s">
        <v>40</v>
      </c>
      <c r="U125" s="2"/>
      <c r="V125" s="2"/>
      <c r="W125" s="2" t="s">
        <v>212</v>
      </c>
      <c r="X125" s="2" t="s">
        <v>692</v>
      </c>
      <c r="Y125" s="2" t="n">
        <f aca="false">IF(AND(OR(Query_Interface!$B$5="All",$D125=Query_Interface!$B$5),OR(Query_Interface!$B$6="All",$F125=Query_Interface!$B$6),OR(Query_Interface!$B$7="All",$H125=Query_Interface!$B$7),OR(Query_Interface!$B$8="All",$N125=Query_Interface!$B$8),OR(Query_Interface!$B$9="All",$L125=Query_Interface!$B$9),OR(Query_Interface!$B$10="All",$R125=Query_Interface!$B$10),OR(Query_Interface!$B$11="All",$T125=Query_Interface!$B$11),OR(Query_Interface!$B$12="All",$Q125=Query_Interface!$B$12)),1,0)</f>
        <v>1</v>
      </c>
      <c r="Z125" s="2" t="n">
        <f aca="false">IF($Y125=1,COUNTIF($Y$2:$Y125,1),"")</f>
        <v>124</v>
      </c>
    </row>
    <row r="126" customFormat="false" ht="35.05" hidden="false" customHeight="false" outlineLevel="0" collapsed="false">
      <c r="A126" s="2" t="s">
        <v>393</v>
      </c>
      <c r="B126" s="2" t="n">
        <v>99</v>
      </c>
      <c r="C126" s="2" t="s">
        <v>686</v>
      </c>
      <c r="D126" s="2" t="s">
        <v>34</v>
      </c>
      <c r="E126" s="2" t="s">
        <v>810</v>
      </c>
      <c r="F126" s="2" t="s">
        <v>42</v>
      </c>
      <c r="G126" s="2" t="s">
        <v>811</v>
      </c>
      <c r="H126" s="2" t="s">
        <v>43</v>
      </c>
      <c r="I126" s="2" t="s">
        <v>812</v>
      </c>
      <c r="J126" s="2" t="s">
        <v>394</v>
      </c>
      <c r="K126" s="2" t="s">
        <v>862</v>
      </c>
      <c r="L126" s="2" t="s">
        <v>69</v>
      </c>
      <c r="M126" s="2" t="s">
        <v>838</v>
      </c>
      <c r="N126" s="2" t="s">
        <v>111</v>
      </c>
      <c r="O126" s="2" t="n">
        <v>1</v>
      </c>
      <c r="P126" s="2" t="n">
        <v>1</v>
      </c>
      <c r="Q126" s="2" t="s">
        <v>61</v>
      </c>
      <c r="R126" s="2"/>
      <c r="S126" s="2" t="s">
        <v>230</v>
      </c>
      <c r="T126" s="2" t="s">
        <v>60</v>
      </c>
      <c r="U126" s="2"/>
      <c r="V126" s="2"/>
      <c r="W126" s="2" t="s">
        <v>212</v>
      </c>
      <c r="X126" s="2" t="s">
        <v>692</v>
      </c>
      <c r="Y126" s="2" t="n">
        <f aca="false">IF(AND(OR(Query_Interface!$B$5="All",$D126=Query_Interface!$B$5),OR(Query_Interface!$B$6="All",$F126=Query_Interface!$B$6),OR(Query_Interface!$B$7="All",$H126=Query_Interface!$B$7),OR(Query_Interface!$B$8="All",$N126=Query_Interface!$B$8),OR(Query_Interface!$B$9="All",$L126=Query_Interface!$B$9),OR(Query_Interface!$B$10="All",$R126=Query_Interface!$B$10),OR(Query_Interface!$B$11="All",$T126=Query_Interface!$B$11),OR(Query_Interface!$B$12="All",$Q126=Query_Interface!$B$12)),1,0)</f>
        <v>1</v>
      </c>
      <c r="Z126" s="2" t="n">
        <f aca="false">IF($Y126=1,COUNTIF($Y$2:$Y126,1),"")</f>
        <v>125</v>
      </c>
    </row>
    <row r="127" customFormat="false" ht="35.05" hidden="false" customHeight="false" outlineLevel="0" collapsed="false">
      <c r="A127" s="2" t="s">
        <v>395</v>
      </c>
      <c r="B127" s="2" t="n">
        <v>100</v>
      </c>
      <c r="C127" s="2" t="s">
        <v>686</v>
      </c>
      <c r="D127" s="2" t="s">
        <v>34</v>
      </c>
      <c r="E127" s="2" t="s">
        <v>810</v>
      </c>
      <c r="F127" s="2" t="s">
        <v>42</v>
      </c>
      <c r="G127" s="2" t="s">
        <v>811</v>
      </c>
      <c r="H127" s="2" t="s">
        <v>43</v>
      </c>
      <c r="I127" s="2" t="s">
        <v>812</v>
      </c>
      <c r="J127" s="2" t="s">
        <v>396</v>
      </c>
      <c r="K127" s="2" t="s">
        <v>863</v>
      </c>
      <c r="L127" s="2" t="s">
        <v>69</v>
      </c>
      <c r="M127" s="2" t="s">
        <v>825</v>
      </c>
      <c r="N127" s="2" t="s">
        <v>110</v>
      </c>
      <c r="O127" s="2" t="n">
        <v>1</v>
      </c>
      <c r="P127" s="2" t="n">
        <v>2</v>
      </c>
      <c r="Q127" s="2" t="s">
        <v>41</v>
      </c>
      <c r="R127" s="2"/>
      <c r="S127" s="2" t="s">
        <v>215</v>
      </c>
      <c r="T127" s="2" t="s">
        <v>40</v>
      </c>
      <c r="U127" s="2"/>
      <c r="V127" s="2"/>
      <c r="W127" s="2" t="s">
        <v>212</v>
      </c>
      <c r="X127" s="2" t="s">
        <v>692</v>
      </c>
      <c r="Y127" s="2" t="n">
        <f aca="false">IF(AND(OR(Query_Interface!$B$5="All",$D127=Query_Interface!$B$5),OR(Query_Interface!$B$6="All",$F127=Query_Interface!$B$6),OR(Query_Interface!$B$7="All",$H127=Query_Interface!$B$7),OR(Query_Interface!$B$8="All",$N127=Query_Interface!$B$8),OR(Query_Interface!$B$9="All",$L127=Query_Interface!$B$9),OR(Query_Interface!$B$10="All",$R127=Query_Interface!$B$10),OR(Query_Interface!$B$11="All",$T127=Query_Interface!$B$11),OR(Query_Interface!$B$12="All",$Q127=Query_Interface!$B$12)),1,0)</f>
        <v>1</v>
      </c>
      <c r="Z127" s="2" t="n">
        <f aca="false">IF($Y127=1,COUNTIF($Y$2:$Y127,1),"")</f>
        <v>126</v>
      </c>
    </row>
    <row r="128" customFormat="false" ht="35.05" hidden="false" customHeight="false" outlineLevel="0" collapsed="false">
      <c r="A128" s="2" t="s">
        <v>395</v>
      </c>
      <c r="B128" s="2" t="n">
        <v>100</v>
      </c>
      <c r="C128" s="2" t="s">
        <v>686</v>
      </c>
      <c r="D128" s="2" t="s">
        <v>34</v>
      </c>
      <c r="E128" s="2" t="s">
        <v>810</v>
      </c>
      <c r="F128" s="2" t="s">
        <v>42</v>
      </c>
      <c r="G128" s="2" t="s">
        <v>811</v>
      </c>
      <c r="H128" s="2" t="s">
        <v>43</v>
      </c>
      <c r="I128" s="2" t="s">
        <v>812</v>
      </c>
      <c r="J128" s="2" t="s">
        <v>396</v>
      </c>
      <c r="K128" s="2" t="s">
        <v>863</v>
      </c>
      <c r="L128" s="2" t="s">
        <v>69</v>
      </c>
      <c r="M128" s="2" t="s">
        <v>784</v>
      </c>
      <c r="N128" s="2" t="s">
        <v>89</v>
      </c>
      <c r="O128" s="2" t="n">
        <v>2</v>
      </c>
      <c r="P128" s="2" t="n">
        <v>2</v>
      </c>
      <c r="Q128" s="2" t="s">
        <v>41</v>
      </c>
      <c r="R128" s="2"/>
      <c r="S128" s="2" t="s">
        <v>215</v>
      </c>
      <c r="T128" s="2" t="s">
        <v>40</v>
      </c>
      <c r="U128" s="2"/>
      <c r="V128" s="2"/>
      <c r="W128" s="2" t="s">
        <v>212</v>
      </c>
      <c r="X128" s="2" t="s">
        <v>692</v>
      </c>
      <c r="Y128" s="2" t="n">
        <f aca="false">IF(AND(OR(Query_Interface!$B$5="All",$D128=Query_Interface!$B$5),OR(Query_Interface!$B$6="All",$F128=Query_Interface!$B$6),OR(Query_Interface!$B$7="All",$H128=Query_Interface!$B$7),OR(Query_Interface!$B$8="All",$N128=Query_Interface!$B$8),OR(Query_Interface!$B$9="All",$L128=Query_Interface!$B$9),OR(Query_Interface!$B$10="All",$R128=Query_Interface!$B$10),OR(Query_Interface!$B$11="All",$T128=Query_Interface!$B$11),OR(Query_Interface!$B$12="All",$Q128=Query_Interface!$B$12)),1,0)</f>
        <v>1</v>
      </c>
      <c r="Z128" s="2" t="n">
        <f aca="false">IF($Y128=1,COUNTIF($Y$2:$Y128,1),"")</f>
        <v>127</v>
      </c>
    </row>
    <row r="129" customFormat="false" ht="35.05" hidden="false" customHeight="false" outlineLevel="0" collapsed="false">
      <c r="A129" s="2" t="s">
        <v>397</v>
      </c>
      <c r="B129" s="2" t="n">
        <v>101</v>
      </c>
      <c r="C129" s="2" t="s">
        <v>686</v>
      </c>
      <c r="D129" s="2" t="s">
        <v>34</v>
      </c>
      <c r="E129" s="2" t="s">
        <v>810</v>
      </c>
      <c r="F129" s="2" t="s">
        <v>42</v>
      </c>
      <c r="G129" s="2" t="s">
        <v>811</v>
      </c>
      <c r="H129" s="2" t="s">
        <v>43</v>
      </c>
      <c r="I129" s="2" t="s">
        <v>812</v>
      </c>
      <c r="J129" s="2" t="s">
        <v>398</v>
      </c>
      <c r="K129" s="2" t="s">
        <v>864</v>
      </c>
      <c r="L129" s="2" t="s">
        <v>71</v>
      </c>
      <c r="M129" s="2" t="s">
        <v>836</v>
      </c>
      <c r="N129" s="2" t="s">
        <v>128</v>
      </c>
      <c r="O129" s="2" t="n">
        <v>1</v>
      </c>
      <c r="P129" s="2" t="n">
        <v>1</v>
      </c>
      <c r="Q129" s="2" t="s">
        <v>61</v>
      </c>
      <c r="R129" s="2"/>
      <c r="S129" s="2" t="s">
        <v>215</v>
      </c>
      <c r="T129" s="2" t="s">
        <v>54</v>
      </c>
      <c r="U129" s="2"/>
      <c r="V129" s="2"/>
      <c r="W129" s="2" t="s">
        <v>212</v>
      </c>
      <c r="X129" s="2" t="s">
        <v>692</v>
      </c>
      <c r="Y129" s="2" t="n">
        <f aca="false">IF(AND(OR(Query_Interface!$B$5="All",$D129=Query_Interface!$B$5),OR(Query_Interface!$B$6="All",$F129=Query_Interface!$B$6),OR(Query_Interface!$B$7="All",$H129=Query_Interface!$B$7),OR(Query_Interface!$B$8="All",$N129=Query_Interface!$B$8),OR(Query_Interface!$B$9="All",$L129=Query_Interface!$B$9),OR(Query_Interface!$B$10="All",$R129=Query_Interface!$B$10),OR(Query_Interface!$B$11="All",$T129=Query_Interface!$B$11),OR(Query_Interface!$B$12="All",$Q129=Query_Interface!$B$12)),1,0)</f>
        <v>1</v>
      </c>
      <c r="Z129" s="2" t="n">
        <f aca="false">IF($Y129=1,COUNTIF($Y$2:$Y129,1),"")</f>
        <v>128</v>
      </c>
    </row>
    <row r="130" customFormat="false" ht="35.05" hidden="false" customHeight="false" outlineLevel="0" collapsed="false">
      <c r="A130" s="2" t="s">
        <v>399</v>
      </c>
      <c r="B130" s="2" t="n">
        <v>102</v>
      </c>
      <c r="C130" s="2" t="s">
        <v>686</v>
      </c>
      <c r="D130" s="2" t="s">
        <v>34</v>
      </c>
      <c r="E130" s="2" t="s">
        <v>810</v>
      </c>
      <c r="F130" s="2" t="s">
        <v>42</v>
      </c>
      <c r="G130" s="2" t="s">
        <v>811</v>
      </c>
      <c r="H130" s="2" t="s">
        <v>43</v>
      </c>
      <c r="I130" s="2" t="s">
        <v>812</v>
      </c>
      <c r="J130" s="2" t="s">
        <v>400</v>
      </c>
      <c r="K130" s="2" t="s">
        <v>865</v>
      </c>
      <c r="L130" s="2" t="s">
        <v>45</v>
      </c>
      <c r="M130" s="2" t="s">
        <v>722</v>
      </c>
      <c r="N130" s="2" t="s">
        <v>72</v>
      </c>
      <c r="O130" s="2" t="n">
        <v>1</v>
      </c>
      <c r="P130" s="2" t="n">
        <v>1</v>
      </c>
      <c r="Q130" s="2" t="s">
        <v>61</v>
      </c>
      <c r="R130" s="2"/>
      <c r="S130" s="2" t="s">
        <v>215</v>
      </c>
      <c r="T130" s="2" t="s">
        <v>40</v>
      </c>
      <c r="U130" s="2"/>
      <c r="V130" s="2"/>
      <c r="W130" s="2" t="s">
        <v>212</v>
      </c>
      <c r="X130" s="2" t="s">
        <v>692</v>
      </c>
      <c r="Y130" s="2" t="n">
        <f aca="false">IF(AND(OR(Query_Interface!$B$5="All",$D130=Query_Interface!$B$5),OR(Query_Interface!$B$6="All",$F130=Query_Interface!$B$6),OR(Query_Interface!$B$7="All",$H130=Query_Interface!$B$7),OR(Query_Interface!$B$8="All",$N130=Query_Interface!$B$8),OR(Query_Interface!$B$9="All",$L130=Query_Interface!$B$9),OR(Query_Interface!$B$10="All",$R130=Query_Interface!$B$10),OR(Query_Interface!$B$11="All",$T130=Query_Interface!$B$11),OR(Query_Interface!$B$12="All",$Q130=Query_Interface!$B$12)),1,0)</f>
        <v>1</v>
      </c>
      <c r="Z130" s="2" t="n">
        <f aca="false">IF($Y130=1,COUNTIF($Y$2:$Y130,1),"")</f>
        <v>129</v>
      </c>
    </row>
    <row r="131" customFormat="false" ht="46.25" hidden="false" customHeight="false" outlineLevel="0" collapsed="false">
      <c r="A131" s="2" t="s">
        <v>401</v>
      </c>
      <c r="B131" s="2" t="n">
        <v>103</v>
      </c>
      <c r="C131" s="2" t="s">
        <v>686</v>
      </c>
      <c r="D131" s="2" t="s">
        <v>34</v>
      </c>
      <c r="E131" s="2" t="s">
        <v>810</v>
      </c>
      <c r="F131" s="2" t="s">
        <v>42</v>
      </c>
      <c r="G131" s="2" t="s">
        <v>811</v>
      </c>
      <c r="H131" s="2" t="s">
        <v>43</v>
      </c>
      <c r="I131" s="2" t="s">
        <v>812</v>
      </c>
      <c r="J131" s="2" t="s">
        <v>402</v>
      </c>
      <c r="K131" s="2" t="s">
        <v>866</v>
      </c>
      <c r="L131" s="2" t="s">
        <v>45</v>
      </c>
      <c r="M131" s="2" t="s">
        <v>722</v>
      </c>
      <c r="N131" s="2" t="s">
        <v>72</v>
      </c>
      <c r="O131" s="2" t="n">
        <v>1</v>
      </c>
      <c r="P131" s="2" t="n">
        <v>1</v>
      </c>
      <c r="Q131" s="2" t="s">
        <v>61</v>
      </c>
      <c r="R131" s="2"/>
      <c r="S131" s="2" t="s">
        <v>215</v>
      </c>
      <c r="T131" s="2" t="s">
        <v>40</v>
      </c>
      <c r="U131" s="2"/>
      <c r="V131" s="2"/>
      <c r="W131" s="2" t="s">
        <v>212</v>
      </c>
      <c r="X131" s="2" t="s">
        <v>692</v>
      </c>
      <c r="Y131" s="2" t="n">
        <f aca="false">IF(AND(OR(Query_Interface!$B$5="All",$D131=Query_Interface!$B$5),OR(Query_Interface!$B$6="All",$F131=Query_Interface!$B$6),OR(Query_Interface!$B$7="All",$H131=Query_Interface!$B$7),OR(Query_Interface!$B$8="All",$N131=Query_Interface!$B$8),OR(Query_Interface!$B$9="All",$L131=Query_Interface!$B$9),OR(Query_Interface!$B$10="All",$R131=Query_Interface!$B$10),OR(Query_Interface!$B$11="All",$T131=Query_Interface!$B$11),OR(Query_Interface!$B$12="All",$Q131=Query_Interface!$B$12)),1,0)</f>
        <v>1</v>
      </c>
      <c r="Z131" s="2" t="n">
        <f aca="false">IF($Y131=1,COUNTIF($Y$2:$Y131,1),"")</f>
        <v>130</v>
      </c>
    </row>
    <row r="132" customFormat="false" ht="35.05" hidden="false" customHeight="false" outlineLevel="0" collapsed="false">
      <c r="A132" s="2" t="s">
        <v>403</v>
      </c>
      <c r="B132" s="2" t="n">
        <v>104</v>
      </c>
      <c r="C132" s="2" t="s">
        <v>686</v>
      </c>
      <c r="D132" s="2" t="s">
        <v>34</v>
      </c>
      <c r="E132" s="2" t="s">
        <v>810</v>
      </c>
      <c r="F132" s="2" t="s">
        <v>42</v>
      </c>
      <c r="G132" s="2" t="s">
        <v>811</v>
      </c>
      <c r="H132" s="2" t="s">
        <v>43</v>
      </c>
      <c r="I132" s="2" t="s">
        <v>812</v>
      </c>
      <c r="J132" s="2" t="s">
        <v>315</v>
      </c>
      <c r="K132" s="2" t="s">
        <v>867</v>
      </c>
      <c r="L132" s="2" t="s">
        <v>58</v>
      </c>
      <c r="M132" s="2" t="s">
        <v>776</v>
      </c>
      <c r="N132" s="2" t="s">
        <v>92</v>
      </c>
      <c r="O132" s="2" t="n">
        <v>1</v>
      </c>
      <c r="P132" s="2" t="n">
        <v>1</v>
      </c>
      <c r="Q132" s="2" t="s">
        <v>61</v>
      </c>
      <c r="R132" s="2"/>
      <c r="S132" s="2" t="s">
        <v>211</v>
      </c>
      <c r="T132" s="2" t="s">
        <v>47</v>
      </c>
      <c r="U132" s="2"/>
      <c r="V132" s="2"/>
      <c r="W132" s="2" t="s">
        <v>212</v>
      </c>
      <c r="X132" s="2" t="s">
        <v>692</v>
      </c>
      <c r="Y132" s="2" t="n">
        <f aca="false">IF(AND(OR(Query_Interface!$B$5="All",$D132=Query_Interface!$B$5),OR(Query_Interface!$B$6="All",$F132=Query_Interface!$B$6),OR(Query_Interface!$B$7="All",$H132=Query_Interface!$B$7),OR(Query_Interface!$B$8="All",$N132=Query_Interface!$B$8),OR(Query_Interface!$B$9="All",$L132=Query_Interface!$B$9),OR(Query_Interface!$B$10="All",$R132=Query_Interface!$B$10),OR(Query_Interface!$B$11="All",$T132=Query_Interface!$B$11),OR(Query_Interface!$B$12="All",$Q132=Query_Interface!$B$12)),1,0)</f>
        <v>1</v>
      </c>
      <c r="Z132" s="2" t="n">
        <f aca="false">IF($Y132=1,COUNTIF($Y$2:$Y132,1),"")</f>
        <v>131</v>
      </c>
    </row>
    <row r="133" customFormat="false" ht="35.05" hidden="false" customHeight="false" outlineLevel="0" collapsed="false">
      <c r="A133" s="2" t="s">
        <v>404</v>
      </c>
      <c r="B133" s="2" t="n">
        <v>105</v>
      </c>
      <c r="C133" s="2" t="s">
        <v>686</v>
      </c>
      <c r="D133" s="2" t="s">
        <v>34</v>
      </c>
      <c r="E133" s="2" t="s">
        <v>810</v>
      </c>
      <c r="F133" s="2" t="s">
        <v>42</v>
      </c>
      <c r="G133" s="2" t="s">
        <v>811</v>
      </c>
      <c r="H133" s="2" t="s">
        <v>43</v>
      </c>
      <c r="I133" s="2" t="s">
        <v>812</v>
      </c>
      <c r="J133" s="2" t="s">
        <v>405</v>
      </c>
      <c r="K133" s="2" t="s">
        <v>868</v>
      </c>
      <c r="L133" s="2" t="s">
        <v>45</v>
      </c>
      <c r="M133" s="2" t="s">
        <v>828</v>
      </c>
      <c r="N133" s="2" t="s">
        <v>51</v>
      </c>
      <c r="O133" s="2" t="n">
        <v>1</v>
      </c>
      <c r="P133" s="2" t="n">
        <v>1</v>
      </c>
      <c r="Q133" s="2" t="s">
        <v>61</v>
      </c>
      <c r="R133" s="2"/>
      <c r="S133" s="2" t="s">
        <v>215</v>
      </c>
      <c r="T133" s="2" t="s">
        <v>40</v>
      </c>
      <c r="U133" s="2"/>
      <c r="V133" s="2"/>
      <c r="W133" s="2" t="s">
        <v>212</v>
      </c>
      <c r="X133" s="2" t="s">
        <v>692</v>
      </c>
      <c r="Y133" s="2" t="n">
        <f aca="false">IF(AND(OR(Query_Interface!$B$5="All",$D133=Query_Interface!$B$5),OR(Query_Interface!$B$6="All",$F133=Query_Interface!$B$6),OR(Query_Interface!$B$7="All",$H133=Query_Interface!$B$7),OR(Query_Interface!$B$8="All",$N133=Query_Interface!$B$8),OR(Query_Interface!$B$9="All",$L133=Query_Interface!$B$9),OR(Query_Interface!$B$10="All",$R133=Query_Interface!$B$10),OR(Query_Interface!$B$11="All",$T133=Query_Interface!$B$11),OR(Query_Interface!$B$12="All",$Q133=Query_Interface!$B$12)),1,0)</f>
        <v>1</v>
      </c>
      <c r="Z133" s="2" t="n">
        <f aca="false">IF($Y133=1,COUNTIF($Y$2:$Y133,1),"")</f>
        <v>132</v>
      </c>
    </row>
    <row r="134" customFormat="false" ht="35.05" hidden="false" customHeight="false" outlineLevel="0" collapsed="false">
      <c r="A134" s="2" t="s">
        <v>406</v>
      </c>
      <c r="B134" s="2" t="n">
        <v>106</v>
      </c>
      <c r="C134" s="2" t="s">
        <v>686</v>
      </c>
      <c r="D134" s="2" t="s">
        <v>34</v>
      </c>
      <c r="E134" s="2" t="s">
        <v>810</v>
      </c>
      <c r="F134" s="2" t="s">
        <v>42</v>
      </c>
      <c r="G134" s="2" t="s">
        <v>811</v>
      </c>
      <c r="H134" s="2" t="s">
        <v>43</v>
      </c>
      <c r="I134" s="2" t="s">
        <v>812</v>
      </c>
      <c r="J134" s="2" t="s">
        <v>407</v>
      </c>
      <c r="K134" s="2" t="s">
        <v>869</v>
      </c>
      <c r="L134" s="2" t="s">
        <v>58</v>
      </c>
      <c r="M134" s="2" t="s">
        <v>795</v>
      </c>
      <c r="N134" s="2" t="s">
        <v>97</v>
      </c>
      <c r="O134" s="2" t="n">
        <v>1</v>
      </c>
      <c r="P134" s="2" t="n">
        <v>1</v>
      </c>
      <c r="Q134" s="2" t="s">
        <v>61</v>
      </c>
      <c r="R134" s="2"/>
      <c r="S134" s="2" t="s">
        <v>215</v>
      </c>
      <c r="T134" s="2" t="s">
        <v>40</v>
      </c>
      <c r="U134" s="2"/>
      <c r="V134" s="2"/>
      <c r="W134" s="2" t="s">
        <v>212</v>
      </c>
      <c r="X134" s="2" t="s">
        <v>692</v>
      </c>
      <c r="Y134" s="2" t="n">
        <f aca="false">IF(AND(OR(Query_Interface!$B$5="All",$D134=Query_Interface!$B$5),OR(Query_Interface!$B$6="All",$F134=Query_Interface!$B$6),OR(Query_Interface!$B$7="All",$H134=Query_Interface!$B$7),OR(Query_Interface!$B$8="All",$N134=Query_Interface!$B$8),OR(Query_Interface!$B$9="All",$L134=Query_Interface!$B$9),OR(Query_Interface!$B$10="All",$R134=Query_Interface!$B$10),OR(Query_Interface!$B$11="All",$T134=Query_Interface!$B$11),OR(Query_Interface!$B$12="All",$Q134=Query_Interface!$B$12)),1,0)</f>
        <v>1</v>
      </c>
      <c r="Z134" s="2" t="n">
        <f aca="false">IF($Y134=1,COUNTIF($Y$2:$Y134,1),"")</f>
        <v>133</v>
      </c>
    </row>
    <row r="135" customFormat="false" ht="46.25" hidden="false" customHeight="false" outlineLevel="0" collapsed="false">
      <c r="A135" s="2" t="s">
        <v>408</v>
      </c>
      <c r="B135" s="2" t="n">
        <v>107</v>
      </c>
      <c r="C135" s="2" t="s">
        <v>686</v>
      </c>
      <c r="D135" s="2" t="s">
        <v>34</v>
      </c>
      <c r="E135" s="2" t="s">
        <v>810</v>
      </c>
      <c r="F135" s="2" t="s">
        <v>42</v>
      </c>
      <c r="G135" s="2" t="s">
        <v>811</v>
      </c>
      <c r="H135" s="2" t="s">
        <v>43</v>
      </c>
      <c r="I135" s="2" t="s">
        <v>812</v>
      </c>
      <c r="J135" s="2" t="s">
        <v>333</v>
      </c>
      <c r="K135" s="2" t="s">
        <v>870</v>
      </c>
      <c r="L135" s="2" t="s">
        <v>71</v>
      </c>
      <c r="M135" s="2" t="s">
        <v>808</v>
      </c>
      <c r="N135" s="2" t="s">
        <v>126</v>
      </c>
      <c r="O135" s="2" t="n">
        <v>1</v>
      </c>
      <c r="P135" s="2" t="n">
        <v>1</v>
      </c>
      <c r="Q135" s="2" t="s">
        <v>61</v>
      </c>
      <c r="R135" s="2"/>
      <c r="S135" s="2" t="s">
        <v>215</v>
      </c>
      <c r="T135" s="2" t="s">
        <v>40</v>
      </c>
      <c r="U135" s="2"/>
      <c r="V135" s="2"/>
      <c r="W135" s="2" t="s">
        <v>212</v>
      </c>
      <c r="X135" s="2" t="s">
        <v>692</v>
      </c>
      <c r="Y135" s="2" t="n">
        <f aca="false">IF(AND(OR(Query_Interface!$B$5="All",$D135=Query_Interface!$B$5),OR(Query_Interface!$B$6="All",$F135=Query_Interface!$B$6),OR(Query_Interface!$B$7="All",$H135=Query_Interface!$B$7),OR(Query_Interface!$B$8="All",$N135=Query_Interface!$B$8),OR(Query_Interface!$B$9="All",$L135=Query_Interface!$B$9),OR(Query_Interface!$B$10="All",$R135=Query_Interface!$B$10),OR(Query_Interface!$B$11="All",$T135=Query_Interface!$B$11),OR(Query_Interface!$B$12="All",$Q135=Query_Interface!$B$12)),1,0)</f>
        <v>1</v>
      </c>
      <c r="Z135" s="2" t="n">
        <f aca="false">IF($Y135=1,COUNTIF($Y$2:$Y135,1),"")</f>
        <v>134</v>
      </c>
    </row>
    <row r="136" customFormat="false" ht="35.05" hidden="false" customHeight="false" outlineLevel="0" collapsed="false">
      <c r="A136" s="2" t="s">
        <v>409</v>
      </c>
      <c r="B136" s="2" t="n">
        <v>108</v>
      </c>
      <c r="C136" s="2" t="s">
        <v>686</v>
      </c>
      <c r="D136" s="2" t="s">
        <v>34</v>
      </c>
      <c r="E136" s="2" t="s">
        <v>810</v>
      </c>
      <c r="F136" s="2" t="s">
        <v>42</v>
      </c>
      <c r="G136" s="2" t="s">
        <v>811</v>
      </c>
      <c r="H136" s="2" t="s">
        <v>43</v>
      </c>
      <c r="I136" s="2" t="s">
        <v>812</v>
      </c>
      <c r="J136" s="2" t="s">
        <v>410</v>
      </c>
      <c r="K136" s="2" t="s">
        <v>871</v>
      </c>
      <c r="L136" s="2" t="s">
        <v>75</v>
      </c>
      <c r="M136" s="2" t="s">
        <v>724</v>
      </c>
      <c r="N136" s="2" t="s">
        <v>142</v>
      </c>
      <c r="O136" s="2" t="n">
        <v>1</v>
      </c>
      <c r="P136" s="2" t="n">
        <v>1</v>
      </c>
      <c r="Q136" s="2" t="s">
        <v>61</v>
      </c>
      <c r="R136" s="2"/>
      <c r="S136" s="2" t="s">
        <v>215</v>
      </c>
      <c r="T136" s="2" t="s">
        <v>47</v>
      </c>
      <c r="U136" s="2"/>
      <c r="V136" s="2"/>
      <c r="W136" s="2" t="s">
        <v>212</v>
      </c>
      <c r="X136" s="2" t="s">
        <v>692</v>
      </c>
      <c r="Y136" s="2" t="n">
        <f aca="false">IF(AND(OR(Query_Interface!$B$5="All",$D136=Query_Interface!$B$5),OR(Query_Interface!$B$6="All",$F136=Query_Interface!$B$6),OR(Query_Interface!$B$7="All",$H136=Query_Interface!$B$7),OR(Query_Interface!$B$8="All",$N136=Query_Interface!$B$8),OR(Query_Interface!$B$9="All",$L136=Query_Interface!$B$9),OR(Query_Interface!$B$10="All",$R136=Query_Interface!$B$10),OR(Query_Interface!$B$11="All",$T136=Query_Interface!$B$11),OR(Query_Interface!$B$12="All",$Q136=Query_Interface!$B$12)),1,0)</f>
        <v>1</v>
      </c>
      <c r="Z136" s="2" t="n">
        <f aca="false">IF($Y136=1,COUNTIF($Y$2:$Y136,1),"")</f>
        <v>135</v>
      </c>
    </row>
    <row r="137" customFormat="false" ht="35.05" hidden="false" customHeight="false" outlineLevel="0" collapsed="false">
      <c r="A137" s="2" t="s">
        <v>411</v>
      </c>
      <c r="B137" s="2" t="n">
        <v>109</v>
      </c>
      <c r="C137" s="2" t="s">
        <v>686</v>
      </c>
      <c r="D137" s="2" t="s">
        <v>34</v>
      </c>
      <c r="E137" s="2" t="s">
        <v>810</v>
      </c>
      <c r="F137" s="2" t="s">
        <v>42</v>
      </c>
      <c r="G137" s="2" t="s">
        <v>811</v>
      </c>
      <c r="H137" s="2" t="s">
        <v>43</v>
      </c>
      <c r="I137" s="2" t="s">
        <v>812</v>
      </c>
      <c r="J137" s="2" t="s">
        <v>335</v>
      </c>
      <c r="K137" s="2" t="s">
        <v>872</v>
      </c>
      <c r="L137" s="2" t="s">
        <v>73</v>
      </c>
      <c r="M137" s="2" t="s">
        <v>793</v>
      </c>
      <c r="N137" s="2" t="s">
        <v>130</v>
      </c>
      <c r="O137" s="2" t="n">
        <v>1</v>
      </c>
      <c r="P137" s="2" t="n">
        <v>1</v>
      </c>
      <c r="Q137" s="2" t="s">
        <v>61</v>
      </c>
      <c r="R137" s="2"/>
      <c r="S137" s="2" t="s">
        <v>215</v>
      </c>
      <c r="T137" s="2" t="s">
        <v>40</v>
      </c>
      <c r="U137" s="2"/>
      <c r="V137" s="2"/>
      <c r="W137" s="2" t="s">
        <v>212</v>
      </c>
      <c r="X137" s="2" t="s">
        <v>692</v>
      </c>
      <c r="Y137" s="2" t="n">
        <f aca="false">IF(AND(OR(Query_Interface!$B$5="All",$D137=Query_Interface!$B$5),OR(Query_Interface!$B$6="All",$F137=Query_Interface!$B$6),OR(Query_Interface!$B$7="All",$H137=Query_Interface!$B$7),OR(Query_Interface!$B$8="All",$N137=Query_Interface!$B$8),OR(Query_Interface!$B$9="All",$L137=Query_Interface!$B$9),OR(Query_Interface!$B$10="All",$R137=Query_Interface!$B$10),OR(Query_Interface!$B$11="All",$T137=Query_Interface!$B$11),OR(Query_Interface!$B$12="All",$Q137=Query_Interface!$B$12)),1,0)</f>
        <v>1</v>
      </c>
      <c r="Z137" s="2" t="n">
        <f aca="false">IF($Y137=1,COUNTIF($Y$2:$Y137,1),"")</f>
        <v>136</v>
      </c>
    </row>
    <row r="138" customFormat="false" ht="35.05" hidden="false" customHeight="false" outlineLevel="0" collapsed="false">
      <c r="A138" s="2" t="s">
        <v>412</v>
      </c>
      <c r="B138" s="2" t="n">
        <v>110</v>
      </c>
      <c r="C138" s="2" t="s">
        <v>686</v>
      </c>
      <c r="D138" s="2" t="s">
        <v>34</v>
      </c>
      <c r="E138" s="2" t="s">
        <v>873</v>
      </c>
      <c r="F138" s="2" t="s">
        <v>35</v>
      </c>
      <c r="G138" s="2" t="s">
        <v>874</v>
      </c>
      <c r="H138" s="2" t="s">
        <v>50</v>
      </c>
      <c r="I138" s="2" t="s">
        <v>875</v>
      </c>
      <c r="J138" s="2" t="s">
        <v>413</v>
      </c>
      <c r="K138" s="2" t="s">
        <v>876</v>
      </c>
      <c r="L138" s="2" t="s">
        <v>73</v>
      </c>
      <c r="M138" s="2" t="s">
        <v>744</v>
      </c>
      <c r="N138" s="2" t="s">
        <v>131</v>
      </c>
      <c r="O138" s="2" t="n">
        <v>1</v>
      </c>
      <c r="P138" s="2" t="n">
        <v>4</v>
      </c>
      <c r="Q138" s="2" t="s">
        <v>41</v>
      </c>
      <c r="R138" s="2"/>
      <c r="S138" s="2" t="s">
        <v>215</v>
      </c>
      <c r="T138" s="2" t="s">
        <v>47</v>
      </c>
      <c r="U138" s="2"/>
      <c r="V138" s="2"/>
      <c r="W138" s="2" t="s">
        <v>212</v>
      </c>
      <c r="X138" s="2" t="s">
        <v>692</v>
      </c>
      <c r="Y138" s="2" t="n">
        <f aca="false">IF(AND(OR(Query_Interface!$B$5="All",$D138=Query_Interface!$B$5),OR(Query_Interface!$B$6="All",$F138=Query_Interface!$B$6),OR(Query_Interface!$B$7="All",$H138=Query_Interface!$B$7),OR(Query_Interface!$B$8="All",$N138=Query_Interface!$B$8),OR(Query_Interface!$B$9="All",$L138=Query_Interface!$B$9),OR(Query_Interface!$B$10="All",$R138=Query_Interface!$B$10),OR(Query_Interface!$B$11="All",$T138=Query_Interface!$B$11),OR(Query_Interface!$B$12="All",$Q138=Query_Interface!$B$12)),1,0)</f>
        <v>1</v>
      </c>
      <c r="Z138" s="2" t="n">
        <f aca="false">IF($Y138=1,COUNTIF($Y$2:$Y138,1),"")</f>
        <v>137</v>
      </c>
    </row>
    <row r="139" customFormat="false" ht="35.05" hidden="false" customHeight="false" outlineLevel="0" collapsed="false">
      <c r="A139" s="2" t="s">
        <v>412</v>
      </c>
      <c r="B139" s="2" t="n">
        <v>110</v>
      </c>
      <c r="C139" s="2" t="s">
        <v>686</v>
      </c>
      <c r="D139" s="2" t="s">
        <v>34</v>
      </c>
      <c r="E139" s="2" t="s">
        <v>873</v>
      </c>
      <c r="F139" s="2" t="s">
        <v>35</v>
      </c>
      <c r="G139" s="2" t="s">
        <v>874</v>
      </c>
      <c r="H139" s="2" t="s">
        <v>50</v>
      </c>
      <c r="I139" s="2" t="s">
        <v>875</v>
      </c>
      <c r="J139" s="2" t="s">
        <v>413</v>
      </c>
      <c r="K139" s="2" t="s">
        <v>876</v>
      </c>
      <c r="L139" s="2" t="s">
        <v>73</v>
      </c>
      <c r="M139" s="2" t="s">
        <v>724</v>
      </c>
      <c r="N139" s="2" t="s">
        <v>142</v>
      </c>
      <c r="O139" s="2" t="n">
        <v>2</v>
      </c>
      <c r="P139" s="2" t="n">
        <v>4</v>
      </c>
      <c r="Q139" s="2" t="s">
        <v>41</v>
      </c>
      <c r="R139" s="2"/>
      <c r="S139" s="2" t="s">
        <v>215</v>
      </c>
      <c r="T139" s="2" t="s">
        <v>47</v>
      </c>
      <c r="U139" s="2"/>
      <c r="V139" s="2"/>
      <c r="W139" s="2" t="s">
        <v>212</v>
      </c>
      <c r="X139" s="2" t="s">
        <v>692</v>
      </c>
      <c r="Y139" s="2" t="n">
        <f aca="false">IF(AND(OR(Query_Interface!$B$5="All",$D139=Query_Interface!$B$5),OR(Query_Interface!$B$6="All",$F139=Query_Interface!$B$6),OR(Query_Interface!$B$7="All",$H139=Query_Interface!$B$7),OR(Query_Interface!$B$8="All",$N139=Query_Interface!$B$8),OR(Query_Interface!$B$9="All",$L139=Query_Interface!$B$9),OR(Query_Interface!$B$10="All",$R139=Query_Interface!$B$10),OR(Query_Interface!$B$11="All",$T139=Query_Interface!$B$11),OR(Query_Interface!$B$12="All",$Q139=Query_Interface!$B$12)),1,0)</f>
        <v>1</v>
      </c>
      <c r="Z139" s="2" t="n">
        <f aca="false">IF($Y139=1,COUNTIF($Y$2:$Y139,1),"")</f>
        <v>138</v>
      </c>
    </row>
    <row r="140" customFormat="false" ht="35.05" hidden="false" customHeight="false" outlineLevel="0" collapsed="false">
      <c r="A140" s="2" t="s">
        <v>412</v>
      </c>
      <c r="B140" s="2" t="n">
        <v>110</v>
      </c>
      <c r="C140" s="2" t="s">
        <v>686</v>
      </c>
      <c r="D140" s="2" t="s">
        <v>34</v>
      </c>
      <c r="E140" s="2" t="s">
        <v>873</v>
      </c>
      <c r="F140" s="2" t="s">
        <v>35</v>
      </c>
      <c r="G140" s="2" t="s">
        <v>874</v>
      </c>
      <c r="H140" s="2" t="s">
        <v>50</v>
      </c>
      <c r="I140" s="2" t="s">
        <v>875</v>
      </c>
      <c r="J140" s="2" t="s">
        <v>413</v>
      </c>
      <c r="K140" s="2" t="s">
        <v>876</v>
      </c>
      <c r="L140" s="2" t="s">
        <v>73</v>
      </c>
      <c r="M140" s="2" t="s">
        <v>698</v>
      </c>
      <c r="N140" s="2" t="s">
        <v>104</v>
      </c>
      <c r="O140" s="2" t="n">
        <v>3</v>
      </c>
      <c r="P140" s="2" t="n">
        <v>4</v>
      </c>
      <c r="Q140" s="2" t="s">
        <v>41</v>
      </c>
      <c r="R140" s="2"/>
      <c r="S140" s="2" t="s">
        <v>215</v>
      </c>
      <c r="T140" s="2" t="s">
        <v>47</v>
      </c>
      <c r="U140" s="2"/>
      <c r="V140" s="2"/>
      <c r="W140" s="2" t="s">
        <v>212</v>
      </c>
      <c r="X140" s="2" t="s">
        <v>692</v>
      </c>
      <c r="Y140" s="2" t="n">
        <f aca="false">IF(AND(OR(Query_Interface!$B$5="All",$D140=Query_Interface!$B$5),OR(Query_Interface!$B$6="All",$F140=Query_Interface!$B$6),OR(Query_Interface!$B$7="All",$H140=Query_Interface!$B$7),OR(Query_Interface!$B$8="All",$N140=Query_Interface!$B$8),OR(Query_Interface!$B$9="All",$L140=Query_Interface!$B$9),OR(Query_Interface!$B$10="All",$R140=Query_Interface!$B$10),OR(Query_Interface!$B$11="All",$T140=Query_Interface!$B$11),OR(Query_Interface!$B$12="All",$Q140=Query_Interface!$B$12)),1,0)</f>
        <v>1</v>
      </c>
      <c r="Z140" s="2" t="n">
        <f aca="false">IF($Y140=1,COUNTIF($Y$2:$Y140,1),"")</f>
        <v>139</v>
      </c>
    </row>
    <row r="141" customFormat="false" ht="35.05" hidden="false" customHeight="false" outlineLevel="0" collapsed="false">
      <c r="A141" s="2" t="s">
        <v>412</v>
      </c>
      <c r="B141" s="2" t="n">
        <v>110</v>
      </c>
      <c r="C141" s="2" t="s">
        <v>686</v>
      </c>
      <c r="D141" s="2" t="s">
        <v>34</v>
      </c>
      <c r="E141" s="2" t="s">
        <v>873</v>
      </c>
      <c r="F141" s="2" t="s">
        <v>35</v>
      </c>
      <c r="G141" s="2" t="s">
        <v>874</v>
      </c>
      <c r="H141" s="2" t="s">
        <v>50</v>
      </c>
      <c r="I141" s="2" t="s">
        <v>875</v>
      </c>
      <c r="J141" s="2" t="s">
        <v>413</v>
      </c>
      <c r="K141" s="2" t="s">
        <v>876</v>
      </c>
      <c r="L141" s="2" t="s">
        <v>73</v>
      </c>
      <c r="M141" s="2" t="s">
        <v>740</v>
      </c>
      <c r="N141" s="2" t="s">
        <v>82</v>
      </c>
      <c r="O141" s="2" t="n">
        <v>4</v>
      </c>
      <c r="P141" s="2" t="n">
        <v>4</v>
      </c>
      <c r="Q141" s="2" t="s">
        <v>41</v>
      </c>
      <c r="R141" s="2"/>
      <c r="S141" s="2" t="s">
        <v>215</v>
      </c>
      <c r="T141" s="2" t="s">
        <v>47</v>
      </c>
      <c r="U141" s="2"/>
      <c r="V141" s="2"/>
      <c r="W141" s="2" t="s">
        <v>212</v>
      </c>
      <c r="X141" s="2" t="s">
        <v>692</v>
      </c>
      <c r="Y141" s="2" t="n">
        <f aca="false">IF(AND(OR(Query_Interface!$B$5="All",$D141=Query_Interface!$B$5),OR(Query_Interface!$B$6="All",$F141=Query_Interface!$B$6),OR(Query_Interface!$B$7="All",$H141=Query_Interface!$B$7),OR(Query_Interface!$B$8="All",$N141=Query_Interface!$B$8),OR(Query_Interface!$B$9="All",$L141=Query_Interface!$B$9),OR(Query_Interface!$B$10="All",$R141=Query_Interface!$B$10),OR(Query_Interface!$B$11="All",$T141=Query_Interface!$B$11),OR(Query_Interface!$B$12="All",$Q141=Query_Interface!$B$12)),1,0)</f>
        <v>1</v>
      </c>
      <c r="Z141" s="2" t="n">
        <f aca="false">IF($Y141=1,COUNTIF($Y$2:$Y141,1),"")</f>
        <v>140</v>
      </c>
    </row>
    <row r="142" customFormat="false" ht="35.05" hidden="false" customHeight="false" outlineLevel="0" collapsed="false">
      <c r="A142" s="2" t="s">
        <v>414</v>
      </c>
      <c r="B142" s="2" t="n">
        <v>111</v>
      </c>
      <c r="C142" s="2" t="s">
        <v>686</v>
      </c>
      <c r="D142" s="2" t="s">
        <v>34</v>
      </c>
      <c r="E142" s="2" t="s">
        <v>873</v>
      </c>
      <c r="F142" s="2" t="s">
        <v>35</v>
      </c>
      <c r="G142" s="2" t="s">
        <v>874</v>
      </c>
      <c r="H142" s="2" t="s">
        <v>50</v>
      </c>
      <c r="I142" s="2" t="s">
        <v>875</v>
      </c>
      <c r="J142" s="2" t="s">
        <v>219</v>
      </c>
      <c r="K142" s="2" t="s">
        <v>877</v>
      </c>
      <c r="L142" s="2" t="s">
        <v>66</v>
      </c>
      <c r="M142" s="2" t="s">
        <v>698</v>
      </c>
      <c r="N142" s="2" t="s">
        <v>104</v>
      </c>
      <c r="O142" s="2" t="n">
        <v>1</v>
      </c>
      <c r="P142" s="2" t="n">
        <v>3</v>
      </c>
      <c r="Q142" s="2" t="s">
        <v>41</v>
      </c>
      <c r="R142" s="2"/>
      <c r="S142" s="2" t="s">
        <v>211</v>
      </c>
      <c r="T142" s="2" t="s">
        <v>47</v>
      </c>
      <c r="U142" s="2"/>
      <c r="V142" s="2"/>
      <c r="W142" s="2" t="s">
        <v>212</v>
      </c>
      <c r="X142" s="2" t="s">
        <v>692</v>
      </c>
      <c r="Y142" s="2" t="n">
        <f aca="false">IF(AND(OR(Query_Interface!$B$5="All",$D142=Query_Interface!$B$5),OR(Query_Interface!$B$6="All",$F142=Query_Interface!$B$6),OR(Query_Interface!$B$7="All",$H142=Query_Interface!$B$7),OR(Query_Interface!$B$8="All",$N142=Query_Interface!$B$8),OR(Query_Interface!$B$9="All",$L142=Query_Interface!$B$9),OR(Query_Interface!$B$10="All",$R142=Query_Interface!$B$10),OR(Query_Interface!$B$11="All",$T142=Query_Interface!$B$11),OR(Query_Interface!$B$12="All",$Q142=Query_Interface!$B$12)),1,0)</f>
        <v>1</v>
      </c>
      <c r="Z142" s="2" t="n">
        <f aca="false">IF($Y142=1,COUNTIF($Y$2:$Y142,1),"")</f>
        <v>141</v>
      </c>
    </row>
    <row r="143" customFormat="false" ht="35.05" hidden="false" customHeight="false" outlineLevel="0" collapsed="false">
      <c r="A143" s="2" t="s">
        <v>414</v>
      </c>
      <c r="B143" s="2" t="n">
        <v>111</v>
      </c>
      <c r="C143" s="2" t="s">
        <v>686</v>
      </c>
      <c r="D143" s="2" t="s">
        <v>34</v>
      </c>
      <c r="E143" s="2" t="s">
        <v>873</v>
      </c>
      <c r="F143" s="2" t="s">
        <v>35</v>
      </c>
      <c r="G143" s="2" t="s">
        <v>874</v>
      </c>
      <c r="H143" s="2" t="s">
        <v>50</v>
      </c>
      <c r="I143" s="2" t="s">
        <v>875</v>
      </c>
      <c r="J143" s="2" t="s">
        <v>219</v>
      </c>
      <c r="K143" s="2" t="s">
        <v>877</v>
      </c>
      <c r="L143" s="2" t="s">
        <v>66</v>
      </c>
      <c r="M143" s="2" t="s">
        <v>724</v>
      </c>
      <c r="N143" s="2" t="s">
        <v>142</v>
      </c>
      <c r="O143" s="2" t="n">
        <v>2</v>
      </c>
      <c r="P143" s="2" t="n">
        <v>3</v>
      </c>
      <c r="Q143" s="2" t="s">
        <v>41</v>
      </c>
      <c r="R143" s="2"/>
      <c r="S143" s="2" t="s">
        <v>211</v>
      </c>
      <c r="T143" s="2" t="s">
        <v>47</v>
      </c>
      <c r="U143" s="2"/>
      <c r="V143" s="2"/>
      <c r="W143" s="2" t="s">
        <v>212</v>
      </c>
      <c r="X143" s="2" t="s">
        <v>692</v>
      </c>
      <c r="Y143" s="2" t="n">
        <f aca="false">IF(AND(OR(Query_Interface!$B$5="All",$D143=Query_Interface!$B$5),OR(Query_Interface!$B$6="All",$F143=Query_Interface!$B$6),OR(Query_Interface!$B$7="All",$H143=Query_Interface!$B$7),OR(Query_Interface!$B$8="All",$N143=Query_Interface!$B$8),OR(Query_Interface!$B$9="All",$L143=Query_Interface!$B$9),OR(Query_Interface!$B$10="All",$R143=Query_Interface!$B$10),OR(Query_Interface!$B$11="All",$T143=Query_Interface!$B$11),OR(Query_Interface!$B$12="All",$Q143=Query_Interface!$B$12)),1,0)</f>
        <v>1</v>
      </c>
      <c r="Z143" s="2" t="n">
        <f aca="false">IF($Y143=1,COUNTIF($Y$2:$Y143,1),"")</f>
        <v>142</v>
      </c>
    </row>
    <row r="144" customFormat="false" ht="35.05" hidden="false" customHeight="false" outlineLevel="0" collapsed="false">
      <c r="A144" s="2" t="s">
        <v>414</v>
      </c>
      <c r="B144" s="2" t="n">
        <v>111</v>
      </c>
      <c r="C144" s="2" t="s">
        <v>686</v>
      </c>
      <c r="D144" s="2" t="s">
        <v>34</v>
      </c>
      <c r="E144" s="2" t="s">
        <v>873</v>
      </c>
      <c r="F144" s="2" t="s">
        <v>35</v>
      </c>
      <c r="G144" s="2" t="s">
        <v>874</v>
      </c>
      <c r="H144" s="2" t="s">
        <v>50</v>
      </c>
      <c r="I144" s="2" t="s">
        <v>875</v>
      </c>
      <c r="J144" s="2" t="s">
        <v>219</v>
      </c>
      <c r="K144" s="2" t="s">
        <v>877</v>
      </c>
      <c r="L144" s="2" t="s">
        <v>66</v>
      </c>
      <c r="M144" s="2" t="s">
        <v>740</v>
      </c>
      <c r="N144" s="2" t="s">
        <v>82</v>
      </c>
      <c r="O144" s="2" t="n">
        <v>3</v>
      </c>
      <c r="P144" s="2" t="n">
        <v>3</v>
      </c>
      <c r="Q144" s="2" t="s">
        <v>41</v>
      </c>
      <c r="R144" s="2"/>
      <c r="S144" s="2" t="s">
        <v>211</v>
      </c>
      <c r="T144" s="2" t="s">
        <v>47</v>
      </c>
      <c r="U144" s="2"/>
      <c r="V144" s="2"/>
      <c r="W144" s="2" t="s">
        <v>212</v>
      </c>
      <c r="X144" s="2" t="s">
        <v>692</v>
      </c>
      <c r="Y144" s="2" t="n">
        <f aca="false">IF(AND(OR(Query_Interface!$B$5="All",$D144=Query_Interface!$B$5),OR(Query_Interface!$B$6="All",$F144=Query_Interface!$B$6),OR(Query_Interface!$B$7="All",$H144=Query_Interface!$B$7),OR(Query_Interface!$B$8="All",$N144=Query_Interface!$B$8),OR(Query_Interface!$B$9="All",$L144=Query_Interface!$B$9),OR(Query_Interface!$B$10="All",$R144=Query_Interface!$B$10),OR(Query_Interface!$B$11="All",$T144=Query_Interface!$B$11),OR(Query_Interface!$B$12="All",$Q144=Query_Interface!$B$12)),1,0)</f>
        <v>1</v>
      </c>
      <c r="Z144" s="2" t="n">
        <f aca="false">IF($Y144=1,COUNTIF($Y$2:$Y144,1),"")</f>
        <v>143</v>
      </c>
    </row>
    <row r="145" customFormat="false" ht="35.05" hidden="false" customHeight="false" outlineLevel="0" collapsed="false">
      <c r="A145" s="2" t="s">
        <v>415</v>
      </c>
      <c r="B145" s="2" t="n">
        <v>112</v>
      </c>
      <c r="C145" s="2" t="s">
        <v>686</v>
      </c>
      <c r="D145" s="2" t="s">
        <v>34</v>
      </c>
      <c r="E145" s="2" t="s">
        <v>873</v>
      </c>
      <c r="F145" s="2" t="s">
        <v>35</v>
      </c>
      <c r="G145" s="2" t="s">
        <v>874</v>
      </c>
      <c r="H145" s="2" t="s">
        <v>50</v>
      </c>
      <c r="I145" s="2" t="s">
        <v>875</v>
      </c>
      <c r="J145" s="2" t="s">
        <v>339</v>
      </c>
      <c r="K145" s="2" t="s">
        <v>878</v>
      </c>
      <c r="L145" s="2" t="s">
        <v>52</v>
      </c>
      <c r="M145" s="2" t="s">
        <v>768</v>
      </c>
      <c r="N145" s="2" t="s">
        <v>90</v>
      </c>
      <c r="O145" s="2" t="n">
        <v>1</v>
      </c>
      <c r="P145" s="2" t="n">
        <v>1</v>
      </c>
      <c r="Q145" s="2" t="s">
        <v>61</v>
      </c>
      <c r="R145" s="2"/>
      <c r="S145" s="2" t="s">
        <v>230</v>
      </c>
      <c r="T145" s="2" t="s">
        <v>47</v>
      </c>
      <c r="U145" s="2"/>
      <c r="V145" s="2"/>
      <c r="W145" s="2" t="s">
        <v>212</v>
      </c>
      <c r="X145" s="2" t="s">
        <v>692</v>
      </c>
      <c r="Y145" s="2" t="n">
        <f aca="false">IF(AND(OR(Query_Interface!$B$5="All",$D145=Query_Interface!$B$5),OR(Query_Interface!$B$6="All",$F145=Query_Interface!$B$6),OR(Query_Interface!$B$7="All",$H145=Query_Interface!$B$7),OR(Query_Interface!$B$8="All",$N145=Query_Interface!$B$8),OR(Query_Interface!$B$9="All",$L145=Query_Interface!$B$9),OR(Query_Interface!$B$10="All",$R145=Query_Interface!$B$10),OR(Query_Interface!$B$11="All",$T145=Query_Interface!$B$11),OR(Query_Interface!$B$12="All",$Q145=Query_Interface!$B$12)),1,0)</f>
        <v>1</v>
      </c>
      <c r="Z145" s="2" t="n">
        <f aca="false">IF($Y145=1,COUNTIF($Y$2:$Y145,1),"")</f>
        <v>144</v>
      </c>
    </row>
    <row r="146" customFormat="false" ht="35.05" hidden="false" customHeight="false" outlineLevel="0" collapsed="false">
      <c r="A146" s="2" t="s">
        <v>416</v>
      </c>
      <c r="B146" s="2" t="n">
        <v>113</v>
      </c>
      <c r="C146" s="2" t="s">
        <v>686</v>
      </c>
      <c r="D146" s="2" t="s">
        <v>34</v>
      </c>
      <c r="E146" s="2" t="s">
        <v>873</v>
      </c>
      <c r="F146" s="2" t="s">
        <v>35</v>
      </c>
      <c r="G146" s="2" t="s">
        <v>874</v>
      </c>
      <c r="H146" s="2" t="s">
        <v>50</v>
      </c>
      <c r="I146" s="2" t="s">
        <v>875</v>
      </c>
      <c r="J146" s="2" t="s">
        <v>417</v>
      </c>
      <c r="K146" s="2" t="s">
        <v>879</v>
      </c>
      <c r="L146" s="2" t="s">
        <v>69</v>
      </c>
      <c r="M146" s="2" t="s">
        <v>880</v>
      </c>
      <c r="N146" s="2" t="s">
        <v>107</v>
      </c>
      <c r="O146" s="2" t="n">
        <v>1</v>
      </c>
      <c r="P146" s="2" t="n">
        <v>1</v>
      </c>
      <c r="Q146" s="2" t="s">
        <v>61</v>
      </c>
      <c r="R146" s="2"/>
      <c r="S146" s="2" t="s">
        <v>230</v>
      </c>
      <c r="T146" s="2" t="s">
        <v>40</v>
      </c>
      <c r="U146" s="2"/>
      <c r="V146" s="2"/>
      <c r="W146" s="2" t="s">
        <v>212</v>
      </c>
      <c r="X146" s="2" t="s">
        <v>692</v>
      </c>
      <c r="Y146" s="2" t="n">
        <f aca="false">IF(AND(OR(Query_Interface!$B$5="All",$D146=Query_Interface!$B$5),OR(Query_Interface!$B$6="All",$F146=Query_Interface!$B$6),OR(Query_Interface!$B$7="All",$H146=Query_Interface!$B$7),OR(Query_Interface!$B$8="All",$N146=Query_Interface!$B$8),OR(Query_Interface!$B$9="All",$L146=Query_Interface!$B$9),OR(Query_Interface!$B$10="All",$R146=Query_Interface!$B$10),OR(Query_Interface!$B$11="All",$T146=Query_Interface!$B$11),OR(Query_Interface!$B$12="All",$Q146=Query_Interface!$B$12)),1,0)</f>
        <v>1</v>
      </c>
      <c r="Z146" s="2" t="n">
        <f aca="false">IF($Y146=1,COUNTIF($Y$2:$Y146,1),"")</f>
        <v>145</v>
      </c>
    </row>
    <row r="147" customFormat="false" ht="35.05" hidden="false" customHeight="false" outlineLevel="0" collapsed="false">
      <c r="A147" s="2" t="s">
        <v>418</v>
      </c>
      <c r="B147" s="2" t="n">
        <v>114</v>
      </c>
      <c r="C147" s="2" t="s">
        <v>686</v>
      </c>
      <c r="D147" s="2" t="s">
        <v>34</v>
      </c>
      <c r="E147" s="2" t="s">
        <v>873</v>
      </c>
      <c r="F147" s="2" t="s">
        <v>35</v>
      </c>
      <c r="G147" s="2" t="s">
        <v>874</v>
      </c>
      <c r="H147" s="2" t="s">
        <v>50</v>
      </c>
      <c r="I147" s="2" t="s">
        <v>875</v>
      </c>
      <c r="J147" s="2" t="s">
        <v>419</v>
      </c>
      <c r="K147" s="2" t="s">
        <v>881</v>
      </c>
      <c r="L147" s="2" t="s">
        <v>75</v>
      </c>
      <c r="M147" s="2" t="s">
        <v>806</v>
      </c>
      <c r="N147" s="2" t="s">
        <v>145</v>
      </c>
      <c r="O147" s="2" t="n">
        <v>1</v>
      </c>
      <c r="P147" s="2" t="n">
        <v>1</v>
      </c>
      <c r="Q147" s="2" t="s">
        <v>61</v>
      </c>
      <c r="R147" s="2"/>
      <c r="S147" s="2" t="s">
        <v>230</v>
      </c>
      <c r="T147" s="2" t="s">
        <v>40</v>
      </c>
      <c r="U147" s="2"/>
      <c r="V147" s="2"/>
      <c r="W147" s="2" t="s">
        <v>212</v>
      </c>
      <c r="X147" s="2" t="s">
        <v>692</v>
      </c>
      <c r="Y147" s="2" t="n">
        <f aca="false">IF(AND(OR(Query_Interface!$B$5="All",$D147=Query_Interface!$B$5),OR(Query_Interface!$B$6="All",$F147=Query_Interface!$B$6),OR(Query_Interface!$B$7="All",$H147=Query_Interface!$B$7),OR(Query_Interface!$B$8="All",$N147=Query_Interface!$B$8),OR(Query_Interface!$B$9="All",$L147=Query_Interface!$B$9),OR(Query_Interface!$B$10="All",$R147=Query_Interface!$B$10),OR(Query_Interface!$B$11="All",$T147=Query_Interface!$B$11),OR(Query_Interface!$B$12="All",$Q147=Query_Interface!$B$12)),1,0)</f>
        <v>1</v>
      </c>
      <c r="Z147" s="2" t="n">
        <f aca="false">IF($Y147=1,COUNTIF($Y$2:$Y147,1),"")</f>
        <v>146</v>
      </c>
    </row>
    <row r="148" customFormat="false" ht="46.25" hidden="false" customHeight="false" outlineLevel="0" collapsed="false">
      <c r="A148" s="2" t="s">
        <v>420</v>
      </c>
      <c r="B148" s="2" t="n">
        <v>115</v>
      </c>
      <c r="C148" s="2" t="s">
        <v>686</v>
      </c>
      <c r="D148" s="2" t="s">
        <v>34</v>
      </c>
      <c r="E148" s="2" t="s">
        <v>873</v>
      </c>
      <c r="F148" s="2" t="s">
        <v>35</v>
      </c>
      <c r="G148" s="2" t="s">
        <v>874</v>
      </c>
      <c r="H148" s="2" t="s">
        <v>50</v>
      </c>
      <c r="I148" s="2" t="s">
        <v>875</v>
      </c>
      <c r="J148" s="2" t="s">
        <v>421</v>
      </c>
      <c r="K148" s="2" t="s">
        <v>882</v>
      </c>
      <c r="L148" s="2" t="s">
        <v>75</v>
      </c>
      <c r="M148" s="2" t="s">
        <v>883</v>
      </c>
      <c r="N148" s="2" t="s">
        <v>146</v>
      </c>
      <c r="O148" s="2" t="n">
        <v>1</v>
      </c>
      <c r="P148" s="2" t="n">
        <v>2</v>
      </c>
      <c r="Q148" s="2" t="s">
        <v>41</v>
      </c>
      <c r="R148" s="2"/>
      <c r="S148" s="2" t="s">
        <v>215</v>
      </c>
      <c r="T148" s="2" t="s">
        <v>40</v>
      </c>
      <c r="U148" s="2"/>
      <c r="V148" s="2"/>
      <c r="W148" s="2" t="s">
        <v>212</v>
      </c>
      <c r="X148" s="2" t="s">
        <v>692</v>
      </c>
      <c r="Y148" s="2" t="n">
        <f aca="false">IF(AND(OR(Query_Interface!$B$5="All",$D148=Query_Interface!$B$5),OR(Query_Interface!$B$6="All",$F148=Query_Interface!$B$6),OR(Query_Interface!$B$7="All",$H148=Query_Interface!$B$7),OR(Query_Interface!$B$8="All",$N148=Query_Interface!$B$8),OR(Query_Interface!$B$9="All",$L148=Query_Interface!$B$9),OR(Query_Interface!$B$10="All",$R148=Query_Interface!$B$10),OR(Query_Interface!$B$11="All",$T148=Query_Interface!$B$11),OR(Query_Interface!$B$12="All",$Q148=Query_Interface!$B$12)),1,0)</f>
        <v>1</v>
      </c>
      <c r="Z148" s="2" t="n">
        <f aca="false">IF($Y148=1,COUNTIF($Y$2:$Y148,1),"")</f>
        <v>147</v>
      </c>
    </row>
    <row r="149" customFormat="false" ht="46.25" hidden="false" customHeight="false" outlineLevel="0" collapsed="false">
      <c r="A149" s="2" t="s">
        <v>420</v>
      </c>
      <c r="B149" s="2" t="n">
        <v>115</v>
      </c>
      <c r="C149" s="2" t="s">
        <v>686</v>
      </c>
      <c r="D149" s="2" t="s">
        <v>34</v>
      </c>
      <c r="E149" s="2" t="s">
        <v>873</v>
      </c>
      <c r="F149" s="2" t="s">
        <v>35</v>
      </c>
      <c r="G149" s="2" t="s">
        <v>874</v>
      </c>
      <c r="H149" s="2" t="s">
        <v>50</v>
      </c>
      <c r="I149" s="2" t="s">
        <v>875</v>
      </c>
      <c r="J149" s="2" t="s">
        <v>421</v>
      </c>
      <c r="K149" s="2" t="s">
        <v>882</v>
      </c>
      <c r="L149" s="2" t="s">
        <v>75</v>
      </c>
      <c r="M149" s="2" t="s">
        <v>884</v>
      </c>
      <c r="N149" s="2" t="s">
        <v>148</v>
      </c>
      <c r="O149" s="2" t="n">
        <v>2</v>
      </c>
      <c r="P149" s="2" t="n">
        <v>2</v>
      </c>
      <c r="Q149" s="2" t="s">
        <v>41</v>
      </c>
      <c r="R149" s="2"/>
      <c r="S149" s="2" t="s">
        <v>215</v>
      </c>
      <c r="T149" s="2" t="s">
        <v>40</v>
      </c>
      <c r="U149" s="2"/>
      <c r="V149" s="2"/>
      <c r="W149" s="2" t="s">
        <v>212</v>
      </c>
      <c r="X149" s="2" t="s">
        <v>692</v>
      </c>
      <c r="Y149" s="2" t="n">
        <f aca="false">IF(AND(OR(Query_Interface!$B$5="All",$D149=Query_Interface!$B$5),OR(Query_Interface!$B$6="All",$F149=Query_Interface!$B$6),OR(Query_Interface!$B$7="All",$H149=Query_Interface!$B$7),OR(Query_Interface!$B$8="All",$N149=Query_Interface!$B$8),OR(Query_Interface!$B$9="All",$L149=Query_Interface!$B$9),OR(Query_Interface!$B$10="All",$R149=Query_Interface!$B$10),OR(Query_Interface!$B$11="All",$T149=Query_Interface!$B$11),OR(Query_Interface!$B$12="All",$Q149=Query_Interface!$B$12)),1,0)</f>
        <v>1</v>
      </c>
      <c r="Z149" s="2" t="n">
        <f aca="false">IF($Y149=1,COUNTIF($Y$2:$Y149,1),"")</f>
        <v>148</v>
      </c>
    </row>
    <row r="150" customFormat="false" ht="35.05" hidden="false" customHeight="false" outlineLevel="0" collapsed="false">
      <c r="A150" s="2" t="s">
        <v>422</v>
      </c>
      <c r="B150" s="2" t="n">
        <v>116</v>
      </c>
      <c r="C150" s="2" t="s">
        <v>686</v>
      </c>
      <c r="D150" s="2" t="s">
        <v>34</v>
      </c>
      <c r="E150" s="2" t="s">
        <v>873</v>
      </c>
      <c r="F150" s="2" t="s">
        <v>35</v>
      </c>
      <c r="G150" s="2" t="s">
        <v>874</v>
      </c>
      <c r="H150" s="2" t="s">
        <v>50</v>
      </c>
      <c r="I150" s="2" t="s">
        <v>875</v>
      </c>
      <c r="J150" s="2" t="s">
        <v>232</v>
      </c>
      <c r="K150" s="2" t="s">
        <v>885</v>
      </c>
      <c r="L150" s="2" t="s">
        <v>45</v>
      </c>
      <c r="M150" s="2" t="s">
        <v>886</v>
      </c>
      <c r="N150" s="2" t="s">
        <v>423</v>
      </c>
      <c r="O150" s="2" t="n">
        <v>1</v>
      </c>
      <c r="P150" s="2" t="n">
        <v>0</v>
      </c>
      <c r="Q150" s="2" t="s">
        <v>55</v>
      </c>
      <c r="R150" s="2"/>
      <c r="S150" s="2" t="s">
        <v>230</v>
      </c>
      <c r="T150" s="2" t="s">
        <v>47</v>
      </c>
      <c r="U150" s="2"/>
      <c r="V150" s="2"/>
      <c r="W150" s="2" t="s">
        <v>212</v>
      </c>
      <c r="X150" s="2" t="s">
        <v>692</v>
      </c>
      <c r="Y150" s="2" t="n">
        <f aca="false">IF(AND(OR(Query_Interface!$B$5="All",$D150=Query_Interface!$B$5),OR(Query_Interface!$B$6="All",$F150=Query_Interface!$B$6),OR(Query_Interface!$B$7="All",$H150=Query_Interface!$B$7),OR(Query_Interface!$B$8="All",$N150=Query_Interface!$B$8),OR(Query_Interface!$B$9="All",$L150=Query_Interface!$B$9),OR(Query_Interface!$B$10="All",$R150=Query_Interface!$B$10),OR(Query_Interface!$B$11="All",$T150=Query_Interface!$B$11),OR(Query_Interface!$B$12="All",$Q150=Query_Interface!$B$12)),1,0)</f>
        <v>1</v>
      </c>
      <c r="Z150" s="2" t="n">
        <f aca="false">IF($Y150=1,COUNTIF($Y$2:$Y150,1),"")</f>
        <v>149</v>
      </c>
    </row>
    <row r="151" customFormat="false" ht="35.05" hidden="false" customHeight="false" outlineLevel="0" collapsed="false">
      <c r="A151" s="2" t="s">
        <v>424</v>
      </c>
      <c r="B151" s="2" t="n">
        <v>117</v>
      </c>
      <c r="C151" s="2" t="s">
        <v>686</v>
      </c>
      <c r="D151" s="2" t="s">
        <v>34</v>
      </c>
      <c r="E151" s="2" t="s">
        <v>873</v>
      </c>
      <c r="F151" s="2" t="s">
        <v>35</v>
      </c>
      <c r="G151" s="2" t="s">
        <v>874</v>
      </c>
      <c r="H151" s="2" t="s">
        <v>50</v>
      </c>
      <c r="I151" s="2" t="s">
        <v>875</v>
      </c>
      <c r="J151" s="2" t="s">
        <v>425</v>
      </c>
      <c r="K151" s="2" t="s">
        <v>887</v>
      </c>
      <c r="L151" s="2" t="s">
        <v>69</v>
      </c>
      <c r="M151" s="2" t="s">
        <v>825</v>
      </c>
      <c r="N151" s="2" t="s">
        <v>110</v>
      </c>
      <c r="O151" s="2" t="n">
        <v>1</v>
      </c>
      <c r="P151" s="2" t="n">
        <v>1</v>
      </c>
      <c r="Q151" s="2" t="s">
        <v>61</v>
      </c>
      <c r="R151" s="2"/>
      <c r="S151" s="2" t="s">
        <v>211</v>
      </c>
      <c r="T151" s="2" t="s">
        <v>40</v>
      </c>
      <c r="U151" s="2"/>
      <c r="V151" s="2"/>
      <c r="W151" s="2" t="s">
        <v>212</v>
      </c>
      <c r="X151" s="2" t="s">
        <v>692</v>
      </c>
      <c r="Y151" s="2" t="n">
        <f aca="false">IF(AND(OR(Query_Interface!$B$5="All",$D151=Query_Interface!$B$5),OR(Query_Interface!$B$6="All",$F151=Query_Interface!$B$6),OR(Query_Interface!$B$7="All",$H151=Query_Interface!$B$7),OR(Query_Interface!$B$8="All",$N151=Query_Interface!$B$8),OR(Query_Interface!$B$9="All",$L151=Query_Interface!$B$9),OR(Query_Interface!$B$10="All",$R151=Query_Interface!$B$10),OR(Query_Interface!$B$11="All",$T151=Query_Interface!$B$11),OR(Query_Interface!$B$12="All",$Q151=Query_Interface!$B$12)),1,0)</f>
        <v>1</v>
      </c>
      <c r="Z151" s="2" t="n">
        <f aca="false">IF($Y151=1,COUNTIF($Y$2:$Y151,1),"")</f>
        <v>150</v>
      </c>
    </row>
    <row r="152" customFormat="false" ht="35.05" hidden="false" customHeight="false" outlineLevel="0" collapsed="false">
      <c r="A152" s="2" t="s">
        <v>426</v>
      </c>
      <c r="B152" s="2" t="n">
        <v>118</v>
      </c>
      <c r="C152" s="2" t="s">
        <v>686</v>
      </c>
      <c r="D152" s="2" t="s">
        <v>34</v>
      </c>
      <c r="E152" s="2" t="s">
        <v>873</v>
      </c>
      <c r="F152" s="2" t="s">
        <v>35</v>
      </c>
      <c r="G152" s="2" t="s">
        <v>874</v>
      </c>
      <c r="H152" s="2" t="s">
        <v>50</v>
      </c>
      <c r="I152" s="2" t="s">
        <v>875</v>
      </c>
      <c r="J152" s="2" t="s">
        <v>251</v>
      </c>
      <c r="K152" s="2" t="s">
        <v>888</v>
      </c>
      <c r="L152" s="2" t="s">
        <v>75</v>
      </c>
      <c r="M152" s="2" t="s">
        <v>726</v>
      </c>
      <c r="N152" s="2" t="s">
        <v>134</v>
      </c>
      <c r="O152" s="2" t="n">
        <v>1</v>
      </c>
      <c r="P152" s="2" t="n">
        <v>1</v>
      </c>
      <c r="Q152" s="2" t="s">
        <v>61</v>
      </c>
      <c r="R152" s="2"/>
      <c r="S152" s="2" t="s">
        <v>233</v>
      </c>
      <c r="T152" s="2" t="s">
        <v>40</v>
      </c>
      <c r="U152" s="2"/>
      <c r="V152" s="2"/>
      <c r="W152" s="2" t="s">
        <v>212</v>
      </c>
      <c r="X152" s="2" t="s">
        <v>692</v>
      </c>
      <c r="Y152" s="2" t="n">
        <f aca="false">IF(AND(OR(Query_Interface!$B$5="All",$D152=Query_Interface!$B$5),OR(Query_Interface!$B$6="All",$F152=Query_Interface!$B$6),OR(Query_Interface!$B$7="All",$H152=Query_Interface!$B$7),OR(Query_Interface!$B$8="All",$N152=Query_Interface!$B$8),OR(Query_Interface!$B$9="All",$L152=Query_Interface!$B$9),OR(Query_Interface!$B$10="All",$R152=Query_Interface!$B$10),OR(Query_Interface!$B$11="All",$T152=Query_Interface!$B$11),OR(Query_Interface!$B$12="All",$Q152=Query_Interface!$B$12)),1,0)</f>
        <v>1</v>
      </c>
      <c r="Z152" s="2" t="n">
        <f aca="false">IF($Y152=1,COUNTIF($Y$2:$Y152,1),"")</f>
        <v>151</v>
      </c>
    </row>
    <row r="153" customFormat="false" ht="35.05" hidden="false" customHeight="false" outlineLevel="0" collapsed="false">
      <c r="A153" s="2" t="s">
        <v>427</v>
      </c>
      <c r="B153" s="2" t="n">
        <v>119</v>
      </c>
      <c r="C153" s="2" t="s">
        <v>686</v>
      </c>
      <c r="D153" s="2" t="s">
        <v>34</v>
      </c>
      <c r="E153" s="2" t="s">
        <v>873</v>
      </c>
      <c r="F153" s="2" t="s">
        <v>35</v>
      </c>
      <c r="G153" s="2" t="s">
        <v>874</v>
      </c>
      <c r="H153" s="2" t="s">
        <v>50</v>
      </c>
      <c r="I153" s="2" t="s">
        <v>875</v>
      </c>
      <c r="J153" s="2" t="s">
        <v>428</v>
      </c>
      <c r="K153" s="2" t="s">
        <v>889</v>
      </c>
      <c r="L153" s="2" t="s">
        <v>58</v>
      </c>
      <c r="M153" s="2" t="s">
        <v>828</v>
      </c>
      <c r="N153" s="2" t="s">
        <v>51</v>
      </c>
      <c r="O153" s="2" t="n">
        <v>1</v>
      </c>
      <c r="P153" s="2" t="n">
        <v>2</v>
      </c>
      <c r="Q153" s="2" t="s">
        <v>41</v>
      </c>
      <c r="R153" s="2"/>
      <c r="S153" s="2" t="s">
        <v>230</v>
      </c>
      <c r="T153" s="2" t="s">
        <v>47</v>
      </c>
      <c r="U153" s="2"/>
      <c r="V153" s="2"/>
      <c r="W153" s="2" t="s">
        <v>212</v>
      </c>
      <c r="X153" s="2" t="s">
        <v>692</v>
      </c>
      <c r="Y153" s="2" t="n">
        <f aca="false">IF(AND(OR(Query_Interface!$B$5="All",$D153=Query_Interface!$B$5),OR(Query_Interface!$B$6="All",$F153=Query_Interface!$B$6),OR(Query_Interface!$B$7="All",$H153=Query_Interface!$B$7),OR(Query_Interface!$B$8="All",$N153=Query_Interface!$B$8),OR(Query_Interface!$B$9="All",$L153=Query_Interface!$B$9),OR(Query_Interface!$B$10="All",$R153=Query_Interface!$B$10),OR(Query_Interface!$B$11="All",$T153=Query_Interface!$B$11),OR(Query_Interface!$B$12="All",$Q153=Query_Interface!$B$12)),1,0)</f>
        <v>1</v>
      </c>
      <c r="Z153" s="2" t="n">
        <f aca="false">IF($Y153=1,COUNTIF($Y$2:$Y153,1),"")</f>
        <v>152</v>
      </c>
    </row>
    <row r="154" customFormat="false" ht="35.05" hidden="false" customHeight="false" outlineLevel="0" collapsed="false">
      <c r="A154" s="2" t="s">
        <v>427</v>
      </c>
      <c r="B154" s="2" t="n">
        <v>119</v>
      </c>
      <c r="C154" s="2" t="s">
        <v>686</v>
      </c>
      <c r="D154" s="2" t="s">
        <v>34</v>
      </c>
      <c r="E154" s="2" t="s">
        <v>873</v>
      </c>
      <c r="F154" s="2" t="s">
        <v>35</v>
      </c>
      <c r="G154" s="2" t="s">
        <v>874</v>
      </c>
      <c r="H154" s="2" t="s">
        <v>50</v>
      </c>
      <c r="I154" s="2" t="s">
        <v>875</v>
      </c>
      <c r="J154" s="2" t="s">
        <v>428</v>
      </c>
      <c r="K154" s="2" t="s">
        <v>889</v>
      </c>
      <c r="L154" s="2" t="s">
        <v>58</v>
      </c>
      <c r="M154" s="2" t="s">
        <v>884</v>
      </c>
      <c r="N154" s="2" t="s">
        <v>148</v>
      </c>
      <c r="O154" s="2" t="n">
        <v>2</v>
      </c>
      <c r="P154" s="2" t="n">
        <v>2</v>
      </c>
      <c r="Q154" s="2" t="s">
        <v>41</v>
      </c>
      <c r="R154" s="2"/>
      <c r="S154" s="2" t="s">
        <v>230</v>
      </c>
      <c r="T154" s="2" t="s">
        <v>47</v>
      </c>
      <c r="U154" s="2"/>
      <c r="V154" s="2"/>
      <c r="W154" s="2" t="s">
        <v>212</v>
      </c>
      <c r="X154" s="2" t="s">
        <v>692</v>
      </c>
      <c r="Y154" s="2" t="n">
        <f aca="false">IF(AND(OR(Query_Interface!$B$5="All",$D154=Query_Interface!$B$5),OR(Query_Interface!$B$6="All",$F154=Query_Interface!$B$6),OR(Query_Interface!$B$7="All",$H154=Query_Interface!$B$7),OR(Query_Interface!$B$8="All",$N154=Query_Interface!$B$8),OR(Query_Interface!$B$9="All",$L154=Query_Interface!$B$9),OR(Query_Interface!$B$10="All",$R154=Query_Interface!$B$10),OR(Query_Interface!$B$11="All",$T154=Query_Interface!$B$11),OR(Query_Interface!$B$12="All",$Q154=Query_Interface!$B$12)),1,0)</f>
        <v>1</v>
      </c>
      <c r="Z154" s="2" t="n">
        <f aca="false">IF($Y154=1,COUNTIF($Y$2:$Y154,1),"")</f>
        <v>153</v>
      </c>
    </row>
    <row r="155" customFormat="false" ht="35.05" hidden="false" customHeight="false" outlineLevel="0" collapsed="false">
      <c r="A155" s="2" t="s">
        <v>429</v>
      </c>
      <c r="B155" s="2" t="n">
        <v>120</v>
      </c>
      <c r="C155" s="2" t="s">
        <v>686</v>
      </c>
      <c r="D155" s="2" t="s">
        <v>34</v>
      </c>
      <c r="E155" s="2" t="s">
        <v>873</v>
      </c>
      <c r="F155" s="2" t="s">
        <v>35</v>
      </c>
      <c r="G155" s="2" t="s">
        <v>874</v>
      </c>
      <c r="H155" s="2" t="s">
        <v>50</v>
      </c>
      <c r="I155" s="2" t="s">
        <v>875</v>
      </c>
      <c r="J155" s="2" t="s">
        <v>259</v>
      </c>
      <c r="K155" s="2" t="s">
        <v>890</v>
      </c>
      <c r="L155" s="2" t="s">
        <v>38</v>
      </c>
      <c r="M155" s="2" t="s">
        <v>734</v>
      </c>
      <c r="N155" s="2" t="s">
        <v>87</v>
      </c>
      <c r="O155" s="2" t="n">
        <v>1</v>
      </c>
      <c r="P155" s="2" t="n">
        <v>1</v>
      </c>
      <c r="Q155" s="2" t="s">
        <v>61</v>
      </c>
      <c r="R155" s="2"/>
      <c r="S155" s="2" t="s">
        <v>230</v>
      </c>
      <c r="T155" s="2" t="s">
        <v>47</v>
      </c>
      <c r="U155" s="2"/>
      <c r="V155" s="2"/>
      <c r="W155" s="2" t="s">
        <v>212</v>
      </c>
      <c r="X155" s="2" t="s">
        <v>692</v>
      </c>
      <c r="Y155" s="2" t="n">
        <f aca="false">IF(AND(OR(Query_Interface!$B$5="All",$D155=Query_Interface!$B$5),OR(Query_Interface!$B$6="All",$F155=Query_Interface!$B$6),OR(Query_Interface!$B$7="All",$H155=Query_Interface!$B$7),OR(Query_Interface!$B$8="All",$N155=Query_Interface!$B$8),OR(Query_Interface!$B$9="All",$L155=Query_Interface!$B$9),OR(Query_Interface!$B$10="All",$R155=Query_Interface!$B$10),OR(Query_Interface!$B$11="All",$T155=Query_Interface!$B$11),OR(Query_Interface!$B$12="All",$Q155=Query_Interface!$B$12)),1,0)</f>
        <v>1</v>
      </c>
      <c r="Z155" s="2" t="n">
        <f aca="false">IF($Y155=1,COUNTIF($Y$2:$Y155,1),"")</f>
        <v>154</v>
      </c>
    </row>
    <row r="156" customFormat="false" ht="35.05" hidden="false" customHeight="false" outlineLevel="0" collapsed="false">
      <c r="A156" s="2" t="s">
        <v>430</v>
      </c>
      <c r="B156" s="2" t="n">
        <v>121</v>
      </c>
      <c r="C156" s="2" t="s">
        <v>686</v>
      </c>
      <c r="D156" s="2" t="s">
        <v>34</v>
      </c>
      <c r="E156" s="2" t="s">
        <v>873</v>
      </c>
      <c r="F156" s="2" t="s">
        <v>35</v>
      </c>
      <c r="G156" s="2" t="s">
        <v>874</v>
      </c>
      <c r="H156" s="2" t="s">
        <v>50</v>
      </c>
      <c r="I156" s="2" t="s">
        <v>875</v>
      </c>
      <c r="J156" s="2" t="s">
        <v>261</v>
      </c>
      <c r="K156" s="2" t="s">
        <v>891</v>
      </c>
      <c r="L156" s="2" t="s">
        <v>38</v>
      </c>
      <c r="M156" s="2" t="s">
        <v>736</v>
      </c>
      <c r="N156" s="2" t="s">
        <v>85</v>
      </c>
      <c r="O156" s="2" t="n">
        <v>1</v>
      </c>
      <c r="P156" s="2" t="n">
        <v>1</v>
      </c>
      <c r="Q156" s="2" t="s">
        <v>61</v>
      </c>
      <c r="R156" s="2"/>
      <c r="S156" s="2" t="s">
        <v>215</v>
      </c>
      <c r="T156" s="2" t="s">
        <v>47</v>
      </c>
      <c r="U156" s="2"/>
      <c r="V156" s="2"/>
      <c r="W156" s="2" t="s">
        <v>212</v>
      </c>
      <c r="X156" s="2" t="s">
        <v>692</v>
      </c>
      <c r="Y156" s="2" t="n">
        <f aca="false">IF(AND(OR(Query_Interface!$B$5="All",$D156=Query_Interface!$B$5),OR(Query_Interface!$B$6="All",$F156=Query_Interface!$B$6),OR(Query_Interface!$B$7="All",$H156=Query_Interface!$B$7),OR(Query_Interface!$B$8="All",$N156=Query_Interface!$B$8),OR(Query_Interface!$B$9="All",$L156=Query_Interface!$B$9),OR(Query_Interface!$B$10="All",$R156=Query_Interface!$B$10),OR(Query_Interface!$B$11="All",$T156=Query_Interface!$B$11),OR(Query_Interface!$B$12="All",$Q156=Query_Interface!$B$12)),1,0)</f>
        <v>1</v>
      </c>
      <c r="Z156" s="2" t="n">
        <f aca="false">IF($Y156=1,COUNTIF($Y$2:$Y156,1),"")</f>
        <v>155</v>
      </c>
    </row>
    <row r="157" customFormat="false" ht="35.05" hidden="false" customHeight="false" outlineLevel="0" collapsed="false">
      <c r="A157" s="2" t="s">
        <v>431</v>
      </c>
      <c r="B157" s="2" t="n">
        <v>122</v>
      </c>
      <c r="C157" s="2" t="s">
        <v>686</v>
      </c>
      <c r="D157" s="2" t="s">
        <v>34</v>
      </c>
      <c r="E157" s="2" t="s">
        <v>873</v>
      </c>
      <c r="F157" s="2" t="s">
        <v>35</v>
      </c>
      <c r="G157" s="2" t="s">
        <v>874</v>
      </c>
      <c r="H157" s="2" t="s">
        <v>50</v>
      </c>
      <c r="I157" s="2" t="s">
        <v>875</v>
      </c>
      <c r="J157" s="2" t="s">
        <v>359</v>
      </c>
      <c r="K157" s="2" t="s">
        <v>892</v>
      </c>
      <c r="L157" s="2" t="s">
        <v>75</v>
      </c>
      <c r="M157" s="2" t="s">
        <v>798</v>
      </c>
      <c r="N157" s="2" t="s">
        <v>140</v>
      </c>
      <c r="O157" s="2" t="n">
        <v>1</v>
      </c>
      <c r="P157" s="2" t="n">
        <v>1</v>
      </c>
      <c r="Q157" s="2" t="s">
        <v>61</v>
      </c>
      <c r="R157" s="2"/>
      <c r="S157" s="2" t="s">
        <v>233</v>
      </c>
      <c r="T157" s="2" t="s">
        <v>40</v>
      </c>
      <c r="U157" s="2"/>
      <c r="V157" s="2"/>
      <c r="W157" s="2" t="s">
        <v>212</v>
      </c>
      <c r="X157" s="2" t="s">
        <v>692</v>
      </c>
      <c r="Y157" s="2" t="n">
        <f aca="false">IF(AND(OR(Query_Interface!$B$5="All",$D157=Query_Interface!$B$5),OR(Query_Interface!$B$6="All",$F157=Query_Interface!$B$6),OR(Query_Interface!$B$7="All",$H157=Query_Interface!$B$7),OR(Query_Interface!$B$8="All",$N157=Query_Interface!$B$8),OR(Query_Interface!$B$9="All",$L157=Query_Interface!$B$9),OR(Query_Interface!$B$10="All",$R157=Query_Interface!$B$10),OR(Query_Interface!$B$11="All",$T157=Query_Interface!$B$11),OR(Query_Interface!$B$12="All",$Q157=Query_Interface!$B$12)),1,0)</f>
        <v>1</v>
      </c>
      <c r="Z157" s="2" t="n">
        <f aca="false">IF($Y157=1,COUNTIF($Y$2:$Y157,1),"")</f>
        <v>156</v>
      </c>
    </row>
    <row r="158" customFormat="false" ht="35.05" hidden="false" customHeight="false" outlineLevel="0" collapsed="false">
      <c r="A158" s="2" t="s">
        <v>432</v>
      </c>
      <c r="B158" s="2" t="n">
        <v>123</v>
      </c>
      <c r="C158" s="2" t="s">
        <v>686</v>
      </c>
      <c r="D158" s="2" t="s">
        <v>34</v>
      </c>
      <c r="E158" s="2" t="s">
        <v>873</v>
      </c>
      <c r="F158" s="2" t="s">
        <v>35</v>
      </c>
      <c r="G158" s="2" t="s">
        <v>874</v>
      </c>
      <c r="H158" s="2" t="s">
        <v>50</v>
      </c>
      <c r="I158" s="2" t="s">
        <v>875</v>
      </c>
      <c r="J158" s="2" t="s">
        <v>433</v>
      </c>
      <c r="K158" s="2" t="s">
        <v>893</v>
      </c>
      <c r="L158" s="2" t="s">
        <v>73</v>
      </c>
      <c r="M158" s="2" t="s">
        <v>744</v>
      </c>
      <c r="N158" s="2" t="s">
        <v>131</v>
      </c>
      <c r="O158" s="2" t="n">
        <v>1</v>
      </c>
      <c r="P158" s="2" t="n">
        <v>1</v>
      </c>
      <c r="Q158" s="2" t="s">
        <v>61</v>
      </c>
      <c r="R158" s="2"/>
      <c r="S158" s="2" t="s">
        <v>233</v>
      </c>
      <c r="T158" s="2" t="s">
        <v>47</v>
      </c>
      <c r="U158" s="2"/>
      <c r="V158" s="2"/>
      <c r="W158" s="2" t="s">
        <v>212</v>
      </c>
      <c r="X158" s="2" t="s">
        <v>692</v>
      </c>
      <c r="Y158" s="2" t="n">
        <f aca="false">IF(AND(OR(Query_Interface!$B$5="All",$D158=Query_Interface!$B$5),OR(Query_Interface!$B$6="All",$F158=Query_Interface!$B$6),OR(Query_Interface!$B$7="All",$H158=Query_Interface!$B$7),OR(Query_Interface!$B$8="All",$N158=Query_Interface!$B$8),OR(Query_Interface!$B$9="All",$L158=Query_Interface!$B$9),OR(Query_Interface!$B$10="All",$R158=Query_Interface!$B$10),OR(Query_Interface!$B$11="All",$T158=Query_Interface!$B$11),OR(Query_Interface!$B$12="All",$Q158=Query_Interface!$B$12)),1,0)</f>
        <v>1</v>
      </c>
      <c r="Z158" s="2" t="n">
        <f aca="false">IF($Y158=1,COUNTIF($Y$2:$Y158,1),"")</f>
        <v>157</v>
      </c>
    </row>
    <row r="159" customFormat="false" ht="35.05" hidden="false" customHeight="false" outlineLevel="0" collapsed="false">
      <c r="A159" s="2" t="s">
        <v>434</v>
      </c>
      <c r="B159" s="2" t="n">
        <v>124</v>
      </c>
      <c r="C159" s="2" t="s">
        <v>686</v>
      </c>
      <c r="D159" s="2" t="s">
        <v>34</v>
      </c>
      <c r="E159" s="2" t="s">
        <v>873</v>
      </c>
      <c r="F159" s="2" t="s">
        <v>35</v>
      </c>
      <c r="G159" s="2" t="s">
        <v>874</v>
      </c>
      <c r="H159" s="2" t="s">
        <v>50</v>
      </c>
      <c r="I159" s="2" t="s">
        <v>875</v>
      </c>
      <c r="J159" s="2" t="s">
        <v>277</v>
      </c>
      <c r="K159" s="2" t="s">
        <v>894</v>
      </c>
      <c r="L159" s="2" t="s">
        <v>69</v>
      </c>
      <c r="M159" s="2" t="s">
        <v>762</v>
      </c>
      <c r="N159" s="2" t="s">
        <v>108</v>
      </c>
      <c r="O159" s="2" t="n">
        <v>1</v>
      </c>
      <c r="P159" s="2" t="n">
        <v>2</v>
      </c>
      <c r="Q159" s="2" t="s">
        <v>41</v>
      </c>
      <c r="R159" s="2"/>
      <c r="S159" s="2" t="s">
        <v>211</v>
      </c>
      <c r="T159" s="2" t="s">
        <v>40</v>
      </c>
      <c r="U159" s="2"/>
      <c r="V159" s="2"/>
      <c r="W159" s="2" t="s">
        <v>212</v>
      </c>
      <c r="X159" s="2" t="s">
        <v>692</v>
      </c>
      <c r="Y159" s="2" t="n">
        <f aca="false">IF(AND(OR(Query_Interface!$B$5="All",$D159=Query_Interface!$B$5),OR(Query_Interface!$B$6="All",$F159=Query_Interface!$B$6),OR(Query_Interface!$B$7="All",$H159=Query_Interface!$B$7),OR(Query_Interface!$B$8="All",$N159=Query_Interface!$B$8),OR(Query_Interface!$B$9="All",$L159=Query_Interface!$B$9),OR(Query_Interface!$B$10="All",$R159=Query_Interface!$B$10),OR(Query_Interface!$B$11="All",$T159=Query_Interface!$B$11),OR(Query_Interface!$B$12="All",$Q159=Query_Interface!$B$12)),1,0)</f>
        <v>1</v>
      </c>
      <c r="Z159" s="2" t="n">
        <f aca="false">IF($Y159=1,COUNTIF($Y$2:$Y159,1),"")</f>
        <v>158</v>
      </c>
    </row>
    <row r="160" customFormat="false" ht="35.05" hidden="false" customHeight="false" outlineLevel="0" collapsed="false">
      <c r="A160" s="2" t="s">
        <v>434</v>
      </c>
      <c r="B160" s="2" t="n">
        <v>124</v>
      </c>
      <c r="C160" s="2" t="s">
        <v>686</v>
      </c>
      <c r="D160" s="2" t="s">
        <v>34</v>
      </c>
      <c r="E160" s="2" t="s">
        <v>873</v>
      </c>
      <c r="F160" s="2" t="s">
        <v>35</v>
      </c>
      <c r="G160" s="2" t="s">
        <v>874</v>
      </c>
      <c r="H160" s="2" t="s">
        <v>50</v>
      </c>
      <c r="I160" s="2" t="s">
        <v>875</v>
      </c>
      <c r="J160" s="2" t="s">
        <v>277</v>
      </c>
      <c r="K160" s="2" t="s">
        <v>894</v>
      </c>
      <c r="L160" s="2" t="s">
        <v>69</v>
      </c>
      <c r="M160" s="2" t="s">
        <v>754</v>
      </c>
      <c r="N160" s="2" t="s">
        <v>124</v>
      </c>
      <c r="O160" s="2" t="n">
        <v>2</v>
      </c>
      <c r="P160" s="2" t="n">
        <v>2</v>
      </c>
      <c r="Q160" s="2" t="s">
        <v>41</v>
      </c>
      <c r="R160" s="2"/>
      <c r="S160" s="2" t="s">
        <v>211</v>
      </c>
      <c r="T160" s="2" t="s">
        <v>40</v>
      </c>
      <c r="U160" s="2"/>
      <c r="V160" s="2"/>
      <c r="W160" s="2" t="s">
        <v>212</v>
      </c>
      <c r="X160" s="2" t="s">
        <v>692</v>
      </c>
      <c r="Y160" s="2" t="n">
        <f aca="false">IF(AND(OR(Query_Interface!$B$5="All",$D160=Query_Interface!$B$5),OR(Query_Interface!$B$6="All",$F160=Query_Interface!$B$6),OR(Query_Interface!$B$7="All",$H160=Query_Interface!$B$7),OR(Query_Interface!$B$8="All",$N160=Query_Interface!$B$8),OR(Query_Interface!$B$9="All",$L160=Query_Interface!$B$9),OR(Query_Interface!$B$10="All",$R160=Query_Interface!$B$10),OR(Query_Interface!$B$11="All",$T160=Query_Interface!$B$11),OR(Query_Interface!$B$12="All",$Q160=Query_Interface!$B$12)),1,0)</f>
        <v>1</v>
      </c>
      <c r="Z160" s="2" t="n">
        <f aca="false">IF($Y160=1,COUNTIF($Y$2:$Y160,1),"")</f>
        <v>159</v>
      </c>
    </row>
    <row r="161" customFormat="false" ht="35.05" hidden="false" customHeight="false" outlineLevel="0" collapsed="false">
      <c r="A161" s="2" t="s">
        <v>435</v>
      </c>
      <c r="B161" s="2" t="n">
        <v>125</v>
      </c>
      <c r="C161" s="2" t="s">
        <v>686</v>
      </c>
      <c r="D161" s="2" t="s">
        <v>34</v>
      </c>
      <c r="E161" s="2" t="s">
        <v>873</v>
      </c>
      <c r="F161" s="2" t="s">
        <v>35</v>
      </c>
      <c r="G161" s="2" t="s">
        <v>874</v>
      </c>
      <c r="H161" s="2" t="s">
        <v>50</v>
      </c>
      <c r="I161" s="2" t="s">
        <v>875</v>
      </c>
      <c r="J161" s="2" t="s">
        <v>436</v>
      </c>
      <c r="K161" s="2" t="s">
        <v>895</v>
      </c>
      <c r="L161" s="2" t="s">
        <v>58</v>
      </c>
      <c r="M161" s="2" t="s">
        <v>795</v>
      </c>
      <c r="N161" s="2" t="s">
        <v>97</v>
      </c>
      <c r="O161" s="2" t="n">
        <v>1</v>
      </c>
      <c r="P161" s="2" t="n">
        <v>1</v>
      </c>
      <c r="Q161" s="2" t="s">
        <v>61</v>
      </c>
      <c r="R161" s="2"/>
      <c r="S161" s="2" t="s">
        <v>211</v>
      </c>
      <c r="T161" s="2" t="s">
        <v>40</v>
      </c>
      <c r="U161" s="2"/>
      <c r="V161" s="2"/>
      <c r="W161" s="2" t="s">
        <v>212</v>
      </c>
      <c r="X161" s="2" t="s">
        <v>692</v>
      </c>
      <c r="Y161" s="2" t="n">
        <f aca="false">IF(AND(OR(Query_Interface!$B$5="All",$D161=Query_Interface!$B$5),OR(Query_Interface!$B$6="All",$F161=Query_Interface!$B$6),OR(Query_Interface!$B$7="All",$H161=Query_Interface!$B$7),OR(Query_Interface!$B$8="All",$N161=Query_Interface!$B$8),OR(Query_Interface!$B$9="All",$L161=Query_Interface!$B$9),OR(Query_Interface!$B$10="All",$R161=Query_Interface!$B$10),OR(Query_Interface!$B$11="All",$T161=Query_Interface!$B$11),OR(Query_Interface!$B$12="All",$Q161=Query_Interface!$B$12)),1,0)</f>
        <v>1</v>
      </c>
      <c r="Z161" s="2" t="n">
        <f aca="false">IF($Y161=1,COUNTIF($Y$2:$Y161,1),"")</f>
        <v>160</v>
      </c>
    </row>
    <row r="162" customFormat="false" ht="35.05" hidden="false" customHeight="false" outlineLevel="0" collapsed="false">
      <c r="A162" s="2" t="s">
        <v>437</v>
      </c>
      <c r="B162" s="2" t="n">
        <v>126</v>
      </c>
      <c r="C162" s="2" t="s">
        <v>686</v>
      </c>
      <c r="D162" s="2" t="s">
        <v>34</v>
      </c>
      <c r="E162" s="2" t="s">
        <v>873</v>
      </c>
      <c r="F162" s="2" t="s">
        <v>35</v>
      </c>
      <c r="G162" s="2" t="s">
        <v>874</v>
      </c>
      <c r="H162" s="2" t="s">
        <v>50</v>
      </c>
      <c r="I162" s="2" t="s">
        <v>875</v>
      </c>
      <c r="J162" s="2" t="s">
        <v>438</v>
      </c>
      <c r="K162" s="2" t="s">
        <v>896</v>
      </c>
      <c r="L162" s="2" t="s">
        <v>69</v>
      </c>
      <c r="M162" s="2" t="s">
        <v>754</v>
      </c>
      <c r="N162" s="2" t="s">
        <v>124</v>
      </c>
      <c r="O162" s="2" t="n">
        <v>1</v>
      </c>
      <c r="P162" s="2" t="n">
        <v>1</v>
      </c>
      <c r="Q162" s="2" t="s">
        <v>61</v>
      </c>
      <c r="R162" s="2"/>
      <c r="S162" s="2" t="s">
        <v>211</v>
      </c>
      <c r="T162" s="2" t="s">
        <v>40</v>
      </c>
      <c r="U162" s="2"/>
      <c r="V162" s="2"/>
      <c r="W162" s="2" t="s">
        <v>212</v>
      </c>
      <c r="X162" s="2" t="s">
        <v>692</v>
      </c>
      <c r="Y162" s="2" t="n">
        <f aca="false">IF(AND(OR(Query_Interface!$B$5="All",$D162=Query_Interface!$B$5),OR(Query_Interface!$B$6="All",$F162=Query_Interface!$B$6),OR(Query_Interface!$B$7="All",$H162=Query_Interface!$B$7),OR(Query_Interface!$B$8="All",$N162=Query_Interface!$B$8),OR(Query_Interface!$B$9="All",$L162=Query_Interface!$B$9),OR(Query_Interface!$B$10="All",$R162=Query_Interface!$B$10),OR(Query_Interface!$B$11="All",$T162=Query_Interface!$B$11),OR(Query_Interface!$B$12="All",$Q162=Query_Interface!$B$12)),1,0)</f>
        <v>1</v>
      </c>
      <c r="Z162" s="2" t="n">
        <f aca="false">IF($Y162=1,COUNTIF($Y$2:$Y162,1),"")</f>
        <v>161</v>
      </c>
    </row>
    <row r="163" customFormat="false" ht="35.05" hidden="false" customHeight="false" outlineLevel="0" collapsed="false">
      <c r="A163" s="2" t="s">
        <v>439</v>
      </c>
      <c r="B163" s="2" t="n">
        <v>127</v>
      </c>
      <c r="C163" s="2" t="s">
        <v>686</v>
      </c>
      <c r="D163" s="2" t="s">
        <v>34</v>
      </c>
      <c r="E163" s="2" t="s">
        <v>873</v>
      </c>
      <c r="F163" s="2" t="s">
        <v>35</v>
      </c>
      <c r="G163" s="2" t="s">
        <v>874</v>
      </c>
      <c r="H163" s="2" t="s">
        <v>50</v>
      </c>
      <c r="I163" s="2" t="s">
        <v>875</v>
      </c>
      <c r="J163" s="2" t="s">
        <v>440</v>
      </c>
      <c r="K163" s="2" t="s">
        <v>897</v>
      </c>
      <c r="L163" s="2" t="s">
        <v>45</v>
      </c>
      <c r="M163" s="2" t="s">
        <v>898</v>
      </c>
      <c r="N163" s="2" t="s">
        <v>62</v>
      </c>
      <c r="O163" s="2" t="n">
        <v>1</v>
      </c>
      <c r="P163" s="2" t="n">
        <v>2</v>
      </c>
      <c r="Q163" s="2" t="s">
        <v>41</v>
      </c>
      <c r="R163" s="2"/>
      <c r="S163" s="2" t="s">
        <v>233</v>
      </c>
      <c r="T163" s="2" t="s">
        <v>40</v>
      </c>
      <c r="U163" s="2"/>
      <c r="V163" s="2"/>
      <c r="W163" s="2" t="s">
        <v>212</v>
      </c>
      <c r="X163" s="2" t="s">
        <v>692</v>
      </c>
      <c r="Y163" s="2" t="n">
        <f aca="false">IF(AND(OR(Query_Interface!$B$5="All",$D163=Query_Interface!$B$5),OR(Query_Interface!$B$6="All",$F163=Query_Interface!$B$6),OR(Query_Interface!$B$7="All",$H163=Query_Interface!$B$7),OR(Query_Interface!$B$8="All",$N163=Query_Interface!$B$8),OR(Query_Interface!$B$9="All",$L163=Query_Interface!$B$9),OR(Query_Interface!$B$10="All",$R163=Query_Interface!$B$10),OR(Query_Interface!$B$11="All",$T163=Query_Interface!$B$11),OR(Query_Interface!$B$12="All",$Q163=Query_Interface!$B$12)),1,0)</f>
        <v>1</v>
      </c>
      <c r="Z163" s="2" t="n">
        <f aca="false">IF($Y163=1,COUNTIF($Y$2:$Y163,1),"")</f>
        <v>162</v>
      </c>
    </row>
    <row r="164" customFormat="false" ht="35.05" hidden="false" customHeight="false" outlineLevel="0" collapsed="false">
      <c r="A164" s="2" t="s">
        <v>439</v>
      </c>
      <c r="B164" s="2" t="n">
        <v>127</v>
      </c>
      <c r="C164" s="2" t="s">
        <v>686</v>
      </c>
      <c r="D164" s="2" t="s">
        <v>34</v>
      </c>
      <c r="E164" s="2" t="s">
        <v>873</v>
      </c>
      <c r="F164" s="2" t="s">
        <v>35</v>
      </c>
      <c r="G164" s="2" t="s">
        <v>874</v>
      </c>
      <c r="H164" s="2" t="s">
        <v>50</v>
      </c>
      <c r="I164" s="2" t="s">
        <v>875</v>
      </c>
      <c r="J164" s="2" t="s">
        <v>440</v>
      </c>
      <c r="K164" s="2" t="s">
        <v>897</v>
      </c>
      <c r="L164" s="2" t="s">
        <v>45</v>
      </c>
      <c r="M164" s="2" t="s">
        <v>744</v>
      </c>
      <c r="N164" s="2" t="s">
        <v>131</v>
      </c>
      <c r="O164" s="2" t="n">
        <v>2</v>
      </c>
      <c r="P164" s="2" t="n">
        <v>2</v>
      </c>
      <c r="Q164" s="2" t="s">
        <v>41</v>
      </c>
      <c r="R164" s="2"/>
      <c r="S164" s="2" t="s">
        <v>233</v>
      </c>
      <c r="T164" s="2" t="s">
        <v>40</v>
      </c>
      <c r="U164" s="2"/>
      <c r="V164" s="2"/>
      <c r="W164" s="2" t="s">
        <v>212</v>
      </c>
      <c r="X164" s="2" t="s">
        <v>692</v>
      </c>
      <c r="Y164" s="2" t="n">
        <f aca="false">IF(AND(OR(Query_Interface!$B$5="All",$D164=Query_Interface!$B$5),OR(Query_Interface!$B$6="All",$F164=Query_Interface!$B$6),OR(Query_Interface!$B$7="All",$H164=Query_Interface!$B$7),OR(Query_Interface!$B$8="All",$N164=Query_Interface!$B$8),OR(Query_Interface!$B$9="All",$L164=Query_Interface!$B$9),OR(Query_Interface!$B$10="All",$R164=Query_Interface!$B$10),OR(Query_Interface!$B$11="All",$T164=Query_Interface!$B$11),OR(Query_Interface!$B$12="All",$Q164=Query_Interface!$B$12)),1,0)</f>
        <v>1</v>
      </c>
      <c r="Z164" s="2" t="n">
        <f aca="false">IF($Y164=1,COUNTIF($Y$2:$Y164,1),"")</f>
        <v>163</v>
      </c>
    </row>
    <row r="165" customFormat="false" ht="35.05" hidden="false" customHeight="false" outlineLevel="0" collapsed="false">
      <c r="A165" s="2" t="s">
        <v>441</v>
      </c>
      <c r="B165" s="2" t="n">
        <v>128</v>
      </c>
      <c r="C165" s="2" t="s">
        <v>686</v>
      </c>
      <c r="D165" s="2" t="s">
        <v>34</v>
      </c>
      <c r="E165" s="2" t="s">
        <v>873</v>
      </c>
      <c r="F165" s="2" t="s">
        <v>35</v>
      </c>
      <c r="G165" s="2" t="s">
        <v>874</v>
      </c>
      <c r="H165" s="2" t="s">
        <v>50</v>
      </c>
      <c r="I165" s="2" t="s">
        <v>875</v>
      </c>
      <c r="J165" s="2" t="s">
        <v>442</v>
      </c>
      <c r="K165" s="2" t="s">
        <v>899</v>
      </c>
      <c r="L165" s="2" t="s">
        <v>75</v>
      </c>
      <c r="M165" s="2" t="s">
        <v>804</v>
      </c>
      <c r="N165" s="2" t="s">
        <v>147</v>
      </c>
      <c r="O165" s="2" t="n">
        <v>1</v>
      </c>
      <c r="P165" s="2" t="n">
        <v>1</v>
      </c>
      <c r="Q165" s="2" t="s">
        <v>61</v>
      </c>
      <c r="R165" s="2"/>
      <c r="S165" s="2" t="s">
        <v>233</v>
      </c>
      <c r="T165" s="2" t="s">
        <v>40</v>
      </c>
      <c r="U165" s="2"/>
      <c r="V165" s="2"/>
      <c r="W165" s="2" t="s">
        <v>212</v>
      </c>
      <c r="X165" s="2" t="s">
        <v>692</v>
      </c>
      <c r="Y165" s="2" t="n">
        <f aca="false">IF(AND(OR(Query_Interface!$B$5="All",$D165=Query_Interface!$B$5),OR(Query_Interface!$B$6="All",$F165=Query_Interface!$B$6),OR(Query_Interface!$B$7="All",$H165=Query_Interface!$B$7),OR(Query_Interface!$B$8="All",$N165=Query_Interface!$B$8),OR(Query_Interface!$B$9="All",$L165=Query_Interface!$B$9),OR(Query_Interface!$B$10="All",$R165=Query_Interface!$B$10),OR(Query_Interface!$B$11="All",$T165=Query_Interface!$B$11),OR(Query_Interface!$B$12="All",$Q165=Query_Interface!$B$12)),1,0)</f>
        <v>1</v>
      </c>
      <c r="Z165" s="2" t="n">
        <f aca="false">IF($Y165=1,COUNTIF($Y$2:$Y165,1),"")</f>
        <v>164</v>
      </c>
    </row>
    <row r="166" customFormat="false" ht="35.05" hidden="false" customHeight="false" outlineLevel="0" collapsed="false">
      <c r="A166" s="2" t="s">
        <v>443</v>
      </c>
      <c r="B166" s="2" t="n">
        <v>129</v>
      </c>
      <c r="C166" s="2" t="s">
        <v>686</v>
      </c>
      <c r="D166" s="2" t="s">
        <v>34</v>
      </c>
      <c r="E166" s="2" t="s">
        <v>873</v>
      </c>
      <c r="F166" s="2" t="s">
        <v>35</v>
      </c>
      <c r="G166" s="2" t="s">
        <v>874</v>
      </c>
      <c r="H166" s="2" t="s">
        <v>50</v>
      </c>
      <c r="I166" s="2" t="s">
        <v>875</v>
      </c>
      <c r="J166" s="2" t="s">
        <v>444</v>
      </c>
      <c r="K166" s="2" t="s">
        <v>900</v>
      </c>
      <c r="L166" s="2" t="s">
        <v>45</v>
      </c>
      <c r="M166" s="2" t="s">
        <v>722</v>
      </c>
      <c r="N166" s="2" t="s">
        <v>72</v>
      </c>
      <c r="O166" s="2" t="n">
        <v>1</v>
      </c>
      <c r="P166" s="2" t="n">
        <v>3</v>
      </c>
      <c r="Q166" s="2" t="s">
        <v>41</v>
      </c>
      <c r="R166" s="2"/>
      <c r="S166" s="2" t="s">
        <v>230</v>
      </c>
      <c r="T166" s="2" t="s">
        <v>40</v>
      </c>
      <c r="U166" s="2"/>
      <c r="V166" s="2"/>
      <c r="W166" s="2" t="s">
        <v>212</v>
      </c>
      <c r="X166" s="2" t="s">
        <v>692</v>
      </c>
      <c r="Y166" s="2" t="n">
        <f aca="false">IF(AND(OR(Query_Interface!$B$5="All",$D166=Query_Interface!$B$5),OR(Query_Interface!$B$6="All",$F166=Query_Interface!$B$6),OR(Query_Interface!$B$7="All",$H166=Query_Interface!$B$7),OR(Query_Interface!$B$8="All",$N166=Query_Interface!$B$8),OR(Query_Interface!$B$9="All",$L166=Query_Interface!$B$9),OR(Query_Interface!$B$10="All",$R166=Query_Interface!$B$10),OR(Query_Interface!$B$11="All",$T166=Query_Interface!$B$11),OR(Query_Interface!$B$12="All",$Q166=Query_Interface!$B$12)),1,0)</f>
        <v>1</v>
      </c>
      <c r="Z166" s="2" t="n">
        <f aca="false">IF($Y166=1,COUNTIF($Y$2:$Y166,1),"")</f>
        <v>165</v>
      </c>
    </row>
    <row r="167" customFormat="false" ht="35.05" hidden="false" customHeight="false" outlineLevel="0" collapsed="false">
      <c r="A167" s="2" t="s">
        <v>443</v>
      </c>
      <c r="B167" s="2" t="n">
        <v>129</v>
      </c>
      <c r="C167" s="2" t="s">
        <v>686</v>
      </c>
      <c r="D167" s="2" t="s">
        <v>34</v>
      </c>
      <c r="E167" s="2" t="s">
        <v>873</v>
      </c>
      <c r="F167" s="2" t="s">
        <v>35</v>
      </c>
      <c r="G167" s="2" t="s">
        <v>874</v>
      </c>
      <c r="H167" s="2" t="s">
        <v>50</v>
      </c>
      <c r="I167" s="2" t="s">
        <v>875</v>
      </c>
      <c r="J167" s="2" t="s">
        <v>444</v>
      </c>
      <c r="K167" s="2" t="s">
        <v>900</v>
      </c>
      <c r="L167" s="2" t="s">
        <v>45</v>
      </c>
      <c r="M167" s="2" t="s">
        <v>898</v>
      </c>
      <c r="N167" s="2" t="s">
        <v>62</v>
      </c>
      <c r="O167" s="2" t="n">
        <v>2</v>
      </c>
      <c r="P167" s="2" t="n">
        <v>3</v>
      </c>
      <c r="Q167" s="2" t="s">
        <v>41</v>
      </c>
      <c r="R167" s="2"/>
      <c r="S167" s="2" t="s">
        <v>230</v>
      </c>
      <c r="T167" s="2" t="s">
        <v>40</v>
      </c>
      <c r="U167" s="2"/>
      <c r="V167" s="2"/>
      <c r="W167" s="2" t="s">
        <v>212</v>
      </c>
      <c r="X167" s="2" t="s">
        <v>692</v>
      </c>
      <c r="Y167" s="2" t="n">
        <f aca="false">IF(AND(OR(Query_Interface!$B$5="All",$D167=Query_Interface!$B$5),OR(Query_Interface!$B$6="All",$F167=Query_Interface!$B$6),OR(Query_Interface!$B$7="All",$H167=Query_Interface!$B$7),OR(Query_Interface!$B$8="All",$N167=Query_Interface!$B$8),OR(Query_Interface!$B$9="All",$L167=Query_Interface!$B$9),OR(Query_Interface!$B$10="All",$R167=Query_Interface!$B$10),OR(Query_Interface!$B$11="All",$T167=Query_Interface!$B$11),OR(Query_Interface!$B$12="All",$Q167=Query_Interface!$B$12)),1,0)</f>
        <v>1</v>
      </c>
      <c r="Z167" s="2" t="n">
        <f aca="false">IF($Y167=1,COUNTIF($Y$2:$Y167,1),"")</f>
        <v>166</v>
      </c>
    </row>
    <row r="168" customFormat="false" ht="35.05" hidden="false" customHeight="false" outlineLevel="0" collapsed="false">
      <c r="A168" s="2" t="s">
        <v>443</v>
      </c>
      <c r="B168" s="2" t="n">
        <v>129</v>
      </c>
      <c r="C168" s="2" t="s">
        <v>686</v>
      </c>
      <c r="D168" s="2" t="s">
        <v>34</v>
      </c>
      <c r="E168" s="2" t="s">
        <v>873</v>
      </c>
      <c r="F168" s="2" t="s">
        <v>35</v>
      </c>
      <c r="G168" s="2" t="s">
        <v>874</v>
      </c>
      <c r="H168" s="2" t="s">
        <v>50</v>
      </c>
      <c r="I168" s="2" t="s">
        <v>875</v>
      </c>
      <c r="J168" s="2" t="s">
        <v>444</v>
      </c>
      <c r="K168" s="2" t="s">
        <v>900</v>
      </c>
      <c r="L168" s="2" t="s">
        <v>45</v>
      </c>
      <c r="M168" s="2" t="s">
        <v>740</v>
      </c>
      <c r="N168" s="2" t="s">
        <v>82</v>
      </c>
      <c r="O168" s="2" t="n">
        <v>3</v>
      </c>
      <c r="P168" s="2" t="n">
        <v>3</v>
      </c>
      <c r="Q168" s="2" t="s">
        <v>41</v>
      </c>
      <c r="R168" s="2"/>
      <c r="S168" s="2" t="s">
        <v>230</v>
      </c>
      <c r="T168" s="2" t="s">
        <v>40</v>
      </c>
      <c r="U168" s="2"/>
      <c r="V168" s="2"/>
      <c r="W168" s="2" t="s">
        <v>212</v>
      </c>
      <c r="X168" s="2" t="s">
        <v>692</v>
      </c>
      <c r="Y168" s="2" t="n">
        <f aca="false">IF(AND(OR(Query_Interface!$B$5="All",$D168=Query_Interface!$B$5),OR(Query_Interface!$B$6="All",$F168=Query_Interface!$B$6),OR(Query_Interface!$B$7="All",$H168=Query_Interface!$B$7),OR(Query_Interface!$B$8="All",$N168=Query_Interface!$B$8),OR(Query_Interface!$B$9="All",$L168=Query_Interface!$B$9),OR(Query_Interface!$B$10="All",$R168=Query_Interface!$B$10),OR(Query_Interface!$B$11="All",$T168=Query_Interface!$B$11),OR(Query_Interface!$B$12="All",$Q168=Query_Interface!$B$12)),1,0)</f>
        <v>1</v>
      </c>
      <c r="Z168" s="2" t="n">
        <f aca="false">IF($Y168=1,COUNTIF($Y$2:$Y168,1),"")</f>
        <v>167</v>
      </c>
    </row>
    <row r="169" customFormat="false" ht="35.05" hidden="false" customHeight="false" outlineLevel="0" collapsed="false">
      <c r="A169" s="2" t="s">
        <v>445</v>
      </c>
      <c r="B169" s="2" t="n">
        <v>130</v>
      </c>
      <c r="C169" s="2" t="s">
        <v>686</v>
      </c>
      <c r="D169" s="2" t="s">
        <v>34</v>
      </c>
      <c r="E169" s="2" t="s">
        <v>873</v>
      </c>
      <c r="F169" s="2" t="s">
        <v>35</v>
      </c>
      <c r="G169" s="2" t="s">
        <v>874</v>
      </c>
      <c r="H169" s="2" t="s">
        <v>50</v>
      </c>
      <c r="I169" s="2" t="s">
        <v>875</v>
      </c>
      <c r="J169" s="2" t="s">
        <v>289</v>
      </c>
      <c r="K169" s="2" t="s">
        <v>901</v>
      </c>
      <c r="L169" s="2" t="s">
        <v>66</v>
      </c>
      <c r="M169" s="2" t="s">
        <v>724</v>
      </c>
      <c r="N169" s="2" t="s">
        <v>142</v>
      </c>
      <c r="O169" s="2" t="n">
        <v>1</v>
      </c>
      <c r="P169" s="2" t="n">
        <v>3</v>
      </c>
      <c r="Q169" s="2" t="s">
        <v>41</v>
      </c>
      <c r="R169" s="2"/>
      <c r="S169" s="2" t="s">
        <v>211</v>
      </c>
      <c r="T169" s="2" t="s">
        <v>47</v>
      </c>
      <c r="U169" s="2"/>
      <c r="V169" s="2"/>
      <c r="W169" s="2" t="s">
        <v>212</v>
      </c>
      <c r="X169" s="2" t="s">
        <v>692</v>
      </c>
      <c r="Y169" s="2" t="n">
        <f aca="false">IF(AND(OR(Query_Interface!$B$5="All",$D169=Query_Interface!$B$5),OR(Query_Interface!$B$6="All",$F169=Query_Interface!$B$6),OR(Query_Interface!$B$7="All",$H169=Query_Interface!$B$7),OR(Query_Interface!$B$8="All",$N169=Query_Interface!$B$8),OR(Query_Interface!$B$9="All",$L169=Query_Interface!$B$9),OR(Query_Interface!$B$10="All",$R169=Query_Interface!$B$10),OR(Query_Interface!$B$11="All",$T169=Query_Interface!$B$11),OR(Query_Interface!$B$12="All",$Q169=Query_Interface!$B$12)),1,0)</f>
        <v>1</v>
      </c>
      <c r="Z169" s="2" t="n">
        <f aca="false">IF($Y169=1,COUNTIF($Y$2:$Y169,1),"")</f>
        <v>168</v>
      </c>
    </row>
    <row r="170" customFormat="false" ht="35.05" hidden="false" customHeight="false" outlineLevel="0" collapsed="false">
      <c r="A170" s="2" t="s">
        <v>445</v>
      </c>
      <c r="B170" s="2" t="n">
        <v>130</v>
      </c>
      <c r="C170" s="2" t="s">
        <v>686</v>
      </c>
      <c r="D170" s="2" t="s">
        <v>34</v>
      </c>
      <c r="E170" s="2" t="s">
        <v>873</v>
      </c>
      <c r="F170" s="2" t="s">
        <v>35</v>
      </c>
      <c r="G170" s="2" t="s">
        <v>874</v>
      </c>
      <c r="H170" s="2" t="s">
        <v>50</v>
      </c>
      <c r="I170" s="2" t="s">
        <v>875</v>
      </c>
      <c r="J170" s="2" t="s">
        <v>289</v>
      </c>
      <c r="K170" s="2" t="s">
        <v>901</v>
      </c>
      <c r="L170" s="2" t="s">
        <v>66</v>
      </c>
      <c r="M170" s="2" t="s">
        <v>698</v>
      </c>
      <c r="N170" s="2" t="s">
        <v>104</v>
      </c>
      <c r="O170" s="2" t="n">
        <v>2</v>
      </c>
      <c r="P170" s="2" t="n">
        <v>3</v>
      </c>
      <c r="Q170" s="2" t="s">
        <v>41</v>
      </c>
      <c r="R170" s="2"/>
      <c r="S170" s="2" t="s">
        <v>211</v>
      </c>
      <c r="T170" s="2" t="s">
        <v>47</v>
      </c>
      <c r="U170" s="2"/>
      <c r="V170" s="2"/>
      <c r="W170" s="2" t="s">
        <v>212</v>
      </c>
      <c r="X170" s="2" t="s">
        <v>692</v>
      </c>
      <c r="Y170" s="2" t="n">
        <f aca="false">IF(AND(OR(Query_Interface!$B$5="All",$D170=Query_Interface!$B$5),OR(Query_Interface!$B$6="All",$F170=Query_Interface!$B$6),OR(Query_Interface!$B$7="All",$H170=Query_Interface!$B$7),OR(Query_Interface!$B$8="All",$N170=Query_Interface!$B$8),OR(Query_Interface!$B$9="All",$L170=Query_Interface!$B$9),OR(Query_Interface!$B$10="All",$R170=Query_Interface!$B$10),OR(Query_Interface!$B$11="All",$T170=Query_Interface!$B$11),OR(Query_Interface!$B$12="All",$Q170=Query_Interface!$B$12)),1,0)</f>
        <v>1</v>
      </c>
      <c r="Z170" s="2" t="n">
        <f aca="false">IF($Y170=1,COUNTIF($Y$2:$Y170,1),"")</f>
        <v>169</v>
      </c>
    </row>
    <row r="171" customFormat="false" ht="35.05" hidden="false" customHeight="false" outlineLevel="0" collapsed="false">
      <c r="A171" s="2" t="s">
        <v>445</v>
      </c>
      <c r="B171" s="2" t="n">
        <v>130</v>
      </c>
      <c r="C171" s="2" t="s">
        <v>686</v>
      </c>
      <c r="D171" s="2" t="s">
        <v>34</v>
      </c>
      <c r="E171" s="2" t="s">
        <v>873</v>
      </c>
      <c r="F171" s="2" t="s">
        <v>35</v>
      </c>
      <c r="G171" s="2" t="s">
        <v>874</v>
      </c>
      <c r="H171" s="2" t="s">
        <v>50</v>
      </c>
      <c r="I171" s="2" t="s">
        <v>875</v>
      </c>
      <c r="J171" s="2" t="s">
        <v>289</v>
      </c>
      <c r="K171" s="2" t="s">
        <v>901</v>
      </c>
      <c r="L171" s="2" t="s">
        <v>66</v>
      </c>
      <c r="M171" s="2" t="s">
        <v>734</v>
      </c>
      <c r="N171" s="2" t="s">
        <v>87</v>
      </c>
      <c r="O171" s="2" t="n">
        <v>3</v>
      </c>
      <c r="P171" s="2" t="n">
        <v>3</v>
      </c>
      <c r="Q171" s="2" t="s">
        <v>41</v>
      </c>
      <c r="R171" s="2"/>
      <c r="S171" s="2" t="s">
        <v>211</v>
      </c>
      <c r="T171" s="2" t="s">
        <v>47</v>
      </c>
      <c r="U171" s="2"/>
      <c r="V171" s="2"/>
      <c r="W171" s="2" t="s">
        <v>212</v>
      </c>
      <c r="X171" s="2" t="s">
        <v>692</v>
      </c>
      <c r="Y171" s="2" t="n">
        <f aca="false">IF(AND(OR(Query_Interface!$B$5="All",$D171=Query_Interface!$B$5),OR(Query_Interface!$B$6="All",$F171=Query_Interface!$B$6),OR(Query_Interface!$B$7="All",$H171=Query_Interface!$B$7),OR(Query_Interface!$B$8="All",$N171=Query_Interface!$B$8),OR(Query_Interface!$B$9="All",$L171=Query_Interface!$B$9),OR(Query_Interface!$B$10="All",$R171=Query_Interface!$B$10),OR(Query_Interface!$B$11="All",$T171=Query_Interface!$B$11),OR(Query_Interface!$B$12="All",$Q171=Query_Interface!$B$12)),1,0)</f>
        <v>1</v>
      </c>
      <c r="Z171" s="2" t="n">
        <f aca="false">IF($Y171=1,COUNTIF($Y$2:$Y171,1),"")</f>
        <v>170</v>
      </c>
    </row>
    <row r="172" customFormat="false" ht="35.05" hidden="false" customHeight="false" outlineLevel="0" collapsed="false">
      <c r="A172" s="2" t="s">
        <v>446</v>
      </c>
      <c r="B172" s="2" t="n">
        <v>131</v>
      </c>
      <c r="C172" s="2" t="s">
        <v>686</v>
      </c>
      <c r="D172" s="2" t="s">
        <v>34</v>
      </c>
      <c r="E172" s="2" t="s">
        <v>873</v>
      </c>
      <c r="F172" s="2" t="s">
        <v>35</v>
      </c>
      <c r="G172" s="2" t="s">
        <v>874</v>
      </c>
      <c r="H172" s="2" t="s">
        <v>50</v>
      </c>
      <c r="I172" s="2" t="s">
        <v>875</v>
      </c>
      <c r="J172" s="2" t="s">
        <v>291</v>
      </c>
      <c r="K172" s="2" t="s">
        <v>902</v>
      </c>
      <c r="L172" s="2" t="s">
        <v>52</v>
      </c>
      <c r="M172" s="2" t="s">
        <v>768</v>
      </c>
      <c r="N172" s="2" t="s">
        <v>90</v>
      </c>
      <c r="O172" s="2" t="n">
        <v>1</v>
      </c>
      <c r="P172" s="2" t="n">
        <v>1</v>
      </c>
      <c r="Q172" s="2" t="s">
        <v>61</v>
      </c>
      <c r="R172" s="2"/>
      <c r="S172" s="2" t="s">
        <v>230</v>
      </c>
      <c r="T172" s="2" t="s">
        <v>47</v>
      </c>
      <c r="U172" s="2"/>
      <c r="V172" s="2"/>
      <c r="W172" s="2" t="s">
        <v>212</v>
      </c>
      <c r="X172" s="2" t="s">
        <v>692</v>
      </c>
      <c r="Y172" s="2" t="n">
        <f aca="false">IF(AND(OR(Query_Interface!$B$5="All",$D172=Query_Interface!$B$5),OR(Query_Interface!$B$6="All",$F172=Query_Interface!$B$6),OR(Query_Interface!$B$7="All",$H172=Query_Interface!$B$7),OR(Query_Interface!$B$8="All",$N172=Query_Interface!$B$8),OR(Query_Interface!$B$9="All",$L172=Query_Interface!$B$9),OR(Query_Interface!$B$10="All",$R172=Query_Interface!$B$10),OR(Query_Interface!$B$11="All",$T172=Query_Interface!$B$11),OR(Query_Interface!$B$12="All",$Q172=Query_Interface!$B$12)),1,0)</f>
        <v>1</v>
      </c>
      <c r="Z172" s="2" t="n">
        <f aca="false">IF($Y172=1,COUNTIF($Y$2:$Y172,1),"")</f>
        <v>171</v>
      </c>
    </row>
    <row r="173" customFormat="false" ht="35.05" hidden="false" customHeight="false" outlineLevel="0" collapsed="false">
      <c r="A173" s="2" t="s">
        <v>447</v>
      </c>
      <c r="B173" s="2" t="n">
        <v>132</v>
      </c>
      <c r="C173" s="2" t="s">
        <v>686</v>
      </c>
      <c r="D173" s="2" t="s">
        <v>34</v>
      </c>
      <c r="E173" s="2" t="s">
        <v>873</v>
      </c>
      <c r="F173" s="2" t="s">
        <v>35</v>
      </c>
      <c r="G173" s="2" t="s">
        <v>874</v>
      </c>
      <c r="H173" s="2" t="s">
        <v>50</v>
      </c>
      <c r="I173" s="2" t="s">
        <v>875</v>
      </c>
      <c r="J173" s="2" t="s">
        <v>392</v>
      </c>
      <c r="K173" s="2" t="s">
        <v>903</v>
      </c>
      <c r="L173" s="2" t="s">
        <v>75</v>
      </c>
      <c r="M173" s="2" t="s">
        <v>698</v>
      </c>
      <c r="N173" s="2" t="s">
        <v>104</v>
      </c>
      <c r="O173" s="2" t="n">
        <v>1</v>
      </c>
      <c r="P173" s="2" t="n">
        <v>1</v>
      </c>
      <c r="Q173" s="2" t="s">
        <v>61</v>
      </c>
      <c r="R173" s="2"/>
      <c r="S173" s="2" t="s">
        <v>448</v>
      </c>
      <c r="T173" s="2" t="s">
        <v>47</v>
      </c>
      <c r="U173" s="2"/>
      <c r="V173" s="2"/>
      <c r="W173" s="2" t="s">
        <v>212</v>
      </c>
      <c r="X173" s="2" t="s">
        <v>692</v>
      </c>
      <c r="Y173" s="2" t="n">
        <f aca="false">IF(AND(OR(Query_Interface!$B$5="All",$D173=Query_Interface!$B$5),OR(Query_Interface!$B$6="All",$F173=Query_Interface!$B$6),OR(Query_Interface!$B$7="All",$H173=Query_Interface!$B$7),OR(Query_Interface!$B$8="All",$N173=Query_Interface!$B$8),OR(Query_Interface!$B$9="All",$L173=Query_Interface!$B$9),OR(Query_Interface!$B$10="All",$R173=Query_Interface!$B$10),OR(Query_Interface!$B$11="All",$T173=Query_Interface!$B$11),OR(Query_Interface!$B$12="All",$Q173=Query_Interface!$B$12)),1,0)</f>
        <v>1</v>
      </c>
      <c r="Z173" s="2" t="n">
        <f aca="false">IF($Y173=1,COUNTIF($Y$2:$Y173,1),"")</f>
        <v>172</v>
      </c>
    </row>
    <row r="174" customFormat="false" ht="35.05" hidden="false" customHeight="false" outlineLevel="0" collapsed="false">
      <c r="A174" s="2" t="s">
        <v>449</v>
      </c>
      <c r="B174" s="2" t="n">
        <v>133</v>
      </c>
      <c r="C174" s="2" t="s">
        <v>686</v>
      </c>
      <c r="D174" s="2" t="s">
        <v>34</v>
      </c>
      <c r="E174" s="2" t="s">
        <v>873</v>
      </c>
      <c r="F174" s="2" t="s">
        <v>35</v>
      </c>
      <c r="G174" s="2" t="s">
        <v>874</v>
      </c>
      <c r="H174" s="2" t="s">
        <v>50</v>
      </c>
      <c r="I174" s="2" t="s">
        <v>875</v>
      </c>
      <c r="J174" s="2" t="s">
        <v>450</v>
      </c>
      <c r="K174" s="2" t="s">
        <v>904</v>
      </c>
      <c r="L174" s="2" t="s">
        <v>58</v>
      </c>
      <c r="M174" s="2" t="s">
        <v>905</v>
      </c>
      <c r="N174" s="2" t="s">
        <v>137</v>
      </c>
      <c r="O174" s="2" t="n">
        <v>1</v>
      </c>
      <c r="P174" s="2" t="n">
        <v>4</v>
      </c>
      <c r="Q174" s="2" t="s">
        <v>41</v>
      </c>
      <c r="R174" s="2"/>
      <c r="S174" s="2" t="s">
        <v>230</v>
      </c>
      <c r="T174" s="2" t="s">
        <v>40</v>
      </c>
      <c r="U174" s="2"/>
      <c r="V174" s="2"/>
      <c r="W174" s="2" t="s">
        <v>212</v>
      </c>
      <c r="X174" s="2" t="s">
        <v>692</v>
      </c>
      <c r="Y174" s="2" t="n">
        <f aca="false">IF(AND(OR(Query_Interface!$B$5="All",$D174=Query_Interface!$B$5),OR(Query_Interface!$B$6="All",$F174=Query_Interface!$B$6),OR(Query_Interface!$B$7="All",$H174=Query_Interface!$B$7),OR(Query_Interface!$B$8="All",$N174=Query_Interface!$B$8),OR(Query_Interface!$B$9="All",$L174=Query_Interface!$B$9),OR(Query_Interface!$B$10="All",$R174=Query_Interface!$B$10),OR(Query_Interface!$B$11="All",$T174=Query_Interface!$B$11),OR(Query_Interface!$B$12="All",$Q174=Query_Interface!$B$12)),1,0)</f>
        <v>1</v>
      </c>
      <c r="Z174" s="2" t="n">
        <f aca="false">IF($Y174=1,COUNTIF($Y$2:$Y174,1),"")</f>
        <v>173</v>
      </c>
    </row>
    <row r="175" customFormat="false" ht="35.05" hidden="false" customHeight="false" outlineLevel="0" collapsed="false">
      <c r="A175" s="2" t="s">
        <v>449</v>
      </c>
      <c r="B175" s="2" t="n">
        <v>133</v>
      </c>
      <c r="C175" s="2" t="s">
        <v>686</v>
      </c>
      <c r="D175" s="2" t="s">
        <v>34</v>
      </c>
      <c r="E175" s="2" t="s">
        <v>873</v>
      </c>
      <c r="F175" s="2" t="s">
        <v>35</v>
      </c>
      <c r="G175" s="2" t="s">
        <v>874</v>
      </c>
      <c r="H175" s="2" t="s">
        <v>50</v>
      </c>
      <c r="I175" s="2" t="s">
        <v>875</v>
      </c>
      <c r="J175" s="2" t="s">
        <v>450</v>
      </c>
      <c r="K175" s="2" t="s">
        <v>904</v>
      </c>
      <c r="L175" s="2" t="s">
        <v>58</v>
      </c>
      <c r="M175" s="2" t="s">
        <v>795</v>
      </c>
      <c r="N175" s="2" t="s">
        <v>97</v>
      </c>
      <c r="O175" s="2" t="n">
        <v>2</v>
      </c>
      <c r="P175" s="2" t="n">
        <v>4</v>
      </c>
      <c r="Q175" s="2" t="s">
        <v>41</v>
      </c>
      <c r="R175" s="2"/>
      <c r="S175" s="2" t="s">
        <v>230</v>
      </c>
      <c r="T175" s="2" t="s">
        <v>40</v>
      </c>
      <c r="U175" s="2"/>
      <c r="V175" s="2"/>
      <c r="W175" s="2" t="s">
        <v>212</v>
      </c>
      <c r="X175" s="2" t="s">
        <v>692</v>
      </c>
      <c r="Y175" s="2" t="n">
        <f aca="false">IF(AND(OR(Query_Interface!$B$5="All",$D175=Query_Interface!$B$5),OR(Query_Interface!$B$6="All",$F175=Query_Interface!$B$6),OR(Query_Interface!$B$7="All",$H175=Query_Interface!$B$7),OR(Query_Interface!$B$8="All",$N175=Query_Interface!$B$8),OR(Query_Interface!$B$9="All",$L175=Query_Interface!$B$9),OR(Query_Interface!$B$10="All",$R175=Query_Interface!$B$10),OR(Query_Interface!$B$11="All",$T175=Query_Interface!$B$11),OR(Query_Interface!$B$12="All",$Q175=Query_Interface!$B$12)),1,0)</f>
        <v>1</v>
      </c>
      <c r="Z175" s="2" t="n">
        <f aca="false">IF($Y175=1,COUNTIF($Y$2:$Y175,1),"")</f>
        <v>174</v>
      </c>
    </row>
    <row r="176" customFormat="false" ht="35.05" hidden="false" customHeight="false" outlineLevel="0" collapsed="false">
      <c r="A176" s="2" t="s">
        <v>449</v>
      </c>
      <c r="B176" s="2" t="n">
        <v>133</v>
      </c>
      <c r="C176" s="2" t="s">
        <v>686</v>
      </c>
      <c r="D176" s="2" t="s">
        <v>34</v>
      </c>
      <c r="E176" s="2" t="s">
        <v>873</v>
      </c>
      <c r="F176" s="2" t="s">
        <v>35</v>
      </c>
      <c r="G176" s="2" t="s">
        <v>874</v>
      </c>
      <c r="H176" s="2" t="s">
        <v>50</v>
      </c>
      <c r="I176" s="2" t="s">
        <v>875</v>
      </c>
      <c r="J176" s="2" t="s">
        <v>450</v>
      </c>
      <c r="K176" s="2" t="s">
        <v>904</v>
      </c>
      <c r="L176" s="2" t="s">
        <v>58</v>
      </c>
      <c r="M176" s="2" t="s">
        <v>833</v>
      </c>
      <c r="N176" s="2" t="s">
        <v>86</v>
      </c>
      <c r="O176" s="2" t="n">
        <v>3</v>
      </c>
      <c r="P176" s="2" t="n">
        <v>4</v>
      </c>
      <c r="Q176" s="2" t="s">
        <v>41</v>
      </c>
      <c r="R176" s="2"/>
      <c r="S176" s="2" t="s">
        <v>230</v>
      </c>
      <c r="T176" s="2" t="s">
        <v>40</v>
      </c>
      <c r="U176" s="2"/>
      <c r="V176" s="2"/>
      <c r="W176" s="2" t="s">
        <v>212</v>
      </c>
      <c r="X176" s="2" t="s">
        <v>692</v>
      </c>
      <c r="Y176" s="2" t="n">
        <f aca="false">IF(AND(OR(Query_Interface!$B$5="All",$D176=Query_Interface!$B$5),OR(Query_Interface!$B$6="All",$F176=Query_Interface!$B$6),OR(Query_Interface!$B$7="All",$H176=Query_Interface!$B$7),OR(Query_Interface!$B$8="All",$N176=Query_Interface!$B$8),OR(Query_Interface!$B$9="All",$L176=Query_Interface!$B$9),OR(Query_Interface!$B$10="All",$R176=Query_Interface!$B$10),OR(Query_Interface!$B$11="All",$T176=Query_Interface!$B$11),OR(Query_Interface!$B$12="All",$Q176=Query_Interface!$B$12)),1,0)</f>
        <v>1</v>
      </c>
      <c r="Z176" s="2" t="n">
        <f aca="false">IF($Y176=1,COUNTIF($Y$2:$Y176,1),"")</f>
        <v>175</v>
      </c>
    </row>
    <row r="177" customFormat="false" ht="35.05" hidden="false" customHeight="false" outlineLevel="0" collapsed="false">
      <c r="A177" s="2" t="s">
        <v>449</v>
      </c>
      <c r="B177" s="2" t="n">
        <v>133</v>
      </c>
      <c r="C177" s="2" t="s">
        <v>686</v>
      </c>
      <c r="D177" s="2" t="s">
        <v>34</v>
      </c>
      <c r="E177" s="2" t="s">
        <v>873</v>
      </c>
      <c r="F177" s="2" t="s">
        <v>35</v>
      </c>
      <c r="G177" s="2" t="s">
        <v>874</v>
      </c>
      <c r="H177" s="2" t="s">
        <v>50</v>
      </c>
      <c r="I177" s="2" t="s">
        <v>875</v>
      </c>
      <c r="J177" s="2" t="s">
        <v>450</v>
      </c>
      <c r="K177" s="2" t="s">
        <v>904</v>
      </c>
      <c r="L177" s="2" t="s">
        <v>58</v>
      </c>
      <c r="M177" s="2" t="s">
        <v>744</v>
      </c>
      <c r="N177" s="2" t="s">
        <v>131</v>
      </c>
      <c r="O177" s="2" t="n">
        <v>4</v>
      </c>
      <c r="P177" s="2" t="n">
        <v>4</v>
      </c>
      <c r="Q177" s="2" t="s">
        <v>41</v>
      </c>
      <c r="R177" s="2"/>
      <c r="S177" s="2" t="s">
        <v>230</v>
      </c>
      <c r="T177" s="2" t="s">
        <v>40</v>
      </c>
      <c r="U177" s="2"/>
      <c r="V177" s="2"/>
      <c r="W177" s="2" t="s">
        <v>212</v>
      </c>
      <c r="X177" s="2" t="s">
        <v>692</v>
      </c>
      <c r="Y177" s="2" t="n">
        <f aca="false">IF(AND(OR(Query_Interface!$B$5="All",$D177=Query_Interface!$B$5),OR(Query_Interface!$B$6="All",$F177=Query_Interface!$B$6),OR(Query_Interface!$B$7="All",$H177=Query_Interface!$B$7),OR(Query_Interface!$B$8="All",$N177=Query_Interface!$B$8),OR(Query_Interface!$B$9="All",$L177=Query_Interface!$B$9),OR(Query_Interface!$B$10="All",$R177=Query_Interface!$B$10),OR(Query_Interface!$B$11="All",$T177=Query_Interface!$B$11),OR(Query_Interface!$B$12="All",$Q177=Query_Interface!$B$12)),1,0)</f>
        <v>1</v>
      </c>
      <c r="Z177" s="2" t="n">
        <f aca="false">IF($Y177=1,COUNTIF($Y$2:$Y177,1),"")</f>
        <v>176</v>
      </c>
    </row>
    <row r="178" customFormat="false" ht="35.05" hidden="false" customHeight="false" outlineLevel="0" collapsed="false">
      <c r="A178" s="2" t="s">
        <v>451</v>
      </c>
      <c r="B178" s="2" t="n">
        <v>134</v>
      </c>
      <c r="C178" s="2" t="s">
        <v>686</v>
      </c>
      <c r="D178" s="2" t="s">
        <v>34</v>
      </c>
      <c r="E178" s="2" t="s">
        <v>873</v>
      </c>
      <c r="F178" s="2" t="s">
        <v>35</v>
      </c>
      <c r="G178" s="2" t="s">
        <v>874</v>
      </c>
      <c r="H178" s="2" t="s">
        <v>50</v>
      </c>
      <c r="I178" s="2" t="s">
        <v>875</v>
      </c>
      <c r="J178" s="2" t="s">
        <v>301</v>
      </c>
      <c r="K178" s="2" t="s">
        <v>906</v>
      </c>
      <c r="L178" s="2" t="s">
        <v>73</v>
      </c>
      <c r="M178" s="2" t="s">
        <v>744</v>
      </c>
      <c r="N178" s="2" t="s">
        <v>131</v>
      </c>
      <c r="O178" s="2" t="n">
        <v>1</v>
      </c>
      <c r="P178" s="2" t="n">
        <v>1</v>
      </c>
      <c r="Q178" s="2" t="s">
        <v>61</v>
      </c>
      <c r="R178" s="2"/>
      <c r="S178" s="2" t="s">
        <v>215</v>
      </c>
      <c r="T178" s="2" t="s">
        <v>47</v>
      </c>
      <c r="U178" s="2"/>
      <c r="V178" s="2"/>
      <c r="W178" s="2" t="s">
        <v>212</v>
      </c>
      <c r="X178" s="2" t="s">
        <v>692</v>
      </c>
      <c r="Y178" s="2" t="n">
        <f aca="false">IF(AND(OR(Query_Interface!$B$5="All",$D178=Query_Interface!$B$5),OR(Query_Interface!$B$6="All",$F178=Query_Interface!$B$6),OR(Query_Interface!$B$7="All",$H178=Query_Interface!$B$7),OR(Query_Interface!$B$8="All",$N178=Query_Interface!$B$8),OR(Query_Interface!$B$9="All",$L178=Query_Interface!$B$9),OR(Query_Interface!$B$10="All",$R178=Query_Interface!$B$10),OR(Query_Interface!$B$11="All",$T178=Query_Interface!$B$11),OR(Query_Interface!$B$12="All",$Q178=Query_Interface!$B$12)),1,0)</f>
        <v>1</v>
      </c>
      <c r="Z178" s="2" t="n">
        <f aca="false">IF($Y178=1,COUNTIF($Y$2:$Y178,1),"")</f>
        <v>177</v>
      </c>
    </row>
    <row r="179" customFormat="false" ht="35.05" hidden="false" customHeight="false" outlineLevel="0" collapsed="false">
      <c r="A179" s="2" t="s">
        <v>452</v>
      </c>
      <c r="B179" s="2" t="n">
        <v>135</v>
      </c>
      <c r="C179" s="2" t="s">
        <v>686</v>
      </c>
      <c r="D179" s="2" t="s">
        <v>34</v>
      </c>
      <c r="E179" s="2" t="s">
        <v>873</v>
      </c>
      <c r="F179" s="2" t="s">
        <v>35</v>
      </c>
      <c r="G179" s="2" t="s">
        <v>874</v>
      </c>
      <c r="H179" s="2" t="s">
        <v>50</v>
      </c>
      <c r="I179" s="2" t="s">
        <v>875</v>
      </c>
      <c r="J179" s="2" t="s">
        <v>305</v>
      </c>
      <c r="K179" s="2" t="s">
        <v>907</v>
      </c>
      <c r="L179" s="2" t="s">
        <v>75</v>
      </c>
      <c r="M179" s="2" t="s">
        <v>730</v>
      </c>
      <c r="N179" s="2" t="s">
        <v>138</v>
      </c>
      <c r="O179" s="2" t="n">
        <v>1</v>
      </c>
      <c r="P179" s="2" t="n">
        <v>2</v>
      </c>
      <c r="Q179" s="2" t="s">
        <v>41</v>
      </c>
      <c r="R179" s="2"/>
      <c r="S179" s="2" t="s">
        <v>211</v>
      </c>
      <c r="T179" s="2" t="s">
        <v>40</v>
      </c>
      <c r="U179" s="2"/>
      <c r="V179" s="2"/>
      <c r="W179" s="2" t="s">
        <v>212</v>
      </c>
      <c r="X179" s="2" t="s">
        <v>692</v>
      </c>
      <c r="Y179" s="2" t="n">
        <f aca="false">IF(AND(OR(Query_Interface!$B$5="All",$D179=Query_Interface!$B$5),OR(Query_Interface!$B$6="All",$F179=Query_Interface!$B$6),OR(Query_Interface!$B$7="All",$H179=Query_Interface!$B$7),OR(Query_Interface!$B$8="All",$N179=Query_Interface!$B$8),OR(Query_Interface!$B$9="All",$L179=Query_Interface!$B$9),OR(Query_Interface!$B$10="All",$R179=Query_Interface!$B$10),OR(Query_Interface!$B$11="All",$T179=Query_Interface!$B$11),OR(Query_Interface!$B$12="All",$Q179=Query_Interface!$B$12)),1,0)</f>
        <v>1</v>
      </c>
      <c r="Z179" s="2" t="n">
        <f aca="false">IF($Y179=1,COUNTIF($Y$2:$Y179,1),"")</f>
        <v>178</v>
      </c>
    </row>
    <row r="180" customFormat="false" ht="35.05" hidden="false" customHeight="false" outlineLevel="0" collapsed="false">
      <c r="A180" s="2" t="s">
        <v>452</v>
      </c>
      <c r="B180" s="2" t="n">
        <v>135</v>
      </c>
      <c r="C180" s="2" t="s">
        <v>686</v>
      </c>
      <c r="D180" s="2" t="s">
        <v>34</v>
      </c>
      <c r="E180" s="2" t="s">
        <v>873</v>
      </c>
      <c r="F180" s="2" t="s">
        <v>35</v>
      </c>
      <c r="G180" s="2" t="s">
        <v>874</v>
      </c>
      <c r="H180" s="2" t="s">
        <v>50</v>
      </c>
      <c r="I180" s="2" t="s">
        <v>875</v>
      </c>
      <c r="J180" s="2" t="s">
        <v>305</v>
      </c>
      <c r="K180" s="2" t="s">
        <v>907</v>
      </c>
      <c r="L180" s="2" t="s">
        <v>75</v>
      </c>
      <c r="M180" s="2" t="s">
        <v>798</v>
      </c>
      <c r="N180" s="2" t="s">
        <v>140</v>
      </c>
      <c r="O180" s="2" t="n">
        <v>2</v>
      </c>
      <c r="P180" s="2" t="n">
        <v>2</v>
      </c>
      <c r="Q180" s="2" t="s">
        <v>41</v>
      </c>
      <c r="R180" s="2"/>
      <c r="S180" s="2" t="s">
        <v>211</v>
      </c>
      <c r="T180" s="2" t="s">
        <v>40</v>
      </c>
      <c r="U180" s="2"/>
      <c r="V180" s="2"/>
      <c r="W180" s="2" t="s">
        <v>212</v>
      </c>
      <c r="X180" s="2" t="s">
        <v>692</v>
      </c>
      <c r="Y180" s="2" t="n">
        <f aca="false">IF(AND(OR(Query_Interface!$B$5="All",$D180=Query_Interface!$B$5),OR(Query_Interface!$B$6="All",$F180=Query_Interface!$B$6),OR(Query_Interface!$B$7="All",$H180=Query_Interface!$B$7),OR(Query_Interface!$B$8="All",$N180=Query_Interface!$B$8),OR(Query_Interface!$B$9="All",$L180=Query_Interface!$B$9),OR(Query_Interface!$B$10="All",$R180=Query_Interface!$B$10),OR(Query_Interface!$B$11="All",$T180=Query_Interface!$B$11),OR(Query_Interface!$B$12="All",$Q180=Query_Interface!$B$12)),1,0)</f>
        <v>1</v>
      </c>
      <c r="Z180" s="2" t="n">
        <f aca="false">IF($Y180=1,COUNTIF($Y$2:$Y180,1),"")</f>
        <v>179</v>
      </c>
    </row>
    <row r="181" customFormat="false" ht="35.05" hidden="false" customHeight="false" outlineLevel="0" collapsed="false">
      <c r="A181" s="2" t="s">
        <v>453</v>
      </c>
      <c r="B181" s="2" t="n">
        <v>136</v>
      </c>
      <c r="C181" s="2" t="s">
        <v>686</v>
      </c>
      <c r="D181" s="2" t="s">
        <v>34</v>
      </c>
      <c r="E181" s="2" t="s">
        <v>873</v>
      </c>
      <c r="F181" s="2" t="s">
        <v>35</v>
      </c>
      <c r="G181" s="2" t="s">
        <v>874</v>
      </c>
      <c r="H181" s="2" t="s">
        <v>50</v>
      </c>
      <c r="I181" s="2" t="s">
        <v>875</v>
      </c>
      <c r="J181" s="2" t="s">
        <v>400</v>
      </c>
      <c r="K181" s="2" t="s">
        <v>908</v>
      </c>
      <c r="L181" s="2" t="s">
        <v>45</v>
      </c>
      <c r="M181" s="2" t="s">
        <v>722</v>
      </c>
      <c r="N181" s="2" t="s">
        <v>72</v>
      </c>
      <c r="O181" s="2" t="n">
        <v>1</v>
      </c>
      <c r="P181" s="2" t="n">
        <v>1</v>
      </c>
      <c r="Q181" s="2" t="s">
        <v>61</v>
      </c>
      <c r="R181" s="2"/>
      <c r="S181" s="2" t="s">
        <v>211</v>
      </c>
      <c r="T181" s="2" t="s">
        <v>40</v>
      </c>
      <c r="U181" s="2"/>
      <c r="V181" s="2"/>
      <c r="W181" s="2" t="s">
        <v>212</v>
      </c>
      <c r="X181" s="2" t="s">
        <v>692</v>
      </c>
      <c r="Y181" s="2" t="n">
        <f aca="false">IF(AND(OR(Query_Interface!$B$5="All",$D181=Query_Interface!$B$5),OR(Query_Interface!$B$6="All",$F181=Query_Interface!$B$6),OR(Query_Interface!$B$7="All",$H181=Query_Interface!$B$7),OR(Query_Interface!$B$8="All",$N181=Query_Interface!$B$8),OR(Query_Interface!$B$9="All",$L181=Query_Interface!$B$9),OR(Query_Interface!$B$10="All",$R181=Query_Interface!$B$10),OR(Query_Interface!$B$11="All",$T181=Query_Interface!$B$11),OR(Query_Interface!$B$12="All",$Q181=Query_Interface!$B$12)),1,0)</f>
        <v>1</v>
      </c>
      <c r="Z181" s="2" t="n">
        <f aca="false">IF($Y181=1,COUNTIF($Y$2:$Y181,1),"")</f>
        <v>180</v>
      </c>
    </row>
    <row r="182" customFormat="false" ht="35.05" hidden="false" customHeight="false" outlineLevel="0" collapsed="false">
      <c r="A182" s="2" t="s">
        <v>454</v>
      </c>
      <c r="B182" s="2" t="n">
        <v>137</v>
      </c>
      <c r="C182" s="2" t="s">
        <v>686</v>
      </c>
      <c r="D182" s="2" t="s">
        <v>34</v>
      </c>
      <c r="E182" s="2" t="s">
        <v>873</v>
      </c>
      <c r="F182" s="2" t="s">
        <v>35</v>
      </c>
      <c r="G182" s="2" t="s">
        <v>874</v>
      </c>
      <c r="H182" s="2" t="s">
        <v>50</v>
      </c>
      <c r="I182" s="2" t="s">
        <v>875</v>
      </c>
      <c r="J182" s="2" t="s">
        <v>455</v>
      </c>
      <c r="K182" s="2" t="s">
        <v>909</v>
      </c>
      <c r="L182" s="2" t="s">
        <v>69</v>
      </c>
      <c r="M182" s="2" t="s">
        <v>843</v>
      </c>
      <c r="N182" s="2" t="s">
        <v>120</v>
      </c>
      <c r="O182" s="2" t="n">
        <v>1</v>
      </c>
      <c r="P182" s="2" t="n">
        <v>1</v>
      </c>
      <c r="Q182" s="2" t="s">
        <v>61</v>
      </c>
      <c r="R182" s="2"/>
      <c r="S182" s="2" t="s">
        <v>230</v>
      </c>
      <c r="T182" s="2" t="s">
        <v>40</v>
      </c>
      <c r="U182" s="2"/>
      <c r="V182" s="2"/>
      <c r="W182" s="2" t="s">
        <v>212</v>
      </c>
      <c r="X182" s="2" t="s">
        <v>692</v>
      </c>
      <c r="Y182" s="2" t="n">
        <f aca="false">IF(AND(OR(Query_Interface!$B$5="All",$D182=Query_Interface!$B$5),OR(Query_Interface!$B$6="All",$F182=Query_Interface!$B$6),OR(Query_Interface!$B$7="All",$H182=Query_Interface!$B$7),OR(Query_Interface!$B$8="All",$N182=Query_Interface!$B$8),OR(Query_Interface!$B$9="All",$L182=Query_Interface!$B$9),OR(Query_Interface!$B$10="All",$R182=Query_Interface!$B$10),OR(Query_Interface!$B$11="All",$T182=Query_Interface!$B$11),OR(Query_Interface!$B$12="All",$Q182=Query_Interface!$B$12)),1,0)</f>
        <v>1</v>
      </c>
      <c r="Z182" s="2" t="n">
        <f aca="false">IF($Y182=1,COUNTIF($Y$2:$Y182,1),"")</f>
        <v>181</v>
      </c>
    </row>
    <row r="183" customFormat="false" ht="35.05" hidden="false" customHeight="false" outlineLevel="0" collapsed="false">
      <c r="A183" s="2" t="s">
        <v>456</v>
      </c>
      <c r="B183" s="2" t="n">
        <v>138</v>
      </c>
      <c r="C183" s="2" t="s">
        <v>686</v>
      </c>
      <c r="D183" s="2" t="s">
        <v>34</v>
      </c>
      <c r="E183" s="2" t="s">
        <v>873</v>
      </c>
      <c r="F183" s="2" t="s">
        <v>35</v>
      </c>
      <c r="G183" s="2" t="s">
        <v>874</v>
      </c>
      <c r="H183" s="2" t="s">
        <v>50</v>
      </c>
      <c r="I183" s="2" t="s">
        <v>875</v>
      </c>
      <c r="J183" s="2" t="s">
        <v>457</v>
      </c>
      <c r="K183" s="2" t="s">
        <v>910</v>
      </c>
      <c r="L183" s="2" t="s">
        <v>71</v>
      </c>
      <c r="M183" s="2" t="s">
        <v>808</v>
      </c>
      <c r="N183" s="2" t="s">
        <v>126</v>
      </c>
      <c r="O183" s="2" t="n">
        <v>1</v>
      </c>
      <c r="P183" s="2" t="n">
        <v>1</v>
      </c>
      <c r="Q183" s="2" t="s">
        <v>61</v>
      </c>
      <c r="R183" s="2"/>
      <c r="S183" s="2" t="s">
        <v>211</v>
      </c>
      <c r="T183" s="2" t="s">
        <v>40</v>
      </c>
      <c r="U183" s="2"/>
      <c r="V183" s="2"/>
      <c r="W183" s="2" t="s">
        <v>212</v>
      </c>
      <c r="X183" s="2" t="s">
        <v>692</v>
      </c>
      <c r="Y183" s="2" t="n">
        <f aca="false">IF(AND(OR(Query_Interface!$B$5="All",$D183=Query_Interface!$B$5),OR(Query_Interface!$B$6="All",$F183=Query_Interface!$B$6),OR(Query_Interface!$B$7="All",$H183=Query_Interface!$B$7),OR(Query_Interface!$B$8="All",$N183=Query_Interface!$B$8),OR(Query_Interface!$B$9="All",$L183=Query_Interface!$B$9),OR(Query_Interface!$B$10="All",$R183=Query_Interface!$B$10),OR(Query_Interface!$B$11="All",$T183=Query_Interface!$B$11),OR(Query_Interface!$B$12="All",$Q183=Query_Interface!$B$12)),1,0)</f>
        <v>1</v>
      </c>
      <c r="Z183" s="2" t="n">
        <f aca="false">IF($Y183=1,COUNTIF($Y$2:$Y183,1),"")</f>
        <v>182</v>
      </c>
    </row>
    <row r="184" customFormat="false" ht="35.05" hidden="false" customHeight="false" outlineLevel="0" collapsed="false">
      <c r="A184" s="2" t="s">
        <v>458</v>
      </c>
      <c r="B184" s="2" t="n">
        <v>139</v>
      </c>
      <c r="C184" s="2" t="s">
        <v>686</v>
      </c>
      <c r="D184" s="2" t="s">
        <v>34</v>
      </c>
      <c r="E184" s="2" t="s">
        <v>873</v>
      </c>
      <c r="F184" s="2" t="s">
        <v>35</v>
      </c>
      <c r="G184" s="2" t="s">
        <v>874</v>
      </c>
      <c r="H184" s="2" t="s">
        <v>50</v>
      </c>
      <c r="I184" s="2" t="s">
        <v>875</v>
      </c>
      <c r="J184" s="2" t="s">
        <v>410</v>
      </c>
      <c r="K184" s="2" t="s">
        <v>911</v>
      </c>
      <c r="L184" s="2" t="s">
        <v>75</v>
      </c>
      <c r="M184" s="2" t="s">
        <v>724</v>
      </c>
      <c r="N184" s="2" t="s">
        <v>142</v>
      </c>
      <c r="O184" s="2" t="n">
        <v>1</v>
      </c>
      <c r="P184" s="2" t="n">
        <v>3</v>
      </c>
      <c r="Q184" s="2" t="s">
        <v>41</v>
      </c>
      <c r="R184" s="2"/>
      <c r="S184" s="2" t="s">
        <v>215</v>
      </c>
      <c r="T184" s="2" t="s">
        <v>47</v>
      </c>
      <c r="U184" s="2"/>
      <c r="V184" s="2"/>
      <c r="W184" s="2" t="s">
        <v>212</v>
      </c>
      <c r="X184" s="2" t="s">
        <v>692</v>
      </c>
      <c r="Y184" s="2" t="n">
        <f aca="false">IF(AND(OR(Query_Interface!$B$5="All",$D184=Query_Interface!$B$5),OR(Query_Interface!$B$6="All",$F184=Query_Interface!$B$6),OR(Query_Interface!$B$7="All",$H184=Query_Interface!$B$7),OR(Query_Interface!$B$8="All",$N184=Query_Interface!$B$8),OR(Query_Interface!$B$9="All",$L184=Query_Interface!$B$9),OR(Query_Interface!$B$10="All",$R184=Query_Interface!$B$10),OR(Query_Interface!$B$11="All",$T184=Query_Interface!$B$11),OR(Query_Interface!$B$12="All",$Q184=Query_Interface!$B$12)),1,0)</f>
        <v>1</v>
      </c>
      <c r="Z184" s="2" t="n">
        <f aca="false">IF($Y184=1,COUNTIF($Y$2:$Y184,1),"")</f>
        <v>183</v>
      </c>
    </row>
    <row r="185" customFormat="false" ht="35.05" hidden="false" customHeight="false" outlineLevel="0" collapsed="false">
      <c r="A185" s="2" t="s">
        <v>458</v>
      </c>
      <c r="B185" s="2" t="n">
        <v>139</v>
      </c>
      <c r="C185" s="2" t="s">
        <v>686</v>
      </c>
      <c r="D185" s="2" t="s">
        <v>34</v>
      </c>
      <c r="E185" s="2" t="s">
        <v>873</v>
      </c>
      <c r="F185" s="2" t="s">
        <v>35</v>
      </c>
      <c r="G185" s="2" t="s">
        <v>874</v>
      </c>
      <c r="H185" s="2" t="s">
        <v>50</v>
      </c>
      <c r="I185" s="2" t="s">
        <v>875</v>
      </c>
      <c r="J185" s="2" t="s">
        <v>410</v>
      </c>
      <c r="K185" s="2" t="s">
        <v>911</v>
      </c>
      <c r="L185" s="2" t="s">
        <v>75</v>
      </c>
      <c r="M185" s="2" t="s">
        <v>744</v>
      </c>
      <c r="N185" s="2" t="s">
        <v>131</v>
      </c>
      <c r="O185" s="2" t="n">
        <v>2</v>
      </c>
      <c r="P185" s="2" t="n">
        <v>3</v>
      </c>
      <c r="Q185" s="2" t="s">
        <v>41</v>
      </c>
      <c r="R185" s="2"/>
      <c r="S185" s="2" t="s">
        <v>215</v>
      </c>
      <c r="T185" s="2" t="s">
        <v>47</v>
      </c>
      <c r="U185" s="2"/>
      <c r="V185" s="2"/>
      <c r="W185" s="2" t="s">
        <v>212</v>
      </c>
      <c r="X185" s="2" t="s">
        <v>692</v>
      </c>
      <c r="Y185" s="2" t="n">
        <f aca="false">IF(AND(OR(Query_Interface!$B$5="All",$D185=Query_Interface!$B$5),OR(Query_Interface!$B$6="All",$F185=Query_Interface!$B$6),OR(Query_Interface!$B$7="All",$H185=Query_Interface!$B$7),OR(Query_Interface!$B$8="All",$N185=Query_Interface!$B$8),OR(Query_Interface!$B$9="All",$L185=Query_Interface!$B$9),OR(Query_Interface!$B$10="All",$R185=Query_Interface!$B$10),OR(Query_Interface!$B$11="All",$T185=Query_Interface!$B$11),OR(Query_Interface!$B$12="All",$Q185=Query_Interface!$B$12)),1,0)</f>
        <v>1</v>
      </c>
      <c r="Z185" s="2" t="n">
        <f aca="false">IF($Y185=1,COUNTIF($Y$2:$Y185,1),"")</f>
        <v>184</v>
      </c>
    </row>
    <row r="186" customFormat="false" ht="35.05" hidden="false" customHeight="false" outlineLevel="0" collapsed="false">
      <c r="A186" s="2" t="s">
        <v>458</v>
      </c>
      <c r="B186" s="2" t="n">
        <v>139</v>
      </c>
      <c r="C186" s="2" t="s">
        <v>686</v>
      </c>
      <c r="D186" s="2" t="s">
        <v>34</v>
      </c>
      <c r="E186" s="2" t="s">
        <v>873</v>
      </c>
      <c r="F186" s="2" t="s">
        <v>35</v>
      </c>
      <c r="G186" s="2" t="s">
        <v>874</v>
      </c>
      <c r="H186" s="2" t="s">
        <v>50</v>
      </c>
      <c r="I186" s="2" t="s">
        <v>875</v>
      </c>
      <c r="J186" s="2" t="s">
        <v>410</v>
      </c>
      <c r="K186" s="2" t="s">
        <v>911</v>
      </c>
      <c r="L186" s="2" t="s">
        <v>75</v>
      </c>
      <c r="M186" s="2" t="s">
        <v>740</v>
      </c>
      <c r="N186" s="2" t="s">
        <v>82</v>
      </c>
      <c r="O186" s="2" t="n">
        <v>3</v>
      </c>
      <c r="P186" s="2" t="n">
        <v>3</v>
      </c>
      <c r="Q186" s="2" t="s">
        <v>41</v>
      </c>
      <c r="R186" s="2"/>
      <c r="S186" s="2" t="s">
        <v>215</v>
      </c>
      <c r="T186" s="2" t="s">
        <v>47</v>
      </c>
      <c r="U186" s="2"/>
      <c r="V186" s="2"/>
      <c r="W186" s="2" t="s">
        <v>212</v>
      </c>
      <c r="X186" s="2" t="s">
        <v>692</v>
      </c>
      <c r="Y186" s="2" t="n">
        <f aca="false">IF(AND(OR(Query_Interface!$B$5="All",$D186=Query_Interface!$B$5),OR(Query_Interface!$B$6="All",$F186=Query_Interface!$B$6),OR(Query_Interface!$B$7="All",$H186=Query_Interface!$B$7),OR(Query_Interface!$B$8="All",$N186=Query_Interface!$B$8),OR(Query_Interface!$B$9="All",$L186=Query_Interface!$B$9),OR(Query_Interface!$B$10="All",$R186=Query_Interface!$B$10),OR(Query_Interface!$B$11="All",$T186=Query_Interface!$B$11),OR(Query_Interface!$B$12="All",$Q186=Query_Interface!$B$12)),1,0)</f>
        <v>1</v>
      </c>
      <c r="Z186" s="2" t="n">
        <f aca="false">IF($Y186=1,COUNTIF($Y$2:$Y186,1),"")</f>
        <v>185</v>
      </c>
    </row>
    <row r="187" customFormat="false" ht="46.25" hidden="false" customHeight="false" outlineLevel="0" collapsed="false">
      <c r="A187" s="2" t="s">
        <v>459</v>
      </c>
      <c r="B187" s="2" t="n">
        <v>140</v>
      </c>
      <c r="C187" s="2" t="s">
        <v>686</v>
      </c>
      <c r="D187" s="2" t="s">
        <v>34</v>
      </c>
      <c r="E187" s="2" t="s">
        <v>873</v>
      </c>
      <c r="F187" s="2" t="s">
        <v>35</v>
      </c>
      <c r="G187" s="2" t="s">
        <v>912</v>
      </c>
      <c r="H187" s="2" t="s">
        <v>56</v>
      </c>
      <c r="I187" s="2" t="s">
        <v>913</v>
      </c>
      <c r="J187" s="2" t="s">
        <v>460</v>
      </c>
      <c r="K187" s="2" t="s">
        <v>914</v>
      </c>
      <c r="L187" s="2" t="s">
        <v>75</v>
      </c>
      <c r="M187" s="2" t="s">
        <v>804</v>
      </c>
      <c r="N187" s="2" t="s">
        <v>147</v>
      </c>
      <c r="O187" s="2" t="n">
        <v>1</v>
      </c>
      <c r="P187" s="2" t="n">
        <v>1</v>
      </c>
      <c r="Q187" s="2" t="s">
        <v>61</v>
      </c>
      <c r="R187" s="2" t="s">
        <v>46</v>
      </c>
      <c r="S187" s="2" t="s">
        <v>230</v>
      </c>
      <c r="T187" s="2" t="s">
        <v>67</v>
      </c>
      <c r="U187" s="2" t="s">
        <v>461</v>
      </c>
      <c r="V187" s="2" t="n">
        <v>2</v>
      </c>
      <c r="W187" s="2" t="s">
        <v>462</v>
      </c>
      <c r="X187" s="2" t="s">
        <v>915</v>
      </c>
      <c r="Y187" s="2" t="n">
        <f aca="false">IF(AND(OR(Query_Interface!$B$5="All",$D187=Query_Interface!$B$5),OR(Query_Interface!$B$6="All",$F187=Query_Interface!$B$6),OR(Query_Interface!$B$7="All",$H187=Query_Interface!$B$7),OR(Query_Interface!$B$8="All",$N187=Query_Interface!$B$8),OR(Query_Interface!$B$9="All",$L187=Query_Interface!$B$9),OR(Query_Interface!$B$10="All",$R187=Query_Interface!$B$10),OR(Query_Interface!$B$11="All",$T187=Query_Interface!$B$11),OR(Query_Interface!$B$12="All",$Q187=Query_Interface!$B$12)),1,0)</f>
        <v>1</v>
      </c>
      <c r="Z187" s="2" t="n">
        <f aca="false">IF($Y187=1,COUNTIF($Y$2:$Y187,1),"")</f>
        <v>186</v>
      </c>
    </row>
    <row r="188" customFormat="false" ht="46.25" hidden="false" customHeight="false" outlineLevel="0" collapsed="false">
      <c r="A188" s="2" t="s">
        <v>463</v>
      </c>
      <c r="B188" s="2" t="n">
        <v>141</v>
      </c>
      <c r="C188" s="2" t="s">
        <v>686</v>
      </c>
      <c r="D188" s="2" t="s">
        <v>34</v>
      </c>
      <c r="E188" s="2" t="s">
        <v>873</v>
      </c>
      <c r="F188" s="2" t="s">
        <v>35</v>
      </c>
      <c r="G188" s="2" t="s">
        <v>912</v>
      </c>
      <c r="H188" s="2" t="s">
        <v>56</v>
      </c>
      <c r="I188" s="2" t="s">
        <v>913</v>
      </c>
      <c r="J188" s="2" t="s">
        <v>214</v>
      </c>
      <c r="K188" s="2" t="s">
        <v>916</v>
      </c>
      <c r="L188" s="2" t="s">
        <v>75</v>
      </c>
      <c r="M188" s="2" t="s">
        <v>694</v>
      </c>
      <c r="N188" s="2" t="s">
        <v>139</v>
      </c>
      <c r="O188" s="2" t="n">
        <v>1</v>
      </c>
      <c r="P188" s="2" t="n">
        <v>1</v>
      </c>
      <c r="Q188" s="2" t="s">
        <v>61</v>
      </c>
      <c r="R188" s="2" t="s">
        <v>39</v>
      </c>
      <c r="S188" s="2" t="s">
        <v>215</v>
      </c>
      <c r="T188" s="2" t="s">
        <v>67</v>
      </c>
      <c r="U188" s="2" t="s">
        <v>461</v>
      </c>
      <c r="V188" s="2" t="n">
        <v>4</v>
      </c>
      <c r="W188" s="2" t="s">
        <v>462</v>
      </c>
      <c r="X188" s="2" t="s">
        <v>915</v>
      </c>
      <c r="Y188" s="2" t="n">
        <f aca="false">IF(AND(OR(Query_Interface!$B$5="All",$D188=Query_Interface!$B$5),OR(Query_Interface!$B$6="All",$F188=Query_Interface!$B$6),OR(Query_Interface!$B$7="All",$H188=Query_Interface!$B$7),OR(Query_Interface!$B$8="All",$N188=Query_Interface!$B$8),OR(Query_Interface!$B$9="All",$L188=Query_Interface!$B$9),OR(Query_Interface!$B$10="All",$R188=Query_Interface!$B$10),OR(Query_Interface!$B$11="All",$T188=Query_Interface!$B$11),OR(Query_Interface!$B$12="All",$Q188=Query_Interface!$B$12)),1,0)</f>
        <v>1</v>
      </c>
      <c r="Z188" s="2" t="n">
        <f aca="false">IF($Y188=1,COUNTIF($Y$2:$Y188,1),"")</f>
        <v>187</v>
      </c>
    </row>
    <row r="189" customFormat="false" ht="46.25" hidden="false" customHeight="false" outlineLevel="0" collapsed="false">
      <c r="A189" s="2" t="s">
        <v>464</v>
      </c>
      <c r="B189" s="2" t="n">
        <v>142</v>
      </c>
      <c r="C189" s="2" t="s">
        <v>686</v>
      </c>
      <c r="D189" s="2" t="s">
        <v>34</v>
      </c>
      <c r="E189" s="2" t="s">
        <v>873</v>
      </c>
      <c r="F189" s="2" t="s">
        <v>35</v>
      </c>
      <c r="G189" s="2" t="s">
        <v>912</v>
      </c>
      <c r="H189" s="2" t="s">
        <v>56</v>
      </c>
      <c r="I189" s="2" t="s">
        <v>913</v>
      </c>
      <c r="J189" s="2" t="s">
        <v>465</v>
      </c>
      <c r="K189" s="2" t="s">
        <v>917</v>
      </c>
      <c r="L189" s="2" t="s">
        <v>75</v>
      </c>
      <c r="M189" s="2" t="s">
        <v>806</v>
      </c>
      <c r="N189" s="2" t="s">
        <v>145</v>
      </c>
      <c r="O189" s="2" t="n">
        <v>1</v>
      </c>
      <c r="P189" s="2" t="n">
        <v>1</v>
      </c>
      <c r="Q189" s="2" t="s">
        <v>61</v>
      </c>
      <c r="R189" s="2" t="s">
        <v>53</v>
      </c>
      <c r="S189" s="2" t="s">
        <v>233</v>
      </c>
      <c r="T189" s="2" t="s">
        <v>67</v>
      </c>
      <c r="U189" s="2" t="s">
        <v>461</v>
      </c>
      <c r="V189" s="2" t="n">
        <v>2</v>
      </c>
      <c r="W189" s="2" t="s">
        <v>462</v>
      </c>
      <c r="X189" s="2" t="s">
        <v>915</v>
      </c>
      <c r="Y189" s="2" t="n">
        <f aca="false">IF(AND(OR(Query_Interface!$B$5="All",$D189=Query_Interface!$B$5),OR(Query_Interface!$B$6="All",$F189=Query_Interface!$B$6),OR(Query_Interface!$B$7="All",$H189=Query_Interface!$B$7),OR(Query_Interface!$B$8="All",$N189=Query_Interface!$B$8),OR(Query_Interface!$B$9="All",$L189=Query_Interface!$B$9),OR(Query_Interface!$B$10="All",$R189=Query_Interface!$B$10),OR(Query_Interface!$B$11="All",$T189=Query_Interface!$B$11),OR(Query_Interface!$B$12="All",$Q189=Query_Interface!$B$12)),1,0)</f>
        <v>1</v>
      </c>
      <c r="Z189" s="2" t="n">
        <f aca="false">IF($Y189=1,COUNTIF($Y$2:$Y189,1),"")</f>
        <v>188</v>
      </c>
    </row>
    <row r="190" customFormat="false" ht="46.25" hidden="false" customHeight="false" outlineLevel="0" collapsed="false">
      <c r="A190" s="2" t="s">
        <v>466</v>
      </c>
      <c r="B190" s="2" t="n">
        <v>143</v>
      </c>
      <c r="C190" s="2" t="s">
        <v>686</v>
      </c>
      <c r="D190" s="2" t="s">
        <v>34</v>
      </c>
      <c r="E190" s="2" t="s">
        <v>873</v>
      </c>
      <c r="F190" s="2" t="s">
        <v>35</v>
      </c>
      <c r="G190" s="2" t="s">
        <v>912</v>
      </c>
      <c r="H190" s="2" t="s">
        <v>56</v>
      </c>
      <c r="I190" s="2" t="s">
        <v>913</v>
      </c>
      <c r="J190" s="2" t="s">
        <v>413</v>
      </c>
      <c r="K190" s="2" t="s">
        <v>918</v>
      </c>
      <c r="L190" s="2" t="s">
        <v>73</v>
      </c>
      <c r="M190" s="2" t="s">
        <v>740</v>
      </c>
      <c r="N190" s="2" t="s">
        <v>82</v>
      </c>
      <c r="O190" s="2" t="n">
        <v>1</v>
      </c>
      <c r="P190" s="2" t="n">
        <v>3</v>
      </c>
      <c r="Q190" s="2" t="s">
        <v>41</v>
      </c>
      <c r="R190" s="2" t="s">
        <v>39</v>
      </c>
      <c r="S190" s="2" t="s">
        <v>215</v>
      </c>
      <c r="T190" s="2" t="s">
        <v>64</v>
      </c>
      <c r="U190" s="2" t="s">
        <v>461</v>
      </c>
      <c r="V190" s="2" t="n">
        <v>1</v>
      </c>
      <c r="W190" s="2" t="s">
        <v>462</v>
      </c>
      <c r="X190" s="2" t="s">
        <v>915</v>
      </c>
      <c r="Y190" s="2" t="n">
        <f aca="false">IF(AND(OR(Query_Interface!$B$5="All",$D190=Query_Interface!$B$5),OR(Query_Interface!$B$6="All",$F190=Query_Interface!$B$6),OR(Query_Interface!$B$7="All",$H190=Query_Interface!$B$7),OR(Query_Interface!$B$8="All",$N190=Query_Interface!$B$8),OR(Query_Interface!$B$9="All",$L190=Query_Interface!$B$9),OR(Query_Interface!$B$10="All",$R190=Query_Interface!$B$10),OR(Query_Interface!$B$11="All",$T190=Query_Interface!$B$11),OR(Query_Interface!$B$12="All",$Q190=Query_Interface!$B$12)),1,0)</f>
        <v>1</v>
      </c>
      <c r="Z190" s="2" t="n">
        <f aca="false">IF($Y190=1,COUNTIF($Y$2:$Y190,1),"")</f>
        <v>189</v>
      </c>
    </row>
    <row r="191" customFormat="false" ht="46.25" hidden="false" customHeight="false" outlineLevel="0" collapsed="false">
      <c r="A191" s="2" t="s">
        <v>466</v>
      </c>
      <c r="B191" s="2" t="n">
        <v>143</v>
      </c>
      <c r="C191" s="2" t="s">
        <v>686</v>
      </c>
      <c r="D191" s="2" t="s">
        <v>34</v>
      </c>
      <c r="E191" s="2" t="s">
        <v>873</v>
      </c>
      <c r="F191" s="2" t="s">
        <v>35</v>
      </c>
      <c r="G191" s="2" t="s">
        <v>912</v>
      </c>
      <c r="H191" s="2" t="s">
        <v>56</v>
      </c>
      <c r="I191" s="2" t="s">
        <v>913</v>
      </c>
      <c r="J191" s="2" t="s">
        <v>413</v>
      </c>
      <c r="K191" s="2" t="s">
        <v>918</v>
      </c>
      <c r="L191" s="2" t="s">
        <v>73</v>
      </c>
      <c r="M191" s="2" t="s">
        <v>744</v>
      </c>
      <c r="N191" s="2" t="s">
        <v>131</v>
      </c>
      <c r="O191" s="2" t="n">
        <v>2</v>
      </c>
      <c r="P191" s="2" t="n">
        <v>3</v>
      </c>
      <c r="Q191" s="2" t="s">
        <v>41</v>
      </c>
      <c r="R191" s="2" t="s">
        <v>39</v>
      </c>
      <c r="S191" s="2" t="s">
        <v>215</v>
      </c>
      <c r="T191" s="2" t="s">
        <v>64</v>
      </c>
      <c r="U191" s="2" t="s">
        <v>461</v>
      </c>
      <c r="V191" s="2" t="n">
        <v>1</v>
      </c>
      <c r="W191" s="2" t="s">
        <v>462</v>
      </c>
      <c r="X191" s="2" t="s">
        <v>915</v>
      </c>
      <c r="Y191" s="2" t="n">
        <f aca="false">IF(AND(OR(Query_Interface!$B$5="All",$D191=Query_Interface!$B$5),OR(Query_Interface!$B$6="All",$F191=Query_Interface!$B$6),OR(Query_Interface!$B$7="All",$H191=Query_Interface!$B$7),OR(Query_Interface!$B$8="All",$N191=Query_Interface!$B$8),OR(Query_Interface!$B$9="All",$L191=Query_Interface!$B$9),OR(Query_Interface!$B$10="All",$R191=Query_Interface!$B$10),OR(Query_Interface!$B$11="All",$T191=Query_Interface!$B$11),OR(Query_Interface!$B$12="All",$Q191=Query_Interface!$B$12)),1,0)</f>
        <v>1</v>
      </c>
      <c r="Z191" s="2" t="n">
        <f aca="false">IF($Y191=1,COUNTIF($Y$2:$Y191,1),"")</f>
        <v>190</v>
      </c>
    </row>
    <row r="192" customFormat="false" ht="46.25" hidden="false" customHeight="false" outlineLevel="0" collapsed="false">
      <c r="A192" s="2" t="s">
        <v>466</v>
      </c>
      <c r="B192" s="2" t="n">
        <v>143</v>
      </c>
      <c r="C192" s="2" t="s">
        <v>686</v>
      </c>
      <c r="D192" s="2" t="s">
        <v>34</v>
      </c>
      <c r="E192" s="2" t="s">
        <v>873</v>
      </c>
      <c r="F192" s="2" t="s">
        <v>35</v>
      </c>
      <c r="G192" s="2" t="s">
        <v>912</v>
      </c>
      <c r="H192" s="2" t="s">
        <v>56</v>
      </c>
      <c r="I192" s="2" t="s">
        <v>913</v>
      </c>
      <c r="J192" s="2" t="s">
        <v>413</v>
      </c>
      <c r="K192" s="2" t="s">
        <v>918</v>
      </c>
      <c r="L192" s="2" t="s">
        <v>73</v>
      </c>
      <c r="M192" s="2" t="s">
        <v>724</v>
      </c>
      <c r="N192" s="2" t="s">
        <v>142</v>
      </c>
      <c r="O192" s="2" t="n">
        <v>3</v>
      </c>
      <c r="P192" s="2" t="n">
        <v>3</v>
      </c>
      <c r="Q192" s="2" t="s">
        <v>41</v>
      </c>
      <c r="R192" s="2" t="s">
        <v>39</v>
      </c>
      <c r="S192" s="2" t="s">
        <v>215</v>
      </c>
      <c r="T192" s="2" t="s">
        <v>64</v>
      </c>
      <c r="U192" s="2" t="s">
        <v>461</v>
      </c>
      <c r="V192" s="2" t="n">
        <v>1</v>
      </c>
      <c r="W192" s="2" t="s">
        <v>462</v>
      </c>
      <c r="X192" s="2" t="s">
        <v>915</v>
      </c>
      <c r="Y192" s="2" t="n">
        <f aca="false">IF(AND(OR(Query_Interface!$B$5="All",$D192=Query_Interface!$B$5),OR(Query_Interface!$B$6="All",$F192=Query_Interface!$B$6),OR(Query_Interface!$B$7="All",$H192=Query_Interface!$B$7),OR(Query_Interface!$B$8="All",$N192=Query_Interface!$B$8),OR(Query_Interface!$B$9="All",$L192=Query_Interface!$B$9),OR(Query_Interface!$B$10="All",$R192=Query_Interface!$B$10),OR(Query_Interface!$B$11="All",$T192=Query_Interface!$B$11),OR(Query_Interface!$B$12="All",$Q192=Query_Interface!$B$12)),1,0)</f>
        <v>1</v>
      </c>
      <c r="Z192" s="2" t="n">
        <f aca="false">IF($Y192=1,COUNTIF($Y$2:$Y192,1),"")</f>
        <v>191</v>
      </c>
    </row>
    <row r="193" customFormat="false" ht="46.25" hidden="false" customHeight="false" outlineLevel="0" collapsed="false">
      <c r="A193" s="2" t="s">
        <v>467</v>
      </c>
      <c r="B193" s="2" t="n">
        <v>144</v>
      </c>
      <c r="C193" s="2" t="s">
        <v>686</v>
      </c>
      <c r="D193" s="2" t="s">
        <v>34</v>
      </c>
      <c r="E193" s="2" t="s">
        <v>873</v>
      </c>
      <c r="F193" s="2" t="s">
        <v>35</v>
      </c>
      <c r="G193" s="2" t="s">
        <v>912</v>
      </c>
      <c r="H193" s="2" t="s">
        <v>56</v>
      </c>
      <c r="I193" s="2" t="s">
        <v>913</v>
      </c>
      <c r="J193" s="2" t="s">
        <v>219</v>
      </c>
      <c r="K193" s="2" t="s">
        <v>919</v>
      </c>
      <c r="L193" s="2" t="s">
        <v>66</v>
      </c>
      <c r="M193" s="2" t="s">
        <v>698</v>
      </c>
      <c r="N193" s="2" t="s">
        <v>104</v>
      </c>
      <c r="O193" s="2" t="n">
        <v>1</v>
      </c>
      <c r="P193" s="2" t="n">
        <v>1</v>
      </c>
      <c r="Q193" s="2" t="s">
        <v>61</v>
      </c>
      <c r="R193" s="2" t="s">
        <v>59</v>
      </c>
      <c r="S193" s="2" t="s">
        <v>211</v>
      </c>
      <c r="T193" s="2" t="s">
        <v>64</v>
      </c>
      <c r="U193" s="2" t="s">
        <v>461</v>
      </c>
      <c r="V193" s="2" t="n">
        <v>1</v>
      </c>
      <c r="W193" s="2" t="s">
        <v>462</v>
      </c>
      <c r="X193" s="2" t="s">
        <v>915</v>
      </c>
      <c r="Y193" s="2" t="n">
        <f aca="false">IF(AND(OR(Query_Interface!$B$5="All",$D193=Query_Interface!$B$5),OR(Query_Interface!$B$6="All",$F193=Query_Interface!$B$6),OR(Query_Interface!$B$7="All",$H193=Query_Interface!$B$7),OR(Query_Interface!$B$8="All",$N193=Query_Interface!$B$8),OR(Query_Interface!$B$9="All",$L193=Query_Interface!$B$9),OR(Query_Interface!$B$10="All",$R193=Query_Interface!$B$10),OR(Query_Interface!$B$11="All",$T193=Query_Interface!$B$11),OR(Query_Interface!$B$12="All",$Q193=Query_Interface!$B$12)),1,0)</f>
        <v>1</v>
      </c>
      <c r="Z193" s="2" t="n">
        <f aca="false">IF($Y193=1,COUNTIF($Y$2:$Y193,1),"")</f>
        <v>192</v>
      </c>
    </row>
    <row r="194" customFormat="false" ht="46.25" hidden="false" customHeight="false" outlineLevel="0" collapsed="false">
      <c r="A194" s="2" t="s">
        <v>468</v>
      </c>
      <c r="B194" s="2" t="n">
        <v>145</v>
      </c>
      <c r="C194" s="2" t="s">
        <v>686</v>
      </c>
      <c r="D194" s="2" t="s">
        <v>34</v>
      </c>
      <c r="E194" s="2" t="s">
        <v>873</v>
      </c>
      <c r="F194" s="2" t="s">
        <v>35</v>
      </c>
      <c r="G194" s="2" t="s">
        <v>912</v>
      </c>
      <c r="H194" s="2" t="s">
        <v>56</v>
      </c>
      <c r="I194" s="2" t="s">
        <v>913</v>
      </c>
      <c r="J194" s="2" t="s">
        <v>339</v>
      </c>
      <c r="K194" s="2" t="s">
        <v>920</v>
      </c>
      <c r="L194" s="2" t="s">
        <v>52</v>
      </c>
      <c r="M194" s="2" t="s">
        <v>768</v>
      </c>
      <c r="N194" s="2" t="s">
        <v>90</v>
      </c>
      <c r="O194" s="2" t="n">
        <v>1</v>
      </c>
      <c r="P194" s="2" t="n">
        <v>1</v>
      </c>
      <c r="Q194" s="2" t="s">
        <v>61</v>
      </c>
      <c r="R194" s="2" t="s">
        <v>46</v>
      </c>
      <c r="S194" s="2" t="s">
        <v>230</v>
      </c>
      <c r="T194" s="2" t="s">
        <v>64</v>
      </c>
      <c r="U194" s="2" t="s">
        <v>461</v>
      </c>
      <c r="V194" s="2" t="n">
        <v>1</v>
      </c>
      <c r="W194" s="2" t="s">
        <v>462</v>
      </c>
      <c r="X194" s="2" t="s">
        <v>915</v>
      </c>
      <c r="Y194" s="2" t="n">
        <f aca="false">IF(AND(OR(Query_Interface!$B$5="All",$D194=Query_Interface!$B$5),OR(Query_Interface!$B$6="All",$F194=Query_Interface!$B$6),OR(Query_Interface!$B$7="All",$H194=Query_Interface!$B$7),OR(Query_Interface!$B$8="All",$N194=Query_Interface!$B$8),OR(Query_Interface!$B$9="All",$L194=Query_Interface!$B$9),OR(Query_Interface!$B$10="All",$R194=Query_Interface!$B$10),OR(Query_Interface!$B$11="All",$T194=Query_Interface!$B$11),OR(Query_Interface!$B$12="All",$Q194=Query_Interface!$B$12)),1,0)</f>
        <v>1</v>
      </c>
      <c r="Z194" s="2" t="n">
        <f aca="false">IF($Y194=1,COUNTIF($Y$2:$Y194,1),"")</f>
        <v>193</v>
      </c>
    </row>
    <row r="195" customFormat="false" ht="46.25" hidden="false" customHeight="false" outlineLevel="0" collapsed="false">
      <c r="A195" s="2" t="s">
        <v>469</v>
      </c>
      <c r="B195" s="2" t="n">
        <v>146</v>
      </c>
      <c r="C195" s="2" t="s">
        <v>686</v>
      </c>
      <c r="D195" s="2" t="s">
        <v>34</v>
      </c>
      <c r="E195" s="2" t="s">
        <v>873</v>
      </c>
      <c r="F195" s="2" t="s">
        <v>35</v>
      </c>
      <c r="G195" s="2" t="s">
        <v>912</v>
      </c>
      <c r="H195" s="2" t="s">
        <v>56</v>
      </c>
      <c r="I195" s="2" t="s">
        <v>913</v>
      </c>
      <c r="J195" s="2" t="s">
        <v>221</v>
      </c>
      <c r="K195" s="2" t="s">
        <v>921</v>
      </c>
      <c r="L195" s="2" t="s">
        <v>75</v>
      </c>
      <c r="M195" s="2" t="s">
        <v>700</v>
      </c>
      <c r="N195" s="2" t="s">
        <v>141</v>
      </c>
      <c r="O195" s="2" t="n">
        <v>1</v>
      </c>
      <c r="P195" s="2" t="n">
        <v>1</v>
      </c>
      <c r="Q195" s="2" t="s">
        <v>61</v>
      </c>
      <c r="R195" s="2" t="s">
        <v>39</v>
      </c>
      <c r="S195" s="2" t="s">
        <v>215</v>
      </c>
      <c r="T195" s="2" t="s">
        <v>67</v>
      </c>
      <c r="U195" s="2" t="s">
        <v>461</v>
      </c>
      <c r="V195" s="2" t="n">
        <v>3</v>
      </c>
      <c r="W195" s="2" t="s">
        <v>462</v>
      </c>
      <c r="X195" s="2" t="s">
        <v>915</v>
      </c>
      <c r="Y195" s="2" t="n">
        <f aca="false">IF(AND(OR(Query_Interface!$B$5="All",$D195=Query_Interface!$B$5),OR(Query_Interface!$B$6="All",$F195=Query_Interface!$B$6),OR(Query_Interface!$B$7="All",$H195=Query_Interface!$B$7),OR(Query_Interface!$B$8="All",$N195=Query_Interface!$B$8),OR(Query_Interface!$B$9="All",$L195=Query_Interface!$B$9),OR(Query_Interface!$B$10="All",$R195=Query_Interface!$B$10),OR(Query_Interface!$B$11="All",$T195=Query_Interface!$B$11),OR(Query_Interface!$B$12="All",$Q195=Query_Interface!$B$12)),1,0)</f>
        <v>1</v>
      </c>
      <c r="Z195" s="2" t="n">
        <f aca="false">IF($Y195=1,COUNTIF($Y$2:$Y195,1),"")</f>
        <v>194</v>
      </c>
    </row>
    <row r="196" customFormat="false" ht="46.25" hidden="false" customHeight="false" outlineLevel="0" collapsed="false">
      <c r="A196" s="2" t="s">
        <v>470</v>
      </c>
      <c r="B196" s="2" t="n">
        <v>147</v>
      </c>
      <c r="C196" s="2" t="s">
        <v>686</v>
      </c>
      <c r="D196" s="2" t="s">
        <v>34</v>
      </c>
      <c r="E196" s="2" t="s">
        <v>873</v>
      </c>
      <c r="F196" s="2" t="s">
        <v>35</v>
      </c>
      <c r="G196" s="2" t="s">
        <v>912</v>
      </c>
      <c r="H196" s="2" t="s">
        <v>56</v>
      </c>
      <c r="I196" s="2" t="s">
        <v>913</v>
      </c>
      <c r="J196" s="2" t="s">
        <v>342</v>
      </c>
      <c r="K196" s="2" t="s">
        <v>922</v>
      </c>
      <c r="L196" s="2" t="s">
        <v>66</v>
      </c>
      <c r="M196" s="2" t="s">
        <v>705</v>
      </c>
      <c r="N196" s="2" t="s">
        <v>98</v>
      </c>
      <c r="O196" s="2" t="n">
        <v>1</v>
      </c>
      <c r="P196" s="2" t="n">
        <v>1</v>
      </c>
      <c r="Q196" s="2" t="s">
        <v>61</v>
      </c>
      <c r="R196" s="2" t="s">
        <v>39</v>
      </c>
      <c r="S196" s="2" t="s">
        <v>215</v>
      </c>
      <c r="T196" s="2" t="s">
        <v>67</v>
      </c>
      <c r="U196" s="2" t="s">
        <v>461</v>
      </c>
      <c r="V196" s="2" t="n">
        <v>3</v>
      </c>
      <c r="W196" s="2" t="s">
        <v>462</v>
      </c>
      <c r="X196" s="2" t="s">
        <v>915</v>
      </c>
      <c r="Y196" s="2" t="n">
        <f aca="false">IF(AND(OR(Query_Interface!$B$5="All",$D196=Query_Interface!$B$5),OR(Query_Interface!$B$6="All",$F196=Query_Interface!$B$6),OR(Query_Interface!$B$7="All",$H196=Query_Interface!$B$7),OR(Query_Interface!$B$8="All",$N196=Query_Interface!$B$8),OR(Query_Interface!$B$9="All",$L196=Query_Interface!$B$9),OR(Query_Interface!$B$10="All",$R196=Query_Interface!$B$10),OR(Query_Interface!$B$11="All",$T196=Query_Interface!$B$11),OR(Query_Interface!$B$12="All",$Q196=Query_Interface!$B$12)),1,0)</f>
        <v>1</v>
      </c>
      <c r="Z196" s="2" t="n">
        <f aca="false">IF($Y196=1,COUNTIF($Y$2:$Y196,1),"")</f>
        <v>195</v>
      </c>
    </row>
    <row r="197" customFormat="false" ht="46.25" hidden="false" customHeight="false" outlineLevel="0" collapsed="false">
      <c r="A197" s="2" t="s">
        <v>471</v>
      </c>
      <c r="B197" s="2" t="n">
        <v>148</v>
      </c>
      <c r="C197" s="2" t="s">
        <v>686</v>
      </c>
      <c r="D197" s="2" t="s">
        <v>34</v>
      </c>
      <c r="E197" s="2" t="s">
        <v>873</v>
      </c>
      <c r="F197" s="2" t="s">
        <v>35</v>
      </c>
      <c r="G197" s="2" t="s">
        <v>912</v>
      </c>
      <c r="H197" s="2" t="s">
        <v>56</v>
      </c>
      <c r="I197" s="2" t="s">
        <v>913</v>
      </c>
      <c r="J197" s="2" t="s">
        <v>472</v>
      </c>
      <c r="K197" s="2" t="s">
        <v>923</v>
      </c>
      <c r="L197" s="2" t="s">
        <v>69</v>
      </c>
      <c r="M197" s="2" t="s">
        <v>702</v>
      </c>
      <c r="N197" s="2" t="s">
        <v>106</v>
      </c>
      <c r="O197" s="2" t="n">
        <v>1</v>
      </c>
      <c r="P197" s="2" t="n">
        <v>1</v>
      </c>
      <c r="Q197" s="2" t="s">
        <v>61</v>
      </c>
      <c r="R197" s="2" t="s">
        <v>39</v>
      </c>
      <c r="S197" s="2" t="s">
        <v>215</v>
      </c>
      <c r="T197" s="2" t="s">
        <v>67</v>
      </c>
      <c r="U197" s="2" t="s">
        <v>461</v>
      </c>
      <c r="V197" s="2" t="n">
        <v>3</v>
      </c>
      <c r="W197" s="2" t="s">
        <v>462</v>
      </c>
      <c r="X197" s="2" t="s">
        <v>915</v>
      </c>
      <c r="Y197" s="2" t="n">
        <f aca="false">IF(AND(OR(Query_Interface!$B$5="All",$D197=Query_Interface!$B$5),OR(Query_Interface!$B$6="All",$F197=Query_Interface!$B$6),OR(Query_Interface!$B$7="All",$H197=Query_Interface!$B$7),OR(Query_Interface!$B$8="All",$N197=Query_Interface!$B$8),OR(Query_Interface!$B$9="All",$L197=Query_Interface!$B$9),OR(Query_Interface!$B$10="All",$R197=Query_Interface!$B$10),OR(Query_Interface!$B$11="All",$T197=Query_Interface!$B$11),OR(Query_Interface!$B$12="All",$Q197=Query_Interface!$B$12)),1,0)</f>
        <v>1</v>
      </c>
      <c r="Z197" s="2" t="n">
        <f aca="false">IF($Y197=1,COUNTIF($Y$2:$Y197,1),"")</f>
        <v>196</v>
      </c>
    </row>
    <row r="198" customFormat="false" ht="35.05" hidden="false" customHeight="false" outlineLevel="0" collapsed="false">
      <c r="A198" s="2" t="s">
        <v>473</v>
      </c>
      <c r="B198" s="2" t="n">
        <v>149</v>
      </c>
      <c r="C198" s="2" t="s">
        <v>686</v>
      </c>
      <c r="D198" s="2" t="s">
        <v>34</v>
      </c>
      <c r="E198" s="2" t="s">
        <v>873</v>
      </c>
      <c r="F198" s="2" t="s">
        <v>35</v>
      </c>
      <c r="G198" s="2" t="s">
        <v>912</v>
      </c>
      <c r="H198" s="2" t="s">
        <v>56</v>
      </c>
      <c r="I198" s="2" t="s">
        <v>913</v>
      </c>
      <c r="J198" s="2" t="s">
        <v>474</v>
      </c>
      <c r="K198" s="2" t="s">
        <v>924</v>
      </c>
      <c r="L198" s="2" t="s">
        <v>69</v>
      </c>
      <c r="M198" s="2" t="s">
        <v>886</v>
      </c>
      <c r="N198" s="2" t="s">
        <v>423</v>
      </c>
      <c r="O198" s="2" t="n">
        <v>1</v>
      </c>
      <c r="P198" s="2" t="n">
        <v>0</v>
      </c>
      <c r="Q198" s="2" t="s">
        <v>55</v>
      </c>
      <c r="R198" s="2"/>
      <c r="S198" s="2"/>
      <c r="T198" s="2"/>
      <c r="U198" s="2"/>
      <c r="V198" s="2"/>
      <c r="W198" s="2" t="s">
        <v>212</v>
      </c>
      <c r="X198" s="2" t="s">
        <v>692</v>
      </c>
      <c r="Y198" s="2" t="n">
        <f aca="false">IF(AND(OR(Query_Interface!$B$5="All",$D198=Query_Interface!$B$5),OR(Query_Interface!$B$6="All",$F198=Query_Interface!$B$6),OR(Query_Interface!$B$7="All",$H198=Query_Interface!$B$7),OR(Query_Interface!$B$8="All",$N198=Query_Interface!$B$8),OR(Query_Interface!$B$9="All",$L198=Query_Interface!$B$9),OR(Query_Interface!$B$10="All",$R198=Query_Interface!$B$10),OR(Query_Interface!$B$11="All",$T198=Query_Interface!$B$11),OR(Query_Interface!$B$12="All",$Q198=Query_Interface!$B$12)),1,0)</f>
        <v>1</v>
      </c>
      <c r="Z198" s="2" t="n">
        <f aca="false">IF($Y198=1,COUNTIF($Y$2:$Y198,1),"")</f>
        <v>197</v>
      </c>
    </row>
    <row r="199" customFormat="false" ht="46.25" hidden="false" customHeight="false" outlineLevel="0" collapsed="false">
      <c r="A199" s="2" t="s">
        <v>475</v>
      </c>
      <c r="B199" s="2" t="n">
        <v>150</v>
      </c>
      <c r="C199" s="2" t="s">
        <v>686</v>
      </c>
      <c r="D199" s="2" t="s">
        <v>34</v>
      </c>
      <c r="E199" s="2" t="s">
        <v>873</v>
      </c>
      <c r="F199" s="2" t="s">
        <v>35</v>
      </c>
      <c r="G199" s="2" t="s">
        <v>912</v>
      </c>
      <c r="H199" s="2" t="s">
        <v>56</v>
      </c>
      <c r="I199" s="2" t="s">
        <v>913</v>
      </c>
      <c r="J199" s="2" t="s">
        <v>476</v>
      </c>
      <c r="K199" s="2" t="s">
        <v>925</v>
      </c>
      <c r="L199" s="2" t="s">
        <v>69</v>
      </c>
      <c r="M199" s="2" t="s">
        <v>702</v>
      </c>
      <c r="N199" s="2" t="s">
        <v>106</v>
      </c>
      <c r="O199" s="2" t="n">
        <v>1</v>
      </c>
      <c r="P199" s="2" t="n">
        <v>1</v>
      </c>
      <c r="Q199" s="2" t="s">
        <v>61</v>
      </c>
      <c r="R199" s="2" t="s">
        <v>39</v>
      </c>
      <c r="S199" s="2" t="s">
        <v>215</v>
      </c>
      <c r="T199" s="2" t="s">
        <v>67</v>
      </c>
      <c r="U199" s="2" t="s">
        <v>461</v>
      </c>
      <c r="V199" s="2" t="n">
        <v>3</v>
      </c>
      <c r="W199" s="2" t="s">
        <v>462</v>
      </c>
      <c r="X199" s="2" t="s">
        <v>915</v>
      </c>
      <c r="Y199" s="2" t="n">
        <f aca="false">IF(AND(OR(Query_Interface!$B$5="All",$D199=Query_Interface!$B$5),OR(Query_Interface!$B$6="All",$F199=Query_Interface!$B$6),OR(Query_Interface!$B$7="All",$H199=Query_Interface!$B$7),OR(Query_Interface!$B$8="All",$N199=Query_Interface!$B$8),OR(Query_Interface!$B$9="All",$L199=Query_Interface!$B$9),OR(Query_Interface!$B$10="All",$R199=Query_Interface!$B$10),OR(Query_Interface!$B$11="All",$T199=Query_Interface!$B$11),OR(Query_Interface!$B$12="All",$Q199=Query_Interface!$B$12)),1,0)</f>
        <v>1</v>
      </c>
      <c r="Z199" s="2" t="n">
        <f aca="false">IF($Y199=1,COUNTIF($Y$2:$Y199,1),"")</f>
        <v>198</v>
      </c>
    </row>
    <row r="200" customFormat="false" ht="46.25" hidden="false" customHeight="false" outlineLevel="0" collapsed="false">
      <c r="A200" s="2" t="s">
        <v>477</v>
      </c>
      <c r="B200" s="2" t="n">
        <v>151</v>
      </c>
      <c r="C200" s="2" t="s">
        <v>686</v>
      </c>
      <c r="D200" s="2" t="s">
        <v>34</v>
      </c>
      <c r="E200" s="2" t="s">
        <v>873</v>
      </c>
      <c r="F200" s="2" t="s">
        <v>35</v>
      </c>
      <c r="G200" s="2" t="s">
        <v>912</v>
      </c>
      <c r="H200" s="2" t="s">
        <v>56</v>
      </c>
      <c r="I200" s="2" t="s">
        <v>913</v>
      </c>
      <c r="J200" s="2" t="s">
        <v>227</v>
      </c>
      <c r="K200" s="2" t="s">
        <v>926</v>
      </c>
      <c r="L200" s="2" t="s">
        <v>75</v>
      </c>
      <c r="M200" s="2" t="s">
        <v>705</v>
      </c>
      <c r="N200" s="2" t="s">
        <v>98</v>
      </c>
      <c r="O200" s="2" t="n">
        <v>1</v>
      </c>
      <c r="P200" s="2" t="n">
        <v>2</v>
      </c>
      <c r="Q200" s="2" t="s">
        <v>41</v>
      </c>
      <c r="R200" s="2" t="s">
        <v>39</v>
      </c>
      <c r="S200" s="2" t="s">
        <v>215</v>
      </c>
      <c r="T200" s="2" t="s">
        <v>67</v>
      </c>
      <c r="U200" s="2" t="s">
        <v>461</v>
      </c>
      <c r="V200" s="2" t="n">
        <v>3</v>
      </c>
      <c r="W200" s="2" t="s">
        <v>462</v>
      </c>
      <c r="X200" s="2" t="s">
        <v>915</v>
      </c>
      <c r="Y200" s="2" t="n">
        <f aca="false">IF(AND(OR(Query_Interface!$B$5="All",$D200=Query_Interface!$B$5),OR(Query_Interface!$B$6="All",$F200=Query_Interface!$B$6),OR(Query_Interface!$B$7="All",$H200=Query_Interface!$B$7),OR(Query_Interface!$B$8="All",$N200=Query_Interface!$B$8),OR(Query_Interface!$B$9="All",$L200=Query_Interface!$B$9),OR(Query_Interface!$B$10="All",$R200=Query_Interface!$B$10),OR(Query_Interface!$B$11="All",$T200=Query_Interface!$B$11),OR(Query_Interface!$B$12="All",$Q200=Query_Interface!$B$12)),1,0)</f>
        <v>1</v>
      </c>
      <c r="Z200" s="2" t="n">
        <f aca="false">IF($Y200=1,COUNTIF($Y$2:$Y200,1),"")</f>
        <v>199</v>
      </c>
    </row>
    <row r="201" customFormat="false" ht="46.25" hidden="false" customHeight="false" outlineLevel="0" collapsed="false">
      <c r="A201" s="2" t="s">
        <v>477</v>
      </c>
      <c r="B201" s="2" t="n">
        <v>151</v>
      </c>
      <c r="C201" s="2" t="s">
        <v>686</v>
      </c>
      <c r="D201" s="2" t="s">
        <v>34</v>
      </c>
      <c r="E201" s="2" t="s">
        <v>873</v>
      </c>
      <c r="F201" s="2" t="s">
        <v>35</v>
      </c>
      <c r="G201" s="2" t="s">
        <v>912</v>
      </c>
      <c r="H201" s="2" t="s">
        <v>56</v>
      </c>
      <c r="I201" s="2" t="s">
        <v>913</v>
      </c>
      <c r="J201" s="2" t="s">
        <v>227</v>
      </c>
      <c r="K201" s="2" t="s">
        <v>926</v>
      </c>
      <c r="L201" s="2" t="s">
        <v>75</v>
      </c>
      <c r="M201" s="2" t="s">
        <v>700</v>
      </c>
      <c r="N201" s="2" t="s">
        <v>141</v>
      </c>
      <c r="O201" s="2" t="n">
        <v>2</v>
      </c>
      <c r="P201" s="2" t="n">
        <v>2</v>
      </c>
      <c r="Q201" s="2" t="s">
        <v>41</v>
      </c>
      <c r="R201" s="2" t="s">
        <v>39</v>
      </c>
      <c r="S201" s="2" t="s">
        <v>215</v>
      </c>
      <c r="T201" s="2" t="s">
        <v>67</v>
      </c>
      <c r="U201" s="2" t="s">
        <v>461</v>
      </c>
      <c r="V201" s="2" t="n">
        <v>3</v>
      </c>
      <c r="W201" s="2" t="s">
        <v>462</v>
      </c>
      <c r="X201" s="2" t="s">
        <v>915</v>
      </c>
      <c r="Y201" s="2" t="n">
        <f aca="false">IF(AND(OR(Query_Interface!$B$5="All",$D201=Query_Interface!$B$5),OR(Query_Interface!$B$6="All",$F201=Query_Interface!$B$6),OR(Query_Interface!$B$7="All",$H201=Query_Interface!$B$7),OR(Query_Interface!$B$8="All",$N201=Query_Interface!$B$8),OR(Query_Interface!$B$9="All",$L201=Query_Interface!$B$9),OR(Query_Interface!$B$10="All",$R201=Query_Interface!$B$10),OR(Query_Interface!$B$11="All",$T201=Query_Interface!$B$11),OR(Query_Interface!$B$12="All",$Q201=Query_Interface!$B$12)),1,0)</f>
        <v>1</v>
      </c>
      <c r="Z201" s="2" t="n">
        <f aca="false">IF($Y201=1,COUNTIF($Y$2:$Y201,1),"")</f>
        <v>200</v>
      </c>
    </row>
    <row r="202" customFormat="false" ht="46.25" hidden="false" customHeight="false" outlineLevel="0" collapsed="false">
      <c r="A202" s="2" t="s">
        <v>478</v>
      </c>
      <c r="B202" s="2" t="n">
        <v>152</v>
      </c>
      <c r="C202" s="2" t="s">
        <v>686</v>
      </c>
      <c r="D202" s="2" t="s">
        <v>34</v>
      </c>
      <c r="E202" s="2" t="s">
        <v>873</v>
      </c>
      <c r="F202" s="2" t="s">
        <v>35</v>
      </c>
      <c r="G202" s="2" t="s">
        <v>912</v>
      </c>
      <c r="H202" s="2" t="s">
        <v>56</v>
      </c>
      <c r="I202" s="2" t="s">
        <v>913</v>
      </c>
      <c r="J202" s="2" t="s">
        <v>479</v>
      </c>
      <c r="K202" s="2" t="s">
        <v>927</v>
      </c>
      <c r="L202" s="2" t="s">
        <v>75</v>
      </c>
      <c r="M202" s="2" t="s">
        <v>700</v>
      </c>
      <c r="N202" s="2" t="s">
        <v>141</v>
      </c>
      <c r="O202" s="2" t="n">
        <v>1</v>
      </c>
      <c r="P202" s="2" t="n">
        <v>1</v>
      </c>
      <c r="Q202" s="2" t="s">
        <v>61</v>
      </c>
      <c r="R202" s="2" t="s">
        <v>39</v>
      </c>
      <c r="S202" s="2" t="s">
        <v>215</v>
      </c>
      <c r="T202" s="2" t="s">
        <v>67</v>
      </c>
      <c r="U202" s="2" t="s">
        <v>461</v>
      </c>
      <c r="V202" s="2" t="n">
        <v>3</v>
      </c>
      <c r="W202" s="2" t="s">
        <v>462</v>
      </c>
      <c r="X202" s="2" t="s">
        <v>915</v>
      </c>
      <c r="Y202" s="2" t="n">
        <f aca="false">IF(AND(OR(Query_Interface!$B$5="All",$D202=Query_Interface!$B$5),OR(Query_Interface!$B$6="All",$F202=Query_Interface!$B$6),OR(Query_Interface!$B$7="All",$H202=Query_Interface!$B$7),OR(Query_Interface!$B$8="All",$N202=Query_Interface!$B$8),OR(Query_Interface!$B$9="All",$L202=Query_Interface!$B$9),OR(Query_Interface!$B$10="All",$R202=Query_Interface!$B$10),OR(Query_Interface!$B$11="All",$T202=Query_Interface!$B$11),OR(Query_Interface!$B$12="All",$Q202=Query_Interface!$B$12)),1,0)</f>
        <v>1</v>
      </c>
      <c r="Z202" s="2" t="n">
        <f aca="false">IF($Y202=1,COUNTIF($Y$2:$Y202,1),"")</f>
        <v>201</v>
      </c>
    </row>
    <row r="203" customFormat="false" ht="46.25" hidden="false" customHeight="false" outlineLevel="0" collapsed="false">
      <c r="A203" s="2" t="s">
        <v>480</v>
      </c>
      <c r="B203" s="2" t="n">
        <v>153</v>
      </c>
      <c r="C203" s="2" t="s">
        <v>686</v>
      </c>
      <c r="D203" s="2" t="s">
        <v>34</v>
      </c>
      <c r="E203" s="2" t="s">
        <v>873</v>
      </c>
      <c r="F203" s="2" t="s">
        <v>35</v>
      </c>
      <c r="G203" s="2" t="s">
        <v>912</v>
      </c>
      <c r="H203" s="2" t="s">
        <v>56</v>
      </c>
      <c r="I203" s="2" t="s">
        <v>913</v>
      </c>
      <c r="J203" s="2" t="s">
        <v>481</v>
      </c>
      <c r="K203" s="2" t="s">
        <v>928</v>
      </c>
      <c r="L203" s="2" t="s">
        <v>45</v>
      </c>
      <c r="M203" s="2" t="s">
        <v>717</v>
      </c>
      <c r="N203" s="2" t="s">
        <v>76</v>
      </c>
      <c r="O203" s="2" t="n">
        <v>1</v>
      </c>
      <c r="P203" s="2" t="n">
        <v>1</v>
      </c>
      <c r="Q203" s="2" t="s">
        <v>61</v>
      </c>
      <c r="R203" s="2" t="s">
        <v>39</v>
      </c>
      <c r="S203" s="2" t="s">
        <v>215</v>
      </c>
      <c r="T203" s="2" t="s">
        <v>64</v>
      </c>
      <c r="U203" s="2" t="s">
        <v>461</v>
      </c>
      <c r="V203" s="2" t="n">
        <v>4</v>
      </c>
      <c r="W203" s="2" t="s">
        <v>462</v>
      </c>
      <c r="X203" s="2" t="s">
        <v>915</v>
      </c>
      <c r="Y203" s="2" t="n">
        <f aca="false">IF(AND(OR(Query_Interface!$B$5="All",$D203=Query_Interface!$B$5),OR(Query_Interface!$B$6="All",$F203=Query_Interface!$B$6),OR(Query_Interface!$B$7="All",$H203=Query_Interface!$B$7),OR(Query_Interface!$B$8="All",$N203=Query_Interface!$B$8),OR(Query_Interface!$B$9="All",$L203=Query_Interface!$B$9),OR(Query_Interface!$B$10="All",$R203=Query_Interface!$B$10),OR(Query_Interface!$B$11="All",$T203=Query_Interface!$B$11),OR(Query_Interface!$B$12="All",$Q203=Query_Interface!$B$12)),1,0)</f>
        <v>1</v>
      </c>
      <c r="Z203" s="2" t="n">
        <f aca="false">IF($Y203=1,COUNTIF($Y$2:$Y203,1),"")</f>
        <v>202</v>
      </c>
    </row>
    <row r="204" customFormat="false" ht="46.25" hidden="false" customHeight="false" outlineLevel="0" collapsed="false">
      <c r="A204" s="2" t="s">
        <v>482</v>
      </c>
      <c r="B204" s="2" t="n">
        <v>154</v>
      </c>
      <c r="C204" s="2" t="s">
        <v>686</v>
      </c>
      <c r="D204" s="2" t="s">
        <v>34</v>
      </c>
      <c r="E204" s="2" t="s">
        <v>873</v>
      </c>
      <c r="F204" s="2" t="s">
        <v>35</v>
      </c>
      <c r="G204" s="2" t="s">
        <v>912</v>
      </c>
      <c r="H204" s="2" t="s">
        <v>56</v>
      </c>
      <c r="I204" s="2" t="s">
        <v>913</v>
      </c>
      <c r="J204" s="2" t="s">
        <v>229</v>
      </c>
      <c r="K204" s="2" t="s">
        <v>929</v>
      </c>
      <c r="L204" s="2" t="s">
        <v>45</v>
      </c>
      <c r="M204" s="2" t="s">
        <v>707</v>
      </c>
      <c r="N204" s="2" t="s">
        <v>74</v>
      </c>
      <c r="O204" s="2" t="n">
        <v>1</v>
      </c>
      <c r="P204" s="2" t="n">
        <v>1</v>
      </c>
      <c r="Q204" s="2" t="s">
        <v>61</v>
      </c>
      <c r="R204" s="2" t="s">
        <v>39</v>
      </c>
      <c r="S204" s="2" t="s">
        <v>215</v>
      </c>
      <c r="T204" s="2" t="s">
        <v>64</v>
      </c>
      <c r="U204" s="2" t="s">
        <v>461</v>
      </c>
      <c r="V204" s="2" t="n">
        <v>5</v>
      </c>
      <c r="W204" s="2" t="s">
        <v>462</v>
      </c>
      <c r="X204" s="2" t="s">
        <v>915</v>
      </c>
      <c r="Y204" s="2" t="n">
        <f aca="false">IF(AND(OR(Query_Interface!$B$5="All",$D204=Query_Interface!$B$5),OR(Query_Interface!$B$6="All",$F204=Query_Interface!$B$6),OR(Query_Interface!$B$7="All",$H204=Query_Interface!$B$7),OR(Query_Interface!$B$8="All",$N204=Query_Interface!$B$8),OR(Query_Interface!$B$9="All",$L204=Query_Interface!$B$9),OR(Query_Interface!$B$10="All",$R204=Query_Interface!$B$10),OR(Query_Interface!$B$11="All",$T204=Query_Interface!$B$11),OR(Query_Interface!$B$12="All",$Q204=Query_Interface!$B$12)),1,0)</f>
        <v>1</v>
      </c>
      <c r="Z204" s="2" t="n">
        <f aca="false">IF($Y204=1,COUNTIF($Y$2:$Y204,1),"")</f>
        <v>203</v>
      </c>
    </row>
    <row r="205" customFormat="false" ht="46.25" hidden="false" customHeight="false" outlineLevel="0" collapsed="false">
      <c r="A205" s="2" t="s">
        <v>483</v>
      </c>
      <c r="B205" s="2" t="n">
        <v>155</v>
      </c>
      <c r="C205" s="2" t="s">
        <v>686</v>
      </c>
      <c r="D205" s="2" t="s">
        <v>34</v>
      </c>
      <c r="E205" s="2" t="s">
        <v>873</v>
      </c>
      <c r="F205" s="2" t="s">
        <v>35</v>
      </c>
      <c r="G205" s="2" t="s">
        <v>912</v>
      </c>
      <c r="H205" s="2" t="s">
        <v>56</v>
      </c>
      <c r="I205" s="2" t="s">
        <v>913</v>
      </c>
      <c r="J205" s="2" t="s">
        <v>484</v>
      </c>
      <c r="K205" s="2" t="s">
        <v>930</v>
      </c>
      <c r="L205" s="2" t="s">
        <v>58</v>
      </c>
      <c r="M205" s="2" t="s">
        <v>750</v>
      </c>
      <c r="N205" s="2" t="s">
        <v>91</v>
      </c>
      <c r="O205" s="2" t="n">
        <v>1</v>
      </c>
      <c r="P205" s="2" t="n">
        <v>1</v>
      </c>
      <c r="Q205" s="2" t="s">
        <v>61</v>
      </c>
      <c r="R205" s="2" t="s">
        <v>39</v>
      </c>
      <c r="S205" s="2" t="s">
        <v>215</v>
      </c>
      <c r="T205" s="2" t="s">
        <v>64</v>
      </c>
      <c r="U205" s="2" t="s">
        <v>461</v>
      </c>
      <c r="V205" s="2" t="n">
        <v>3</v>
      </c>
      <c r="W205" s="2" t="s">
        <v>462</v>
      </c>
      <c r="X205" s="2" t="s">
        <v>915</v>
      </c>
      <c r="Y205" s="2" t="n">
        <f aca="false">IF(AND(OR(Query_Interface!$B$5="All",$D205=Query_Interface!$B$5),OR(Query_Interface!$B$6="All",$F205=Query_Interface!$B$6),OR(Query_Interface!$B$7="All",$H205=Query_Interface!$B$7),OR(Query_Interface!$B$8="All",$N205=Query_Interface!$B$8),OR(Query_Interface!$B$9="All",$L205=Query_Interface!$B$9),OR(Query_Interface!$B$10="All",$R205=Query_Interface!$B$10),OR(Query_Interface!$B$11="All",$T205=Query_Interface!$B$11),OR(Query_Interface!$B$12="All",$Q205=Query_Interface!$B$12)),1,0)</f>
        <v>1</v>
      </c>
      <c r="Z205" s="2" t="n">
        <f aca="false">IF($Y205=1,COUNTIF($Y$2:$Y205,1),"")</f>
        <v>204</v>
      </c>
    </row>
    <row r="206" customFormat="false" ht="46.25" hidden="false" customHeight="false" outlineLevel="0" collapsed="false">
      <c r="A206" s="2" t="s">
        <v>485</v>
      </c>
      <c r="B206" s="2" t="n">
        <v>156</v>
      </c>
      <c r="C206" s="2" t="s">
        <v>686</v>
      </c>
      <c r="D206" s="2" t="s">
        <v>34</v>
      </c>
      <c r="E206" s="2" t="s">
        <v>873</v>
      </c>
      <c r="F206" s="2" t="s">
        <v>35</v>
      </c>
      <c r="G206" s="2" t="s">
        <v>912</v>
      </c>
      <c r="H206" s="2" t="s">
        <v>56</v>
      </c>
      <c r="I206" s="2" t="s">
        <v>913</v>
      </c>
      <c r="J206" s="2" t="s">
        <v>232</v>
      </c>
      <c r="K206" s="2" t="s">
        <v>931</v>
      </c>
      <c r="L206" s="2" t="s">
        <v>45</v>
      </c>
      <c r="M206" s="2" t="s">
        <v>709</v>
      </c>
      <c r="N206" s="2" t="s">
        <v>70</v>
      </c>
      <c r="O206" s="2" t="n">
        <v>1</v>
      </c>
      <c r="P206" s="2" t="n">
        <v>1</v>
      </c>
      <c r="Q206" s="2" t="s">
        <v>61</v>
      </c>
      <c r="R206" s="2" t="s">
        <v>39</v>
      </c>
      <c r="S206" s="2" t="s">
        <v>215</v>
      </c>
      <c r="T206" s="2" t="s">
        <v>64</v>
      </c>
      <c r="U206" s="2" t="s">
        <v>461</v>
      </c>
      <c r="V206" s="2" t="n">
        <v>4</v>
      </c>
      <c r="W206" s="2" t="s">
        <v>462</v>
      </c>
      <c r="X206" s="2" t="s">
        <v>915</v>
      </c>
      <c r="Y206" s="2" t="n">
        <f aca="false">IF(AND(OR(Query_Interface!$B$5="All",$D206=Query_Interface!$B$5),OR(Query_Interface!$B$6="All",$F206=Query_Interface!$B$6),OR(Query_Interface!$B$7="All",$H206=Query_Interface!$B$7),OR(Query_Interface!$B$8="All",$N206=Query_Interface!$B$8),OR(Query_Interface!$B$9="All",$L206=Query_Interface!$B$9),OR(Query_Interface!$B$10="All",$R206=Query_Interface!$B$10),OR(Query_Interface!$B$11="All",$T206=Query_Interface!$B$11),OR(Query_Interface!$B$12="All",$Q206=Query_Interface!$B$12)),1,0)</f>
        <v>1</v>
      </c>
      <c r="Z206" s="2" t="n">
        <f aca="false">IF($Y206=1,COUNTIF($Y$2:$Y206,1),"")</f>
        <v>205</v>
      </c>
    </row>
    <row r="207" customFormat="false" ht="46.25" hidden="false" customHeight="false" outlineLevel="0" collapsed="false">
      <c r="A207" s="2" t="s">
        <v>486</v>
      </c>
      <c r="B207" s="2" t="n">
        <v>157</v>
      </c>
      <c r="C207" s="2" t="s">
        <v>686</v>
      </c>
      <c r="D207" s="2" t="s">
        <v>34</v>
      </c>
      <c r="E207" s="2" t="s">
        <v>873</v>
      </c>
      <c r="F207" s="2" t="s">
        <v>35</v>
      </c>
      <c r="G207" s="2" t="s">
        <v>912</v>
      </c>
      <c r="H207" s="2" t="s">
        <v>56</v>
      </c>
      <c r="I207" s="2" t="s">
        <v>913</v>
      </c>
      <c r="J207" s="2" t="s">
        <v>235</v>
      </c>
      <c r="K207" s="2" t="s">
        <v>932</v>
      </c>
      <c r="L207" s="2" t="s">
        <v>45</v>
      </c>
      <c r="M207" s="2" t="s">
        <v>933</v>
      </c>
      <c r="N207" s="2" t="s">
        <v>78</v>
      </c>
      <c r="O207" s="2" t="n">
        <v>1</v>
      </c>
      <c r="P207" s="2" t="n">
        <v>1</v>
      </c>
      <c r="Q207" s="2" t="s">
        <v>61</v>
      </c>
      <c r="R207" s="2" t="s">
        <v>46</v>
      </c>
      <c r="S207" s="2" t="s">
        <v>230</v>
      </c>
      <c r="T207" s="2" t="s">
        <v>64</v>
      </c>
      <c r="U207" s="2" t="s">
        <v>461</v>
      </c>
      <c r="V207" s="2" t="n">
        <v>5</v>
      </c>
      <c r="W207" s="2" t="s">
        <v>462</v>
      </c>
      <c r="X207" s="2" t="s">
        <v>915</v>
      </c>
      <c r="Y207" s="2" t="n">
        <f aca="false">IF(AND(OR(Query_Interface!$B$5="All",$D207=Query_Interface!$B$5),OR(Query_Interface!$B$6="All",$F207=Query_Interface!$B$6),OR(Query_Interface!$B$7="All",$H207=Query_Interface!$B$7),OR(Query_Interface!$B$8="All",$N207=Query_Interface!$B$8),OR(Query_Interface!$B$9="All",$L207=Query_Interface!$B$9),OR(Query_Interface!$B$10="All",$R207=Query_Interface!$B$10),OR(Query_Interface!$B$11="All",$T207=Query_Interface!$B$11),OR(Query_Interface!$B$12="All",$Q207=Query_Interface!$B$12)),1,0)</f>
        <v>1</v>
      </c>
      <c r="Z207" s="2" t="n">
        <f aca="false">IF($Y207=1,COUNTIF($Y$2:$Y207,1),"")</f>
        <v>206</v>
      </c>
    </row>
    <row r="208" customFormat="false" ht="46.25" hidden="false" customHeight="false" outlineLevel="0" collapsed="false">
      <c r="A208" s="2" t="s">
        <v>487</v>
      </c>
      <c r="B208" s="2" t="n">
        <v>158</v>
      </c>
      <c r="C208" s="2" t="s">
        <v>686</v>
      </c>
      <c r="D208" s="2" t="s">
        <v>34</v>
      </c>
      <c r="E208" s="2" t="s">
        <v>873</v>
      </c>
      <c r="F208" s="2" t="s">
        <v>35</v>
      </c>
      <c r="G208" s="2" t="s">
        <v>912</v>
      </c>
      <c r="H208" s="2" t="s">
        <v>56</v>
      </c>
      <c r="I208" s="2" t="s">
        <v>913</v>
      </c>
      <c r="J208" s="2" t="s">
        <v>239</v>
      </c>
      <c r="K208" s="2" t="s">
        <v>934</v>
      </c>
      <c r="L208" s="2" t="s">
        <v>45</v>
      </c>
      <c r="M208" s="2" t="s">
        <v>715</v>
      </c>
      <c r="N208" s="2" t="s">
        <v>96</v>
      </c>
      <c r="O208" s="2" t="n">
        <v>1</v>
      </c>
      <c r="P208" s="2" t="n">
        <v>1</v>
      </c>
      <c r="Q208" s="2" t="s">
        <v>61</v>
      </c>
      <c r="R208" s="2" t="s">
        <v>39</v>
      </c>
      <c r="S208" s="2" t="s">
        <v>215</v>
      </c>
      <c r="T208" s="2" t="s">
        <v>64</v>
      </c>
      <c r="U208" s="2" t="s">
        <v>461</v>
      </c>
      <c r="V208" s="2" t="n">
        <v>4</v>
      </c>
      <c r="W208" s="2" t="s">
        <v>462</v>
      </c>
      <c r="X208" s="2" t="s">
        <v>915</v>
      </c>
      <c r="Y208" s="2" t="n">
        <f aca="false">IF(AND(OR(Query_Interface!$B$5="All",$D208=Query_Interface!$B$5),OR(Query_Interface!$B$6="All",$F208=Query_Interface!$B$6),OR(Query_Interface!$B$7="All",$H208=Query_Interface!$B$7),OR(Query_Interface!$B$8="All",$N208=Query_Interface!$B$8),OR(Query_Interface!$B$9="All",$L208=Query_Interface!$B$9),OR(Query_Interface!$B$10="All",$R208=Query_Interface!$B$10),OR(Query_Interface!$B$11="All",$T208=Query_Interface!$B$11),OR(Query_Interface!$B$12="All",$Q208=Query_Interface!$B$12)),1,0)</f>
        <v>1</v>
      </c>
      <c r="Z208" s="2" t="n">
        <f aca="false">IF($Y208=1,COUNTIF($Y$2:$Y208,1),"")</f>
        <v>207</v>
      </c>
    </row>
    <row r="209" customFormat="false" ht="46.25" hidden="false" customHeight="false" outlineLevel="0" collapsed="false">
      <c r="A209" s="2" t="s">
        <v>488</v>
      </c>
      <c r="B209" s="2" t="n">
        <v>159</v>
      </c>
      <c r="C209" s="2" t="s">
        <v>686</v>
      </c>
      <c r="D209" s="2" t="s">
        <v>34</v>
      </c>
      <c r="E209" s="2" t="s">
        <v>873</v>
      </c>
      <c r="F209" s="2" t="s">
        <v>35</v>
      </c>
      <c r="G209" s="2" t="s">
        <v>912</v>
      </c>
      <c r="H209" s="2" t="s">
        <v>56</v>
      </c>
      <c r="I209" s="2" t="s">
        <v>913</v>
      </c>
      <c r="J209" s="2" t="s">
        <v>489</v>
      </c>
      <c r="K209" s="2" t="s">
        <v>935</v>
      </c>
      <c r="L209" s="2" t="s">
        <v>45</v>
      </c>
      <c r="M209" s="2" t="s">
        <v>713</v>
      </c>
      <c r="N209" s="2" t="s">
        <v>94</v>
      </c>
      <c r="O209" s="2" t="n">
        <v>1</v>
      </c>
      <c r="P209" s="2" t="n">
        <v>1</v>
      </c>
      <c r="Q209" s="2" t="s">
        <v>61</v>
      </c>
      <c r="R209" s="2" t="s">
        <v>46</v>
      </c>
      <c r="S209" s="2" t="s">
        <v>230</v>
      </c>
      <c r="T209" s="2" t="s">
        <v>64</v>
      </c>
      <c r="U209" s="2" t="s">
        <v>461</v>
      </c>
      <c r="V209" s="2" t="n">
        <v>3</v>
      </c>
      <c r="W209" s="2" t="s">
        <v>462</v>
      </c>
      <c r="X209" s="2" t="s">
        <v>915</v>
      </c>
      <c r="Y209" s="2" t="n">
        <f aca="false">IF(AND(OR(Query_Interface!$B$5="All",$D209=Query_Interface!$B$5),OR(Query_Interface!$B$6="All",$F209=Query_Interface!$B$6),OR(Query_Interface!$B$7="All",$H209=Query_Interface!$B$7),OR(Query_Interface!$B$8="All",$N209=Query_Interface!$B$8),OR(Query_Interface!$B$9="All",$L209=Query_Interface!$B$9),OR(Query_Interface!$B$10="All",$R209=Query_Interface!$B$10),OR(Query_Interface!$B$11="All",$T209=Query_Interface!$B$11),OR(Query_Interface!$B$12="All",$Q209=Query_Interface!$B$12)),1,0)</f>
        <v>1</v>
      </c>
      <c r="Z209" s="2" t="n">
        <f aca="false">IF($Y209=1,COUNTIF($Y$2:$Y209,1),"")</f>
        <v>208</v>
      </c>
    </row>
    <row r="210" customFormat="false" ht="46.25" hidden="false" customHeight="false" outlineLevel="0" collapsed="false">
      <c r="A210" s="2" t="s">
        <v>490</v>
      </c>
      <c r="B210" s="2" t="n">
        <v>160</v>
      </c>
      <c r="C210" s="2" t="s">
        <v>686</v>
      </c>
      <c r="D210" s="2" t="s">
        <v>34</v>
      </c>
      <c r="E210" s="2" t="s">
        <v>873</v>
      </c>
      <c r="F210" s="2" t="s">
        <v>35</v>
      </c>
      <c r="G210" s="2" t="s">
        <v>912</v>
      </c>
      <c r="H210" s="2" t="s">
        <v>56</v>
      </c>
      <c r="I210" s="2" t="s">
        <v>913</v>
      </c>
      <c r="J210" s="2" t="s">
        <v>243</v>
      </c>
      <c r="K210" s="2" t="s">
        <v>936</v>
      </c>
      <c r="L210" s="2" t="s">
        <v>45</v>
      </c>
      <c r="M210" s="2" t="s">
        <v>715</v>
      </c>
      <c r="N210" s="2" t="s">
        <v>96</v>
      </c>
      <c r="O210" s="2" t="n">
        <v>1</v>
      </c>
      <c r="P210" s="2" t="n">
        <v>1</v>
      </c>
      <c r="Q210" s="2" t="s">
        <v>61</v>
      </c>
      <c r="R210" s="2" t="s">
        <v>39</v>
      </c>
      <c r="S210" s="2" t="s">
        <v>215</v>
      </c>
      <c r="T210" s="2" t="s">
        <v>64</v>
      </c>
      <c r="U210" s="2" t="s">
        <v>461</v>
      </c>
      <c r="V210" s="2" t="n">
        <v>4</v>
      </c>
      <c r="W210" s="2" t="s">
        <v>462</v>
      </c>
      <c r="X210" s="2" t="s">
        <v>915</v>
      </c>
      <c r="Y210" s="2" t="n">
        <f aca="false">IF(AND(OR(Query_Interface!$B$5="All",$D210=Query_Interface!$B$5),OR(Query_Interface!$B$6="All",$F210=Query_Interface!$B$6),OR(Query_Interface!$B$7="All",$H210=Query_Interface!$B$7),OR(Query_Interface!$B$8="All",$N210=Query_Interface!$B$8),OR(Query_Interface!$B$9="All",$L210=Query_Interface!$B$9),OR(Query_Interface!$B$10="All",$R210=Query_Interface!$B$10),OR(Query_Interface!$B$11="All",$T210=Query_Interface!$B$11),OR(Query_Interface!$B$12="All",$Q210=Query_Interface!$B$12)),1,0)</f>
        <v>1</v>
      </c>
      <c r="Z210" s="2" t="n">
        <f aca="false">IF($Y210=1,COUNTIF($Y$2:$Y210,1),"")</f>
        <v>209</v>
      </c>
    </row>
    <row r="211" customFormat="false" ht="46.25" hidden="false" customHeight="false" outlineLevel="0" collapsed="false">
      <c r="A211" s="2" t="s">
        <v>491</v>
      </c>
      <c r="B211" s="2" t="n">
        <v>161</v>
      </c>
      <c r="C211" s="2" t="s">
        <v>686</v>
      </c>
      <c r="D211" s="2" t="s">
        <v>34</v>
      </c>
      <c r="E211" s="2" t="s">
        <v>873</v>
      </c>
      <c r="F211" s="2" t="s">
        <v>35</v>
      </c>
      <c r="G211" s="2" t="s">
        <v>912</v>
      </c>
      <c r="H211" s="2" t="s">
        <v>56</v>
      </c>
      <c r="I211" s="2" t="s">
        <v>913</v>
      </c>
      <c r="J211" s="2" t="s">
        <v>492</v>
      </c>
      <c r="K211" s="2" t="s">
        <v>937</v>
      </c>
      <c r="L211" s="2" t="s">
        <v>38</v>
      </c>
      <c r="M211" s="2" t="s">
        <v>938</v>
      </c>
      <c r="N211" s="2" t="s">
        <v>83</v>
      </c>
      <c r="O211" s="2" t="n">
        <v>1</v>
      </c>
      <c r="P211" s="2" t="n">
        <v>2</v>
      </c>
      <c r="Q211" s="2" t="s">
        <v>41</v>
      </c>
      <c r="R211" s="2" t="s">
        <v>59</v>
      </c>
      <c r="S211" s="2" t="s">
        <v>211</v>
      </c>
      <c r="T211" s="2" t="s">
        <v>67</v>
      </c>
      <c r="U211" s="2" t="s">
        <v>461</v>
      </c>
      <c r="V211" s="2" t="n">
        <v>1</v>
      </c>
      <c r="W211" s="2" t="s">
        <v>462</v>
      </c>
      <c r="X211" s="2" t="s">
        <v>915</v>
      </c>
      <c r="Y211" s="2" t="n">
        <f aca="false">IF(AND(OR(Query_Interface!$B$5="All",$D211=Query_Interface!$B$5),OR(Query_Interface!$B$6="All",$F211=Query_Interface!$B$6),OR(Query_Interface!$B$7="All",$H211=Query_Interface!$B$7),OR(Query_Interface!$B$8="All",$N211=Query_Interface!$B$8),OR(Query_Interface!$B$9="All",$L211=Query_Interface!$B$9),OR(Query_Interface!$B$10="All",$R211=Query_Interface!$B$10),OR(Query_Interface!$B$11="All",$T211=Query_Interface!$B$11),OR(Query_Interface!$B$12="All",$Q211=Query_Interface!$B$12)),1,0)</f>
        <v>1</v>
      </c>
      <c r="Z211" s="2" t="n">
        <f aca="false">IF($Y211=1,COUNTIF($Y$2:$Y211,1),"")</f>
        <v>210</v>
      </c>
    </row>
    <row r="212" customFormat="false" ht="46.25" hidden="false" customHeight="false" outlineLevel="0" collapsed="false">
      <c r="A212" s="2" t="s">
        <v>491</v>
      </c>
      <c r="B212" s="2" t="n">
        <v>161</v>
      </c>
      <c r="C212" s="2" t="s">
        <v>686</v>
      </c>
      <c r="D212" s="2" t="s">
        <v>34</v>
      </c>
      <c r="E212" s="2" t="s">
        <v>873</v>
      </c>
      <c r="F212" s="2" t="s">
        <v>35</v>
      </c>
      <c r="G212" s="2" t="s">
        <v>912</v>
      </c>
      <c r="H212" s="2" t="s">
        <v>56</v>
      </c>
      <c r="I212" s="2" t="s">
        <v>913</v>
      </c>
      <c r="J212" s="2" t="s">
        <v>492</v>
      </c>
      <c r="K212" s="2" t="s">
        <v>937</v>
      </c>
      <c r="L212" s="2" t="s">
        <v>38</v>
      </c>
      <c r="M212" s="2" t="s">
        <v>724</v>
      </c>
      <c r="N212" s="2" t="s">
        <v>142</v>
      </c>
      <c r="O212" s="2" t="n">
        <v>2</v>
      </c>
      <c r="P212" s="2" t="n">
        <v>2</v>
      </c>
      <c r="Q212" s="2" t="s">
        <v>41</v>
      </c>
      <c r="R212" s="2" t="s">
        <v>59</v>
      </c>
      <c r="S212" s="2" t="s">
        <v>211</v>
      </c>
      <c r="T212" s="2" t="s">
        <v>67</v>
      </c>
      <c r="U212" s="2" t="s">
        <v>461</v>
      </c>
      <c r="V212" s="2" t="n">
        <v>1</v>
      </c>
      <c r="W212" s="2" t="s">
        <v>462</v>
      </c>
      <c r="X212" s="2" t="s">
        <v>915</v>
      </c>
      <c r="Y212" s="2" t="n">
        <f aca="false">IF(AND(OR(Query_Interface!$B$5="All",$D212=Query_Interface!$B$5),OR(Query_Interface!$B$6="All",$F212=Query_Interface!$B$6),OR(Query_Interface!$B$7="All",$H212=Query_Interface!$B$7),OR(Query_Interface!$B$8="All",$N212=Query_Interface!$B$8),OR(Query_Interface!$B$9="All",$L212=Query_Interface!$B$9),OR(Query_Interface!$B$10="All",$R212=Query_Interface!$B$10),OR(Query_Interface!$B$11="All",$T212=Query_Interface!$B$11),OR(Query_Interface!$B$12="All",$Q212=Query_Interface!$B$12)),1,0)</f>
        <v>1</v>
      </c>
      <c r="Z212" s="2" t="n">
        <f aca="false">IF($Y212=1,COUNTIF($Y$2:$Y212,1),"")</f>
        <v>211</v>
      </c>
    </row>
    <row r="213" customFormat="false" ht="46.25" hidden="false" customHeight="false" outlineLevel="0" collapsed="false">
      <c r="A213" s="2" t="s">
        <v>493</v>
      </c>
      <c r="B213" s="2" t="n">
        <v>162</v>
      </c>
      <c r="C213" s="2" t="s">
        <v>686</v>
      </c>
      <c r="D213" s="2" t="s">
        <v>34</v>
      </c>
      <c r="E213" s="2" t="s">
        <v>873</v>
      </c>
      <c r="F213" s="2" t="s">
        <v>35</v>
      </c>
      <c r="G213" s="2" t="s">
        <v>912</v>
      </c>
      <c r="H213" s="2" t="s">
        <v>56</v>
      </c>
      <c r="I213" s="2" t="s">
        <v>913</v>
      </c>
      <c r="J213" s="2" t="s">
        <v>494</v>
      </c>
      <c r="K213" s="2" t="s">
        <v>939</v>
      </c>
      <c r="L213" s="2" t="s">
        <v>71</v>
      </c>
      <c r="M213" s="2" t="s">
        <v>808</v>
      </c>
      <c r="N213" s="2" t="s">
        <v>126</v>
      </c>
      <c r="O213" s="2" t="n">
        <v>1</v>
      </c>
      <c r="P213" s="2" t="n">
        <v>1</v>
      </c>
      <c r="Q213" s="2" t="s">
        <v>61</v>
      </c>
      <c r="R213" s="2" t="s">
        <v>59</v>
      </c>
      <c r="S213" s="2" t="s">
        <v>211</v>
      </c>
      <c r="T213" s="2" t="s">
        <v>67</v>
      </c>
      <c r="U213" s="2" t="s">
        <v>495</v>
      </c>
      <c r="V213" s="2" t="n">
        <v>3</v>
      </c>
      <c r="W213" s="2" t="s">
        <v>462</v>
      </c>
      <c r="X213" s="2" t="s">
        <v>915</v>
      </c>
      <c r="Y213" s="2" t="n">
        <f aca="false">IF(AND(OR(Query_Interface!$B$5="All",$D213=Query_Interface!$B$5),OR(Query_Interface!$B$6="All",$F213=Query_Interface!$B$6),OR(Query_Interface!$B$7="All",$H213=Query_Interface!$B$7),OR(Query_Interface!$B$8="All",$N213=Query_Interface!$B$8),OR(Query_Interface!$B$9="All",$L213=Query_Interface!$B$9),OR(Query_Interface!$B$10="All",$R213=Query_Interface!$B$10),OR(Query_Interface!$B$11="All",$T213=Query_Interface!$B$11),OR(Query_Interface!$B$12="All",$Q213=Query_Interface!$B$12)),1,0)</f>
        <v>1</v>
      </c>
      <c r="Z213" s="2" t="n">
        <f aca="false">IF($Y213=1,COUNTIF($Y$2:$Y213,1),"")</f>
        <v>212</v>
      </c>
    </row>
    <row r="214" customFormat="false" ht="46.25" hidden="false" customHeight="false" outlineLevel="0" collapsed="false">
      <c r="A214" s="2" t="s">
        <v>496</v>
      </c>
      <c r="B214" s="2" t="n">
        <v>163</v>
      </c>
      <c r="C214" s="2" t="s">
        <v>686</v>
      </c>
      <c r="D214" s="2" t="s">
        <v>34</v>
      </c>
      <c r="E214" s="2" t="s">
        <v>873</v>
      </c>
      <c r="F214" s="2" t="s">
        <v>35</v>
      </c>
      <c r="G214" s="2" t="s">
        <v>912</v>
      </c>
      <c r="H214" s="2" t="s">
        <v>56</v>
      </c>
      <c r="I214" s="2" t="s">
        <v>913</v>
      </c>
      <c r="J214" s="2" t="s">
        <v>251</v>
      </c>
      <c r="K214" s="2" t="s">
        <v>940</v>
      </c>
      <c r="L214" s="2" t="s">
        <v>75</v>
      </c>
      <c r="M214" s="2" t="s">
        <v>726</v>
      </c>
      <c r="N214" s="2" t="s">
        <v>134</v>
      </c>
      <c r="O214" s="2" t="n">
        <v>1</v>
      </c>
      <c r="P214" s="2" t="n">
        <v>1</v>
      </c>
      <c r="Q214" s="2" t="s">
        <v>61</v>
      </c>
      <c r="R214" s="2" t="s">
        <v>59</v>
      </c>
      <c r="S214" s="2" t="s">
        <v>211</v>
      </c>
      <c r="T214" s="2" t="s">
        <v>67</v>
      </c>
      <c r="U214" s="2" t="s">
        <v>448</v>
      </c>
      <c r="V214" s="2" t="n">
        <v>4</v>
      </c>
      <c r="W214" s="2" t="s">
        <v>462</v>
      </c>
      <c r="X214" s="2" t="s">
        <v>915</v>
      </c>
      <c r="Y214" s="2" t="n">
        <f aca="false">IF(AND(OR(Query_Interface!$B$5="All",$D214=Query_Interface!$B$5),OR(Query_Interface!$B$6="All",$F214=Query_Interface!$B$6),OR(Query_Interface!$B$7="All",$H214=Query_Interface!$B$7),OR(Query_Interface!$B$8="All",$N214=Query_Interface!$B$8),OR(Query_Interface!$B$9="All",$L214=Query_Interface!$B$9),OR(Query_Interface!$B$10="All",$R214=Query_Interface!$B$10),OR(Query_Interface!$B$11="All",$T214=Query_Interface!$B$11),OR(Query_Interface!$B$12="All",$Q214=Query_Interface!$B$12)),1,0)</f>
        <v>1</v>
      </c>
      <c r="Z214" s="2" t="n">
        <f aca="false">IF($Y214=1,COUNTIF($Y$2:$Y214,1),"")</f>
        <v>213</v>
      </c>
    </row>
    <row r="215" customFormat="false" ht="46.25" hidden="false" customHeight="false" outlineLevel="0" collapsed="false">
      <c r="A215" s="2" t="s">
        <v>497</v>
      </c>
      <c r="B215" s="2" t="n">
        <v>164</v>
      </c>
      <c r="C215" s="2" t="s">
        <v>686</v>
      </c>
      <c r="D215" s="2" t="s">
        <v>34</v>
      </c>
      <c r="E215" s="2" t="s">
        <v>873</v>
      </c>
      <c r="F215" s="2" t="s">
        <v>35</v>
      </c>
      <c r="G215" s="2" t="s">
        <v>912</v>
      </c>
      <c r="H215" s="2" t="s">
        <v>56</v>
      </c>
      <c r="I215" s="2" t="s">
        <v>913</v>
      </c>
      <c r="J215" s="2" t="s">
        <v>428</v>
      </c>
      <c r="K215" s="2" t="s">
        <v>941</v>
      </c>
      <c r="L215" s="2" t="s">
        <v>58</v>
      </c>
      <c r="M215" s="2" t="s">
        <v>792</v>
      </c>
      <c r="N215" s="2" t="s">
        <v>95</v>
      </c>
      <c r="O215" s="2" t="n">
        <v>1</v>
      </c>
      <c r="P215" s="2" t="n">
        <v>2</v>
      </c>
      <c r="Q215" s="2" t="s">
        <v>41</v>
      </c>
      <c r="R215" s="2" t="s">
        <v>59</v>
      </c>
      <c r="S215" s="2" t="s">
        <v>211</v>
      </c>
      <c r="T215" s="2" t="s">
        <v>67</v>
      </c>
      <c r="U215" s="2" t="s">
        <v>448</v>
      </c>
      <c r="V215" s="2" t="n">
        <v>3</v>
      </c>
      <c r="W215" s="2" t="s">
        <v>462</v>
      </c>
      <c r="X215" s="2" t="s">
        <v>915</v>
      </c>
      <c r="Y215" s="2" t="n">
        <f aca="false">IF(AND(OR(Query_Interface!$B$5="All",$D215=Query_Interface!$B$5),OR(Query_Interface!$B$6="All",$F215=Query_Interface!$B$6),OR(Query_Interface!$B$7="All",$H215=Query_Interface!$B$7),OR(Query_Interface!$B$8="All",$N215=Query_Interface!$B$8),OR(Query_Interface!$B$9="All",$L215=Query_Interface!$B$9),OR(Query_Interface!$B$10="All",$R215=Query_Interface!$B$10),OR(Query_Interface!$B$11="All",$T215=Query_Interface!$B$11),OR(Query_Interface!$B$12="All",$Q215=Query_Interface!$B$12)),1,0)</f>
        <v>1</v>
      </c>
      <c r="Z215" s="2" t="n">
        <f aca="false">IF($Y215=1,COUNTIF($Y$2:$Y215,1),"")</f>
        <v>214</v>
      </c>
    </row>
    <row r="216" customFormat="false" ht="46.25" hidden="false" customHeight="false" outlineLevel="0" collapsed="false">
      <c r="A216" s="2" t="s">
        <v>497</v>
      </c>
      <c r="B216" s="2" t="n">
        <v>164</v>
      </c>
      <c r="C216" s="2" t="s">
        <v>686</v>
      </c>
      <c r="D216" s="2" t="s">
        <v>34</v>
      </c>
      <c r="E216" s="2" t="s">
        <v>873</v>
      </c>
      <c r="F216" s="2" t="s">
        <v>35</v>
      </c>
      <c r="G216" s="2" t="s">
        <v>912</v>
      </c>
      <c r="H216" s="2" t="s">
        <v>56</v>
      </c>
      <c r="I216" s="2" t="s">
        <v>913</v>
      </c>
      <c r="J216" s="2" t="s">
        <v>428</v>
      </c>
      <c r="K216" s="2" t="s">
        <v>941</v>
      </c>
      <c r="L216" s="2" t="s">
        <v>58</v>
      </c>
      <c r="M216" s="2" t="s">
        <v>748</v>
      </c>
      <c r="N216" s="2" t="s">
        <v>132</v>
      </c>
      <c r="O216" s="2" t="n">
        <v>2</v>
      </c>
      <c r="P216" s="2" t="n">
        <v>2</v>
      </c>
      <c r="Q216" s="2" t="s">
        <v>41</v>
      </c>
      <c r="R216" s="2" t="s">
        <v>59</v>
      </c>
      <c r="S216" s="2" t="s">
        <v>211</v>
      </c>
      <c r="T216" s="2" t="s">
        <v>67</v>
      </c>
      <c r="U216" s="2" t="s">
        <v>448</v>
      </c>
      <c r="V216" s="2" t="n">
        <v>3</v>
      </c>
      <c r="W216" s="2" t="s">
        <v>462</v>
      </c>
      <c r="X216" s="2" t="s">
        <v>915</v>
      </c>
      <c r="Y216" s="2" t="n">
        <f aca="false">IF(AND(OR(Query_Interface!$B$5="All",$D216=Query_Interface!$B$5),OR(Query_Interface!$B$6="All",$F216=Query_Interface!$B$6),OR(Query_Interface!$B$7="All",$H216=Query_Interface!$B$7),OR(Query_Interface!$B$8="All",$N216=Query_Interface!$B$8),OR(Query_Interface!$B$9="All",$L216=Query_Interface!$B$9),OR(Query_Interface!$B$10="All",$R216=Query_Interface!$B$10),OR(Query_Interface!$B$11="All",$T216=Query_Interface!$B$11),OR(Query_Interface!$B$12="All",$Q216=Query_Interface!$B$12)),1,0)</f>
        <v>1</v>
      </c>
      <c r="Z216" s="2" t="n">
        <f aca="false">IF($Y216=1,COUNTIF($Y$2:$Y216,1),"")</f>
        <v>215</v>
      </c>
    </row>
    <row r="217" customFormat="false" ht="46.25" hidden="false" customHeight="false" outlineLevel="0" collapsed="false">
      <c r="A217" s="2" t="s">
        <v>498</v>
      </c>
      <c r="B217" s="2" t="n">
        <v>165</v>
      </c>
      <c r="C217" s="2" t="s">
        <v>686</v>
      </c>
      <c r="D217" s="2" t="s">
        <v>34</v>
      </c>
      <c r="E217" s="2" t="s">
        <v>873</v>
      </c>
      <c r="F217" s="2" t="s">
        <v>35</v>
      </c>
      <c r="G217" s="2" t="s">
        <v>912</v>
      </c>
      <c r="H217" s="2" t="s">
        <v>56</v>
      </c>
      <c r="I217" s="2" t="s">
        <v>913</v>
      </c>
      <c r="J217" s="2" t="s">
        <v>257</v>
      </c>
      <c r="K217" s="2" t="s">
        <v>942</v>
      </c>
      <c r="L217" s="2" t="s">
        <v>45</v>
      </c>
      <c r="M217" s="2" t="s">
        <v>732</v>
      </c>
      <c r="N217" s="2" t="s">
        <v>77</v>
      </c>
      <c r="O217" s="2" t="n">
        <v>1</v>
      </c>
      <c r="P217" s="2" t="n">
        <v>1</v>
      </c>
      <c r="Q217" s="2" t="s">
        <v>61</v>
      </c>
      <c r="R217" s="2" t="s">
        <v>59</v>
      </c>
      <c r="S217" s="2" t="s">
        <v>211</v>
      </c>
      <c r="T217" s="2" t="s">
        <v>67</v>
      </c>
      <c r="U217" s="2" t="s">
        <v>461</v>
      </c>
      <c r="V217" s="2" t="n">
        <v>3</v>
      </c>
      <c r="W217" s="2" t="s">
        <v>462</v>
      </c>
      <c r="X217" s="2" t="s">
        <v>915</v>
      </c>
      <c r="Y217" s="2" t="n">
        <f aca="false">IF(AND(OR(Query_Interface!$B$5="All",$D217=Query_Interface!$B$5),OR(Query_Interface!$B$6="All",$F217=Query_Interface!$B$6),OR(Query_Interface!$B$7="All",$H217=Query_Interface!$B$7),OR(Query_Interface!$B$8="All",$N217=Query_Interface!$B$8),OR(Query_Interface!$B$9="All",$L217=Query_Interface!$B$9),OR(Query_Interface!$B$10="All",$R217=Query_Interface!$B$10),OR(Query_Interface!$B$11="All",$T217=Query_Interface!$B$11),OR(Query_Interface!$B$12="All",$Q217=Query_Interface!$B$12)),1,0)</f>
        <v>1</v>
      </c>
      <c r="Z217" s="2" t="n">
        <f aca="false">IF($Y217=1,COUNTIF($Y$2:$Y217,1),"")</f>
        <v>216</v>
      </c>
    </row>
    <row r="218" customFormat="false" ht="46.25" hidden="false" customHeight="false" outlineLevel="0" collapsed="false">
      <c r="A218" s="2" t="s">
        <v>499</v>
      </c>
      <c r="B218" s="2" t="n">
        <v>166</v>
      </c>
      <c r="C218" s="2" t="s">
        <v>686</v>
      </c>
      <c r="D218" s="2" t="s">
        <v>34</v>
      </c>
      <c r="E218" s="2" t="s">
        <v>873</v>
      </c>
      <c r="F218" s="2" t="s">
        <v>35</v>
      </c>
      <c r="G218" s="2" t="s">
        <v>912</v>
      </c>
      <c r="H218" s="2" t="s">
        <v>56</v>
      </c>
      <c r="I218" s="2" t="s">
        <v>913</v>
      </c>
      <c r="J218" s="2" t="s">
        <v>259</v>
      </c>
      <c r="K218" s="2" t="s">
        <v>943</v>
      </c>
      <c r="L218" s="2" t="s">
        <v>38</v>
      </c>
      <c r="M218" s="2" t="s">
        <v>734</v>
      </c>
      <c r="N218" s="2" t="s">
        <v>87</v>
      </c>
      <c r="O218" s="2" t="n">
        <v>1</v>
      </c>
      <c r="P218" s="2" t="n">
        <v>1</v>
      </c>
      <c r="Q218" s="2" t="s">
        <v>61</v>
      </c>
      <c r="R218" s="2" t="s">
        <v>39</v>
      </c>
      <c r="S218" s="2" t="s">
        <v>215</v>
      </c>
      <c r="T218" s="2" t="s">
        <v>64</v>
      </c>
      <c r="U218" s="2" t="s">
        <v>461</v>
      </c>
      <c r="V218" s="2" t="n">
        <v>1</v>
      </c>
      <c r="W218" s="2" t="s">
        <v>462</v>
      </c>
      <c r="X218" s="2" t="s">
        <v>915</v>
      </c>
      <c r="Y218" s="2" t="n">
        <f aca="false">IF(AND(OR(Query_Interface!$B$5="All",$D218=Query_Interface!$B$5),OR(Query_Interface!$B$6="All",$F218=Query_Interface!$B$6),OR(Query_Interface!$B$7="All",$H218=Query_Interface!$B$7),OR(Query_Interface!$B$8="All",$N218=Query_Interface!$B$8),OR(Query_Interface!$B$9="All",$L218=Query_Interface!$B$9),OR(Query_Interface!$B$10="All",$R218=Query_Interface!$B$10),OR(Query_Interface!$B$11="All",$T218=Query_Interface!$B$11),OR(Query_Interface!$B$12="All",$Q218=Query_Interface!$B$12)),1,0)</f>
        <v>1</v>
      </c>
      <c r="Z218" s="2" t="n">
        <f aca="false">IF($Y218=1,COUNTIF($Y$2:$Y218,1),"")</f>
        <v>217</v>
      </c>
    </row>
    <row r="219" customFormat="false" ht="46.25" hidden="false" customHeight="false" outlineLevel="0" collapsed="false">
      <c r="A219" s="2" t="s">
        <v>500</v>
      </c>
      <c r="B219" s="2" t="n">
        <v>167</v>
      </c>
      <c r="C219" s="2" t="s">
        <v>686</v>
      </c>
      <c r="D219" s="2" t="s">
        <v>34</v>
      </c>
      <c r="E219" s="2" t="s">
        <v>873</v>
      </c>
      <c r="F219" s="2" t="s">
        <v>35</v>
      </c>
      <c r="G219" s="2" t="s">
        <v>912</v>
      </c>
      <c r="H219" s="2" t="s">
        <v>56</v>
      </c>
      <c r="I219" s="2" t="s">
        <v>913</v>
      </c>
      <c r="J219" s="2" t="s">
        <v>359</v>
      </c>
      <c r="K219" s="2" t="s">
        <v>944</v>
      </c>
      <c r="L219" s="2" t="s">
        <v>75</v>
      </c>
      <c r="M219" s="2" t="s">
        <v>798</v>
      </c>
      <c r="N219" s="2" t="s">
        <v>140</v>
      </c>
      <c r="O219" s="2" t="n">
        <v>1</v>
      </c>
      <c r="P219" s="2" t="n">
        <v>1</v>
      </c>
      <c r="Q219" s="2" t="s">
        <v>61</v>
      </c>
      <c r="R219" s="2" t="s">
        <v>53</v>
      </c>
      <c r="S219" s="2" t="s">
        <v>233</v>
      </c>
      <c r="T219" s="2" t="s">
        <v>67</v>
      </c>
      <c r="U219" s="2" t="s">
        <v>495</v>
      </c>
      <c r="V219" s="2" t="n">
        <v>2</v>
      </c>
      <c r="W219" s="2" t="s">
        <v>462</v>
      </c>
      <c r="X219" s="2" t="s">
        <v>915</v>
      </c>
      <c r="Y219" s="2" t="n">
        <f aca="false">IF(AND(OR(Query_Interface!$B$5="All",$D219=Query_Interface!$B$5),OR(Query_Interface!$B$6="All",$F219=Query_Interface!$B$6),OR(Query_Interface!$B$7="All",$H219=Query_Interface!$B$7),OR(Query_Interface!$B$8="All",$N219=Query_Interface!$B$8),OR(Query_Interface!$B$9="All",$L219=Query_Interface!$B$9),OR(Query_Interface!$B$10="All",$R219=Query_Interface!$B$10),OR(Query_Interface!$B$11="All",$T219=Query_Interface!$B$11),OR(Query_Interface!$B$12="All",$Q219=Query_Interface!$B$12)),1,0)</f>
        <v>1</v>
      </c>
      <c r="Z219" s="2" t="n">
        <f aca="false">IF($Y219=1,COUNTIF($Y$2:$Y219,1),"")</f>
        <v>218</v>
      </c>
    </row>
    <row r="220" customFormat="false" ht="46.25" hidden="false" customHeight="false" outlineLevel="0" collapsed="false">
      <c r="A220" s="2" t="s">
        <v>501</v>
      </c>
      <c r="B220" s="2" t="n">
        <v>168</v>
      </c>
      <c r="C220" s="2" t="s">
        <v>686</v>
      </c>
      <c r="D220" s="2" t="s">
        <v>34</v>
      </c>
      <c r="E220" s="2" t="s">
        <v>873</v>
      </c>
      <c r="F220" s="2" t="s">
        <v>35</v>
      </c>
      <c r="G220" s="2" t="s">
        <v>912</v>
      </c>
      <c r="H220" s="2" t="s">
        <v>56</v>
      </c>
      <c r="I220" s="2" t="s">
        <v>913</v>
      </c>
      <c r="J220" s="2" t="s">
        <v>502</v>
      </c>
      <c r="K220" s="2" t="s">
        <v>945</v>
      </c>
      <c r="L220" s="2" t="s">
        <v>69</v>
      </c>
      <c r="M220" s="2" t="s">
        <v>780</v>
      </c>
      <c r="N220" s="2" t="s">
        <v>105</v>
      </c>
      <c r="O220" s="2" t="n">
        <v>1</v>
      </c>
      <c r="P220" s="2" t="n">
        <v>1</v>
      </c>
      <c r="Q220" s="2" t="s">
        <v>61</v>
      </c>
      <c r="R220" s="2" t="s">
        <v>46</v>
      </c>
      <c r="S220" s="2" t="s">
        <v>230</v>
      </c>
      <c r="T220" s="2" t="s">
        <v>64</v>
      </c>
      <c r="U220" s="2" t="s">
        <v>461</v>
      </c>
      <c r="V220" s="2" t="n">
        <v>1</v>
      </c>
      <c r="W220" s="2" t="s">
        <v>462</v>
      </c>
      <c r="X220" s="2" t="s">
        <v>915</v>
      </c>
      <c r="Y220" s="2" t="n">
        <f aca="false">IF(AND(OR(Query_Interface!$B$5="All",$D220=Query_Interface!$B$5),OR(Query_Interface!$B$6="All",$F220=Query_Interface!$B$6),OR(Query_Interface!$B$7="All",$H220=Query_Interface!$B$7),OR(Query_Interface!$B$8="All",$N220=Query_Interface!$B$8),OR(Query_Interface!$B$9="All",$L220=Query_Interface!$B$9),OR(Query_Interface!$B$10="All",$R220=Query_Interface!$B$10),OR(Query_Interface!$B$11="All",$T220=Query_Interface!$B$11),OR(Query_Interface!$B$12="All",$Q220=Query_Interface!$B$12)),1,0)</f>
        <v>1</v>
      </c>
      <c r="Z220" s="2" t="n">
        <f aca="false">IF($Y220=1,COUNTIF($Y$2:$Y220,1),"")</f>
        <v>219</v>
      </c>
    </row>
    <row r="221" customFormat="false" ht="46.25" hidden="false" customHeight="false" outlineLevel="0" collapsed="false">
      <c r="A221" s="2" t="s">
        <v>503</v>
      </c>
      <c r="B221" s="2" t="n">
        <v>169</v>
      </c>
      <c r="C221" s="2" t="s">
        <v>686</v>
      </c>
      <c r="D221" s="2" t="s">
        <v>34</v>
      </c>
      <c r="E221" s="2" t="s">
        <v>873</v>
      </c>
      <c r="F221" s="2" t="s">
        <v>35</v>
      </c>
      <c r="G221" s="2" t="s">
        <v>912</v>
      </c>
      <c r="H221" s="2" t="s">
        <v>56</v>
      </c>
      <c r="I221" s="2" t="s">
        <v>913</v>
      </c>
      <c r="J221" s="2" t="s">
        <v>265</v>
      </c>
      <c r="K221" s="2" t="s">
        <v>946</v>
      </c>
      <c r="L221" s="2" t="s">
        <v>38</v>
      </c>
      <c r="M221" s="2" t="s">
        <v>740</v>
      </c>
      <c r="N221" s="2" t="s">
        <v>82</v>
      </c>
      <c r="O221" s="2" t="n">
        <v>1</v>
      </c>
      <c r="P221" s="2" t="n">
        <v>1</v>
      </c>
      <c r="Q221" s="2" t="s">
        <v>61</v>
      </c>
      <c r="R221" s="2" t="s">
        <v>39</v>
      </c>
      <c r="S221" s="2" t="s">
        <v>215</v>
      </c>
      <c r="T221" s="2" t="s">
        <v>64</v>
      </c>
      <c r="U221" s="2" t="s">
        <v>461</v>
      </c>
      <c r="V221" s="2" t="n">
        <v>1</v>
      </c>
      <c r="W221" s="2" t="s">
        <v>462</v>
      </c>
      <c r="X221" s="2" t="s">
        <v>915</v>
      </c>
      <c r="Y221" s="2" t="n">
        <f aca="false">IF(AND(OR(Query_Interface!$B$5="All",$D221=Query_Interface!$B$5),OR(Query_Interface!$B$6="All",$F221=Query_Interface!$B$6),OR(Query_Interface!$B$7="All",$H221=Query_Interface!$B$7),OR(Query_Interface!$B$8="All",$N221=Query_Interface!$B$8),OR(Query_Interface!$B$9="All",$L221=Query_Interface!$B$9),OR(Query_Interface!$B$10="All",$R221=Query_Interface!$B$10),OR(Query_Interface!$B$11="All",$T221=Query_Interface!$B$11),OR(Query_Interface!$B$12="All",$Q221=Query_Interface!$B$12)),1,0)</f>
        <v>1</v>
      </c>
      <c r="Z221" s="2" t="n">
        <f aca="false">IF($Y221=1,COUNTIF($Y$2:$Y221,1),"")</f>
        <v>220</v>
      </c>
    </row>
    <row r="222" customFormat="false" ht="46.25" hidden="false" customHeight="false" outlineLevel="0" collapsed="false">
      <c r="A222" s="2" t="s">
        <v>504</v>
      </c>
      <c r="B222" s="2" t="n">
        <v>170</v>
      </c>
      <c r="C222" s="2" t="s">
        <v>686</v>
      </c>
      <c r="D222" s="2" t="s">
        <v>34</v>
      </c>
      <c r="E222" s="2" t="s">
        <v>873</v>
      </c>
      <c r="F222" s="2" t="s">
        <v>35</v>
      </c>
      <c r="G222" s="2" t="s">
        <v>912</v>
      </c>
      <c r="H222" s="2" t="s">
        <v>56</v>
      </c>
      <c r="I222" s="2" t="s">
        <v>913</v>
      </c>
      <c r="J222" s="2" t="s">
        <v>505</v>
      </c>
      <c r="K222" s="2" t="s">
        <v>947</v>
      </c>
      <c r="L222" s="2" t="s">
        <v>69</v>
      </c>
      <c r="M222" s="2" t="s">
        <v>880</v>
      </c>
      <c r="N222" s="2" t="s">
        <v>107</v>
      </c>
      <c r="O222" s="2" t="n">
        <v>1</v>
      </c>
      <c r="P222" s="2" t="n">
        <v>1</v>
      </c>
      <c r="Q222" s="2" t="s">
        <v>61</v>
      </c>
      <c r="R222" s="2" t="s">
        <v>53</v>
      </c>
      <c r="S222" s="2" t="s">
        <v>233</v>
      </c>
      <c r="T222" s="2" t="s">
        <v>67</v>
      </c>
      <c r="U222" s="2" t="s">
        <v>495</v>
      </c>
      <c r="V222" s="2" t="n">
        <v>2</v>
      </c>
      <c r="W222" s="2" t="s">
        <v>462</v>
      </c>
      <c r="X222" s="2" t="s">
        <v>915</v>
      </c>
      <c r="Y222" s="2" t="n">
        <f aca="false">IF(AND(OR(Query_Interface!$B$5="All",$D222=Query_Interface!$B$5),OR(Query_Interface!$B$6="All",$F222=Query_Interface!$B$6),OR(Query_Interface!$B$7="All",$H222=Query_Interface!$B$7),OR(Query_Interface!$B$8="All",$N222=Query_Interface!$B$8),OR(Query_Interface!$B$9="All",$L222=Query_Interface!$B$9),OR(Query_Interface!$B$10="All",$R222=Query_Interface!$B$10),OR(Query_Interface!$B$11="All",$T222=Query_Interface!$B$11),OR(Query_Interface!$B$12="All",$Q222=Query_Interface!$B$12)),1,0)</f>
        <v>1</v>
      </c>
      <c r="Z222" s="2" t="n">
        <f aca="false">IF($Y222=1,COUNTIF($Y$2:$Y222,1),"")</f>
        <v>221</v>
      </c>
    </row>
    <row r="223" customFormat="false" ht="46.25" hidden="false" customHeight="false" outlineLevel="0" collapsed="false">
      <c r="A223" s="2" t="s">
        <v>506</v>
      </c>
      <c r="B223" s="2" t="n">
        <v>171</v>
      </c>
      <c r="C223" s="2" t="s">
        <v>686</v>
      </c>
      <c r="D223" s="2" t="s">
        <v>34</v>
      </c>
      <c r="E223" s="2" t="s">
        <v>873</v>
      </c>
      <c r="F223" s="2" t="s">
        <v>35</v>
      </c>
      <c r="G223" s="2" t="s">
        <v>912</v>
      </c>
      <c r="H223" s="2" t="s">
        <v>56</v>
      </c>
      <c r="I223" s="2" t="s">
        <v>913</v>
      </c>
      <c r="J223" s="2" t="s">
        <v>507</v>
      </c>
      <c r="K223" s="2" t="s">
        <v>948</v>
      </c>
      <c r="L223" s="2" t="s">
        <v>69</v>
      </c>
      <c r="M223" s="2" t="s">
        <v>825</v>
      </c>
      <c r="N223" s="2" t="s">
        <v>110</v>
      </c>
      <c r="O223" s="2" t="n">
        <v>1</v>
      </c>
      <c r="P223" s="2" t="n">
        <v>1</v>
      </c>
      <c r="Q223" s="2" t="s">
        <v>61</v>
      </c>
      <c r="R223" s="2" t="s">
        <v>53</v>
      </c>
      <c r="S223" s="2" t="s">
        <v>233</v>
      </c>
      <c r="T223" s="2" t="s">
        <v>67</v>
      </c>
      <c r="U223" s="2" t="s">
        <v>495</v>
      </c>
      <c r="V223" s="2" t="n">
        <v>2</v>
      </c>
      <c r="W223" s="2" t="s">
        <v>462</v>
      </c>
      <c r="X223" s="2" t="s">
        <v>915</v>
      </c>
      <c r="Y223" s="2" t="n">
        <f aca="false">IF(AND(OR(Query_Interface!$B$5="All",$D223=Query_Interface!$B$5),OR(Query_Interface!$B$6="All",$F223=Query_Interface!$B$6),OR(Query_Interface!$B$7="All",$H223=Query_Interface!$B$7),OR(Query_Interface!$B$8="All",$N223=Query_Interface!$B$8),OR(Query_Interface!$B$9="All",$L223=Query_Interface!$B$9),OR(Query_Interface!$B$10="All",$R223=Query_Interface!$B$10),OR(Query_Interface!$B$11="All",$T223=Query_Interface!$B$11),OR(Query_Interface!$B$12="All",$Q223=Query_Interface!$B$12)),1,0)</f>
        <v>1</v>
      </c>
      <c r="Z223" s="2" t="n">
        <f aca="false">IF($Y223=1,COUNTIF($Y$2:$Y223,1),"")</f>
        <v>222</v>
      </c>
    </row>
    <row r="224" customFormat="false" ht="46.25" hidden="false" customHeight="false" outlineLevel="0" collapsed="false">
      <c r="A224" s="2" t="s">
        <v>508</v>
      </c>
      <c r="B224" s="2" t="n">
        <v>172</v>
      </c>
      <c r="C224" s="2" t="s">
        <v>686</v>
      </c>
      <c r="D224" s="2" t="s">
        <v>34</v>
      </c>
      <c r="E224" s="2" t="s">
        <v>873</v>
      </c>
      <c r="F224" s="2" t="s">
        <v>35</v>
      </c>
      <c r="G224" s="2" t="s">
        <v>912</v>
      </c>
      <c r="H224" s="2" t="s">
        <v>56</v>
      </c>
      <c r="I224" s="2" t="s">
        <v>913</v>
      </c>
      <c r="J224" s="2" t="s">
        <v>267</v>
      </c>
      <c r="K224" s="2" t="s">
        <v>949</v>
      </c>
      <c r="L224" s="2" t="s">
        <v>75</v>
      </c>
      <c r="M224" s="2" t="s">
        <v>742</v>
      </c>
      <c r="N224" s="2" t="s">
        <v>88</v>
      </c>
      <c r="O224" s="2" t="n">
        <v>1</v>
      </c>
      <c r="P224" s="2" t="n">
        <v>1</v>
      </c>
      <c r="Q224" s="2" t="s">
        <v>61</v>
      </c>
      <c r="R224" s="2" t="s">
        <v>39</v>
      </c>
      <c r="S224" s="2" t="s">
        <v>215</v>
      </c>
      <c r="T224" s="2" t="s">
        <v>64</v>
      </c>
      <c r="U224" s="2" t="s">
        <v>448</v>
      </c>
      <c r="V224" s="2" t="n">
        <v>2</v>
      </c>
      <c r="W224" s="2" t="s">
        <v>462</v>
      </c>
      <c r="X224" s="2" t="s">
        <v>915</v>
      </c>
      <c r="Y224" s="2" t="n">
        <f aca="false">IF(AND(OR(Query_Interface!$B$5="All",$D224=Query_Interface!$B$5),OR(Query_Interface!$B$6="All",$F224=Query_Interface!$B$6),OR(Query_Interface!$B$7="All",$H224=Query_Interface!$B$7),OR(Query_Interface!$B$8="All",$N224=Query_Interface!$B$8),OR(Query_Interface!$B$9="All",$L224=Query_Interface!$B$9),OR(Query_Interface!$B$10="All",$R224=Query_Interface!$B$10),OR(Query_Interface!$B$11="All",$T224=Query_Interface!$B$11),OR(Query_Interface!$B$12="All",$Q224=Query_Interface!$B$12)),1,0)</f>
        <v>1</v>
      </c>
      <c r="Z224" s="2" t="n">
        <f aca="false">IF($Y224=1,COUNTIF($Y$2:$Y224,1),"")</f>
        <v>223</v>
      </c>
    </row>
    <row r="225" customFormat="false" ht="46.25" hidden="false" customHeight="false" outlineLevel="0" collapsed="false">
      <c r="A225" s="2" t="s">
        <v>509</v>
      </c>
      <c r="B225" s="2" t="n">
        <v>173</v>
      </c>
      <c r="C225" s="2" t="s">
        <v>686</v>
      </c>
      <c r="D225" s="2" t="s">
        <v>34</v>
      </c>
      <c r="E225" s="2" t="s">
        <v>873</v>
      </c>
      <c r="F225" s="2" t="s">
        <v>35</v>
      </c>
      <c r="G225" s="2" t="s">
        <v>912</v>
      </c>
      <c r="H225" s="2" t="s">
        <v>56</v>
      </c>
      <c r="I225" s="2" t="s">
        <v>913</v>
      </c>
      <c r="J225" s="2" t="s">
        <v>510</v>
      </c>
      <c r="K225" s="2" t="s">
        <v>950</v>
      </c>
      <c r="L225" s="2" t="s">
        <v>75</v>
      </c>
      <c r="M225" s="2" t="s">
        <v>730</v>
      </c>
      <c r="N225" s="2" t="s">
        <v>138</v>
      </c>
      <c r="O225" s="2" t="n">
        <v>1</v>
      </c>
      <c r="P225" s="2" t="n">
        <v>1</v>
      </c>
      <c r="Q225" s="2" t="s">
        <v>61</v>
      </c>
      <c r="R225" s="2" t="s">
        <v>59</v>
      </c>
      <c r="S225" s="2" t="s">
        <v>211</v>
      </c>
      <c r="T225" s="2" t="s">
        <v>67</v>
      </c>
      <c r="U225" s="2" t="s">
        <v>448</v>
      </c>
      <c r="V225" s="2" t="n">
        <v>3</v>
      </c>
      <c r="W225" s="2" t="s">
        <v>462</v>
      </c>
      <c r="X225" s="2" t="s">
        <v>915</v>
      </c>
      <c r="Y225" s="2" t="n">
        <f aca="false">IF(AND(OR(Query_Interface!$B$5="All",$D225=Query_Interface!$B$5),OR(Query_Interface!$B$6="All",$F225=Query_Interface!$B$6),OR(Query_Interface!$B$7="All",$H225=Query_Interface!$B$7),OR(Query_Interface!$B$8="All",$N225=Query_Interface!$B$8),OR(Query_Interface!$B$9="All",$L225=Query_Interface!$B$9),OR(Query_Interface!$B$10="All",$R225=Query_Interface!$B$10),OR(Query_Interface!$B$11="All",$T225=Query_Interface!$B$11),OR(Query_Interface!$B$12="All",$Q225=Query_Interface!$B$12)),1,0)</f>
        <v>1</v>
      </c>
      <c r="Z225" s="2" t="n">
        <f aca="false">IF($Y225=1,COUNTIF($Y$2:$Y225,1),"")</f>
        <v>224</v>
      </c>
    </row>
    <row r="226" customFormat="false" ht="46.25" hidden="false" customHeight="false" outlineLevel="0" collapsed="false">
      <c r="A226" s="2" t="s">
        <v>511</v>
      </c>
      <c r="B226" s="2" t="n">
        <v>174</v>
      </c>
      <c r="C226" s="2" t="s">
        <v>686</v>
      </c>
      <c r="D226" s="2" t="s">
        <v>34</v>
      </c>
      <c r="E226" s="2" t="s">
        <v>873</v>
      </c>
      <c r="F226" s="2" t="s">
        <v>35</v>
      </c>
      <c r="G226" s="2" t="s">
        <v>912</v>
      </c>
      <c r="H226" s="2" t="s">
        <v>56</v>
      </c>
      <c r="I226" s="2" t="s">
        <v>913</v>
      </c>
      <c r="J226" s="2" t="s">
        <v>271</v>
      </c>
      <c r="K226" s="2" t="s">
        <v>951</v>
      </c>
      <c r="L226" s="2" t="s">
        <v>58</v>
      </c>
      <c r="M226" s="2" t="s">
        <v>734</v>
      </c>
      <c r="N226" s="2" t="s">
        <v>87</v>
      </c>
      <c r="O226" s="2" t="n">
        <v>1</v>
      </c>
      <c r="P226" s="2" t="n">
        <v>3</v>
      </c>
      <c r="Q226" s="2" t="s">
        <v>41</v>
      </c>
      <c r="R226" s="2" t="s">
        <v>59</v>
      </c>
      <c r="S226" s="2" t="s">
        <v>211</v>
      </c>
      <c r="T226" s="2" t="s">
        <v>67</v>
      </c>
      <c r="U226" s="2" t="s">
        <v>448</v>
      </c>
      <c r="V226" s="2" t="n">
        <v>2</v>
      </c>
      <c r="W226" s="2" t="s">
        <v>462</v>
      </c>
      <c r="X226" s="2" t="s">
        <v>915</v>
      </c>
      <c r="Y226" s="2" t="n">
        <f aca="false">IF(AND(OR(Query_Interface!$B$5="All",$D226=Query_Interface!$B$5),OR(Query_Interface!$B$6="All",$F226=Query_Interface!$B$6),OR(Query_Interface!$B$7="All",$H226=Query_Interface!$B$7),OR(Query_Interface!$B$8="All",$N226=Query_Interface!$B$8),OR(Query_Interface!$B$9="All",$L226=Query_Interface!$B$9),OR(Query_Interface!$B$10="All",$R226=Query_Interface!$B$10),OR(Query_Interface!$B$11="All",$T226=Query_Interface!$B$11),OR(Query_Interface!$B$12="All",$Q226=Query_Interface!$B$12)),1,0)</f>
        <v>1</v>
      </c>
      <c r="Z226" s="2" t="n">
        <f aca="false">IF($Y226=1,COUNTIF($Y$2:$Y226,1),"")</f>
        <v>225</v>
      </c>
    </row>
    <row r="227" customFormat="false" ht="46.25" hidden="false" customHeight="false" outlineLevel="0" collapsed="false">
      <c r="A227" s="2" t="s">
        <v>511</v>
      </c>
      <c r="B227" s="2" t="n">
        <v>174</v>
      </c>
      <c r="C227" s="2" t="s">
        <v>686</v>
      </c>
      <c r="D227" s="2" t="s">
        <v>34</v>
      </c>
      <c r="E227" s="2" t="s">
        <v>873</v>
      </c>
      <c r="F227" s="2" t="s">
        <v>35</v>
      </c>
      <c r="G227" s="2" t="s">
        <v>912</v>
      </c>
      <c r="H227" s="2" t="s">
        <v>56</v>
      </c>
      <c r="I227" s="2" t="s">
        <v>913</v>
      </c>
      <c r="J227" s="2" t="s">
        <v>271</v>
      </c>
      <c r="K227" s="2" t="s">
        <v>951</v>
      </c>
      <c r="L227" s="2" t="s">
        <v>58</v>
      </c>
      <c r="M227" s="2" t="s">
        <v>726</v>
      </c>
      <c r="N227" s="2" t="s">
        <v>134</v>
      </c>
      <c r="O227" s="2" t="n">
        <v>2</v>
      </c>
      <c r="P227" s="2" t="n">
        <v>3</v>
      </c>
      <c r="Q227" s="2" t="s">
        <v>41</v>
      </c>
      <c r="R227" s="2" t="s">
        <v>59</v>
      </c>
      <c r="S227" s="2" t="s">
        <v>211</v>
      </c>
      <c r="T227" s="2" t="s">
        <v>67</v>
      </c>
      <c r="U227" s="2" t="s">
        <v>448</v>
      </c>
      <c r="V227" s="2" t="n">
        <v>2</v>
      </c>
      <c r="W227" s="2" t="s">
        <v>462</v>
      </c>
      <c r="X227" s="2" t="s">
        <v>915</v>
      </c>
      <c r="Y227" s="2" t="n">
        <f aca="false">IF(AND(OR(Query_Interface!$B$5="All",$D227=Query_Interface!$B$5),OR(Query_Interface!$B$6="All",$F227=Query_Interface!$B$6),OR(Query_Interface!$B$7="All",$H227=Query_Interface!$B$7),OR(Query_Interface!$B$8="All",$N227=Query_Interface!$B$8),OR(Query_Interface!$B$9="All",$L227=Query_Interface!$B$9),OR(Query_Interface!$B$10="All",$R227=Query_Interface!$B$10),OR(Query_Interface!$B$11="All",$T227=Query_Interface!$B$11),OR(Query_Interface!$B$12="All",$Q227=Query_Interface!$B$12)),1,0)</f>
        <v>1</v>
      </c>
      <c r="Z227" s="2" t="n">
        <f aca="false">IF($Y227=1,COUNTIF($Y$2:$Y227,1),"")</f>
        <v>226</v>
      </c>
    </row>
    <row r="228" customFormat="false" ht="46.25" hidden="false" customHeight="false" outlineLevel="0" collapsed="false">
      <c r="A228" s="2" t="s">
        <v>511</v>
      </c>
      <c r="B228" s="2" t="n">
        <v>174</v>
      </c>
      <c r="C228" s="2" t="s">
        <v>686</v>
      </c>
      <c r="D228" s="2" t="s">
        <v>34</v>
      </c>
      <c r="E228" s="2" t="s">
        <v>873</v>
      </c>
      <c r="F228" s="2" t="s">
        <v>35</v>
      </c>
      <c r="G228" s="2" t="s">
        <v>912</v>
      </c>
      <c r="H228" s="2" t="s">
        <v>56</v>
      </c>
      <c r="I228" s="2" t="s">
        <v>913</v>
      </c>
      <c r="J228" s="2" t="s">
        <v>271</v>
      </c>
      <c r="K228" s="2" t="s">
        <v>951</v>
      </c>
      <c r="L228" s="2" t="s">
        <v>58</v>
      </c>
      <c r="M228" s="2" t="s">
        <v>728</v>
      </c>
      <c r="N228" s="2" t="s">
        <v>136</v>
      </c>
      <c r="O228" s="2" t="n">
        <v>3</v>
      </c>
      <c r="P228" s="2" t="n">
        <v>3</v>
      </c>
      <c r="Q228" s="2" t="s">
        <v>41</v>
      </c>
      <c r="R228" s="2" t="s">
        <v>59</v>
      </c>
      <c r="S228" s="2" t="s">
        <v>211</v>
      </c>
      <c r="T228" s="2" t="s">
        <v>67</v>
      </c>
      <c r="U228" s="2" t="s">
        <v>448</v>
      </c>
      <c r="V228" s="2" t="n">
        <v>2</v>
      </c>
      <c r="W228" s="2" t="s">
        <v>462</v>
      </c>
      <c r="X228" s="2" t="s">
        <v>915</v>
      </c>
      <c r="Y228" s="2" t="n">
        <f aca="false">IF(AND(OR(Query_Interface!$B$5="All",$D228=Query_Interface!$B$5),OR(Query_Interface!$B$6="All",$F228=Query_Interface!$B$6),OR(Query_Interface!$B$7="All",$H228=Query_Interface!$B$7),OR(Query_Interface!$B$8="All",$N228=Query_Interface!$B$8),OR(Query_Interface!$B$9="All",$L228=Query_Interface!$B$9),OR(Query_Interface!$B$10="All",$R228=Query_Interface!$B$10),OR(Query_Interface!$B$11="All",$T228=Query_Interface!$B$11),OR(Query_Interface!$B$12="All",$Q228=Query_Interface!$B$12)),1,0)</f>
        <v>1</v>
      </c>
      <c r="Z228" s="2" t="n">
        <f aca="false">IF($Y228=1,COUNTIF($Y$2:$Y228,1),"")</f>
        <v>227</v>
      </c>
    </row>
    <row r="229" customFormat="false" ht="46.25" hidden="false" customHeight="false" outlineLevel="0" collapsed="false">
      <c r="A229" s="2" t="s">
        <v>512</v>
      </c>
      <c r="B229" s="2" t="n">
        <v>175</v>
      </c>
      <c r="C229" s="2" t="s">
        <v>686</v>
      </c>
      <c r="D229" s="2" t="s">
        <v>34</v>
      </c>
      <c r="E229" s="2" t="s">
        <v>873</v>
      </c>
      <c r="F229" s="2" t="s">
        <v>35</v>
      </c>
      <c r="G229" s="2" t="s">
        <v>912</v>
      </c>
      <c r="H229" s="2" t="s">
        <v>56</v>
      </c>
      <c r="I229" s="2" t="s">
        <v>913</v>
      </c>
      <c r="J229" s="2" t="s">
        <v>513</v>
      </c>
      <c r="K229" s="2" t="s">
        <v>952</v>
      </c>
      <c r="L229" s="2" t="s">
        <v>58</v>
      </c>
      <c r="M229" s="2" t="s">
        <v>758</v>
      </c>
      <c r="N229" s="2" t="s">
        <v>84</v>
      </c>
      <c r="O229" s="2" t="n">
        <v>1</v>
      </c>
      <c r="P229" s="2" t="n">
        <v>1</v>
      </c>
      <c r="Q229" s="2" t="s">
        <v>61</v>
      </c>
      <c r="R229" s="2" t="s">
        <v>53</v>
      </c>
      <c r="S229" s="2" t="s">
        <v>233</v>
      </c>
      <c r="T229" s="2" t="s">
        <v>67</v>
      </c>
      <c r="U229" s="2" t="s">
        <v>448</v>
      </c>
      <c r="V229" s="2" t="n">
        <v>4</v>
      </c>
      <c r="W229" s="2" t="s">
        <v>462</v>
      </c>
      <c r="X229" s="2" t="s">
        <v>915</v>
      </c>
      <c r="Y229" s="2" t="n">
        <f aca="false">IF(AND(OR(Query_Interface!$B$5="All",$D229=Query_Interface!$B$5),OR(Query_Interface!$B$6="All",$F229=Query_Interface!$B$6),OR(Query_Interface!$B$7="All",$H229=Query_Interface!$B$7),OR(Query_Interface!$B$8="All",$N229=Query_Interface!$B$8),OR(Query_Interface!$B$9="All",$L229=Query_Interface!$B$9),OR(Query_Interface!$B$10="All",$R229=Query_Interface!$B$10),OR(Query_Interface!$B$11="All",$T229=Query_Interface!$B$11),OR(Query_Interface!$B$12="All",$Q229=Query_Interface!$B$12)),1,0)</f>
        <v>1</v>
      </c>
      <c r="Z229" s="2" t="n">
        <f aca="false">IF($Y229=1,COUNTIF($Y$2:$Y229,1),"")</f>
        <v>228</v>
      </c>
    </row>
    <row r="230" customFormat="false" ht="46.25" hidden="false" customHeight="false" outlineLevel="0" collapsed="false">
      <c r="A230" s="2" t="s">
        <v>514</v>
      </c>
      <c r="B230" s="2" t="n">
        <v>176</v>
      </c>
      <c r="C230" s="2" t="s">
        <v>686</v>
      </c>
      <c r="D230" s="2" t="s">
        <v>34</v>
      </c>
      <c r="E230" s="2" t="s">
        <v>873</v>
      </c>
      <c r="F230" s="2" t="s">
        <v>35</v>
      </c>
      <c r="G230" s="2" t="s">
        <v>912</v>
      </c>
      <c r="H230" s="2" t="s">
        <v>56</v>
      </c>
      <c r="I230" s="2" t="s">
        <v>913</v>
      </c>
      <c r="J230" s="2" t="s">
        <v>515</v>
      </c>
      <c r="K230" s="2" t="s">
        <v>953</v>
      </c>
      <c r="L230" s="2" t="s">
        <v>69</v>
      </c>
      <c r="M230" s="2" t="s">
        <v>802</v>
      </c>
      <c r="N230" s="2" t="s">
        <v>109</v>
      </c>
      <c r="O230" s="2" t="n">
        <v>1</v>
      </c>
      <c r="P230" s="2" t="n">
        <v>1</v>
      </c>
      <c r="Q230" s="2" t="s">
        <v>61</v>
      </c>
      <c r="R230" s="2" t="s">
        <v>59</v>
      </c>
      <c r="S230" s="2" t="s">
        <v>211</v>
      </c>
      <c r="T230" s="2" t="s">
        <v>67</v>
      </c>
      <c r="U230" s="2" t="s">
        <v>461</v>
      </c>
      <c r="V230" s="2" t="n">
        <v>4</v>
      </c>
      <c r="W230" s="2" t="s">
        <v>462</v>
      </c>
      <c r="X230" s="2" t="s">
        <v>915</v>
      </c>
      <c r="Y230" s="2" t="n">
        <f aca="false">IF(AND(OR(Query_Interface!$B$5="All",$D230=Query_Interface!$B$5),OR(Query_Interface!$B$6="All",$F230=Query_Interface!$B$6),OR(Query_Interface!$B$7="All",$H230=Query_Interface!$B$7),OR(Query_Interface!$B$8="All",$N230=Query_Interface!$B$8),OR(Query_Interface!$B$9="All",$L230=Query_Interface!$B$9),OR(Query_Interface!$B$10="All",$R230=Query_Interface!$B$10),OR(Query_Interface!$B$11="All",$T230=Query_Interface!$B$11),OR(Query_Interface!$B$12="All",$Q230=Query_Interface!$B$12)),1,0)</f>
        <v>1</v>
      </c>
      <c r="Z230" s="2" t="n">
        <f aca="false">IF($Y230=1,COUNTIF($Y$2:$Y230,1),"")</f>
        <v>229</v>
      </c>
    </row>
    <row r="231" customFormat="false" ht="46.25" hidden="false" customHeight="false" outlineLevel="0" collapsed="false">
      <c r="A231" s="2" t="s">
        <v>516</v>
      </c>
      <c r="B231" s="2" t="n">
        <v>177</v>
      </c>
      <c r="C231" s="2" t="s">
        <v>686</v>
      </c>
      <c r="D231" s="2" t="s">
        <v>34</v>
      </c>
      <c r="E231" s="2" t="s">
        <v>873</v>
      </c>
      <c r="F231" s="2" t="s">
        <v>35</v>
      </c>
      <c r="G231" s="2" t="s">
        <v>912</v>
      </c>
      <c r="H231" s="2" t="s">
        <v>56</v>
      </c>
      <c r="I231" s="2" t="s">
        <v>913</v>
      </c>
      <c r="J231" s="2" t="s">
        <v>275</v>
      </c>
      <c r="K231" s="2" t="s">
        <v>954</v>
      </c>
      <c r="L231" s="2" t="s">
        <v>69</v>
      </c>
      <c r="M231" s="2" t="s">
        <v>752</v>
      </c>
      <c r="N231" s="2" t="s">
        <v>113</v>
      </c>
      <c r="O231" s="2" t="n">
        <v>1</v>
      </c>
      <c r="P231" s="2" t="n">
        <v>2</v>
      </c>
      <c r="Q231" s="2" t="s">
        <v>41</v>
      </c>
      <c r="R231" s="2" t="s">
        <v>59</v>
      </c>
      <c r="S231" s="2" t="s">
        <v>211</v>
      </c>
      <c r="T231" s="2" t="s">
        <v>67</v>
      </c>
      <c r="U231" s="2" t="s">
        <v>448</v>
      </c>
      <c r="V231" s="2" t="n">
        <v>3</v>
      </c>
      <c r="W231" s="2" t="s">
        <v>462</v>
      </c>
      <c r="X231" s="2" t="s">
        <v>915</v>
      </c>
      <c r="Y231" s="2" t="n">
        <f aca="false">IF(AND(OR(Query_Interface!$B$5="All",$D231=Query_Interface!$B$5),OR(Query_Interface!$B$6="All",$F231=Query_Interface!$B$6),OR(Query_Interface!$B$7="All",$H231=Query_Interface!$B$7),OR(Query_Interface!$B$8="All",$N231=Query_Interface!$B$8),OR(Query_Interface!$B$9="All",$L231=Query_Interface!$B$9),OR(Query_Interface!$B$10="All",$R231=Query_Interface!$B$10),OR(Query_Interface!$B$11="All",$T231=Query_Interface!$B$11),OR(Query_Interface!$B$12="All",$Q231=Query_Interface!$B$12)),1,0)</f>
        <v>1</v>
      </c>
      <c r="Z231" s="2" t="n">
        <f aca="false">IF($Y231=1,COUNTIF($Y$2:$Y231,1),"")</f>
        <v>230</v>
      </c>
    </row>
    <row r="232" customFormat="false" ht="46.25" hidden="false" customHeight="false" outlineLevel="0" collapsed="false">
      <c r="A232" s="2" t="s">
        <v>516</v>
      </c>
      <c r="B232" s="2" t="n">
        <v>177</v>
      </c>
      <c r="C232" s="2" t="s">
        <v>686</v>
      </c>
      <c r="D232" s="2" t="s">
        <v>34</v>
      </c>
      <c r="E232" s="2" t="s">
        <v>873</v>
      </c>
      <c r="F232" s="2" t="s">
        <v>35</v>
      </c>
      <c r="G232" s="2" t="s">
        <v>912</v>
      </c>
      <c r="H232" s="2" t="s">
        <v>56</v>
      </c>
      <c r="I232" s="2" t="s">
        <v>913</v>
      </c>
      <c r="J232" s="2" t="s">
        <v>275</v>
      </c>
      <c r="K232" s="2" t="s">
        <v>954</v>
      </c>
      <c r="L232" s="2" t="s">
        <v>69</v>
      </c>
      <c r="M232" s="2" t="s">
        <v>808</v>
      </c>
      <c r="N232" s="2" t="s">
        <v>126</v>
      </c>
      <c r="O232" s="2" t="n">
        <v>2</v>
      </c>
      <c r="P232" s="2" t="n">
        <v>2</v>
      </c>
      <c r="Q232" s="2" t="s">
        <v>41</v>
      </c>
      <c r="R232" s="2" t="s">
        <v>59</v>
      </c>
      <c r="S232" s="2" t="s">
        <v>211</v>
      </c>
      <c r="T232" s="2" t="s">
        <v>67</v>
      </c>
      <c r="U232" s="2" t="s">
        <v>448</v>
      </c>
      <c r="V232" s="2" t="n">
        <v>3</v>
      </c>
      <c r="W232" s="2" t="s">
        <v>462</v>
      </c>
      <c r="X232" s="2" t="s">
        <v>915</v>
      </c>
      <c r="Y232" s="2" t="n">
        <f aca="false">IF(AND(OR(Query_Interface!$B$5="All",$D232=Query_Interface!$B$5),OR(Query_Interface!$B$6="All",$F232=Query_Interface!$B$6),OR(Query_Interface!$B$7="All",$H232=Query_Interface!$B$7),OR(Query_Interface!$B$8="All",$N232=Query_Interface!$B$8),OR(Query_Interface!$B$9="All",$L232=Query_Interface!$B$9),OR(Query_Interface!$B$10="All",$R232=Query_Interface!$B$10),OR(Query_Interface!$B$11="All",$T232=Query_Interface!$B$11),OR(Query_Interface!$B$12="All",$Q232=Query_Interface!$B$12)),1,0)</f>
        <v>1</v>
      </c>
      <c r="Z232" s="2" t="n">
        <f aca="false">IF($Y232=1,COUNTIF($Y$2:$Y232,1),"")</f>
        <v>231</v>
      </c>
    </row>
    <row r="233" customFormat="false" ht="46.25" hidden="false" customHeight="false" outlineLevel="0" collapsed="false">
      <c r="A233" s="2" t="s">
        <v>517</v>
      </c>
      <c r="B233" s="2" t="n">
        <v>178</v>
      </c>
      <c r="C233" s="2" t="s">
        <v>686</v>
      </c>
      <c r="D233" s="2" t="s">
        <v>34</v>
      </c>
      <c r="E233" s="2" t="s">
        <v>873</v>
      </c>
      <c r="F233" s="2" t="s">
        <v>35</v>
      </c>
      <c r="G233" s="2" t="s">
        <v>912</v>
      </c>
      <c r="H233" s="2" t="s">
        <v>56</v>
      </c>
      <c r="I233" s="2" t="s">
        <v>913</v>
      </c>
      <c r="J233" s="2" t="s">
        <v>372</v>
      </c>
      <c r="K233" s="2" t="s">
        <v>955</v>
      </c>
      <c r="L233" s="2" t="s">
        <v>71</v>
      </c>
      <c r="M233" s="2" t="s">
        <v>848</v>
      </c>
      <c r="N233" s="2" t="s">
        <v>127</v>
      </c>
      <c r="O233" s="2" t="n">
        <v>1</v>
      </c>
      <c r="P233" s="2" t="n">
        <v>1</v>
      </c>
      <c r="Q233" s="2" t="s">
        <v>61</v>
      </c>
      <c r="R233" s="2" t="s">
        <v>59</v>
      </c>
      <c r="S233" s="2" t="s">
        <v>211</v>
      </c>
      <c r="T233" s="2" t="s">
        <v>67</v>
      </c>
      <c r="U233" s="2" t="s">
        <v>448</v>
      </c>
      <c r="V233" s="2" t="n">
        <v>4</v>
      </c>
      <c r="W233" s="2" t="s">
        <v>462</v>
      </c>
      <c r="X233" s="2" t="s">
        <v>915</v>
      </c>
      <c r="Y233" s="2" t="n">
        <f aca="false">IF(AND(OR(Query_Interface!$B$5="All",$D233=Query_Interface!$B$5),OR(Query_Interface!$B$6="All",$F233=Query_Interface!$B$6),OR(Query_Interface!$B$7="All",$H233=Query_Interface!$B$7),OR(Query_Interface!$B$8="All",$N233=Query_Interface!$B$8),OR(Query_Interface!$B$9="All",$L233=Query_Interface!$B$9),OR(Query_Interface!$B$10="All",$R233=Query_Interface!$B$10),OR(Query_Interface!$B$11="All",$T233=Query_Interface!$B$11),OR(Query_Interface!$B$12="All",$Q233=Query_Interface!$B$12)),1,0)</f>
        <v>1</v>
      </c>
      <c r="Z233" s="2" t="n">
        <f aca="false">IF($Y233=1,COUNTIF($Y$2:$Y233,1),"")</f>
        <v>232</v>
      </c>
    </row>
    <row r="234" customFormat="false" ht="46.25" hidden="false" customHeight="false" outlineLevel="0" collapsed="false">
      <c r="A234" s="2" t="s">
        <v>518</v>
      </c>
      <c r="B234" s="2" t="n">
        <v>179</v>
      </c>
      <c r="C234" s="2" t="s">
        <v>686</v>
      </c>
      <c r="D234" s="2" t="s">
        <v>34</v>
      </c>
      <c r="E234" s="2" t="s">
        <v>873</v>
      </c>
      <c r="F234" s="2" t="s">
        <v>35</v>
      </c>
      <c r="G234" s="2" t="s">
        <v>912</v>
      </c>
      <c r="H234" s="2" t="s">
        <v>56</v>
      </c>
      <c r="I234" s="2" t="s">
        <v>913</v>
      </c>
      <c r="J234" s="2" t="s">
        <v>519</v>
      </c>
      <c r="K234" s="2" t="s">
        <v>956</v>
      </c>
      <c r="L234" s="2" t="s">
        <v>58</v>
      </c>
      <c r="M234" s="2" t="s">
        <v>898</v>
      </c>
      <c r="N234" s="2" t="s">
        <v>62</v>
      </c>
      <c r="O234" s="2" t="n">
        <v>1</v>
      </c>
      <c r="P234" s="2" t="n">
        <v>3</v>
      </c>
      <c r="Q234" s="2" t="s">
        <v>41</v>
      </c>
      <c r="R234" s="2" t="s">
        <v>59</v>
      </c>
      <c r="S234" s="2" t="s">
        <v>211</v>
      </c>
      <c r="T234" s="2" t="s">
        <v>67</v>
      </c>
      <c r="U234" s="2" t="s">
        <v>461</v>
      </c>
      <c r="V234" s="2" t="n">
        <v>3</v>
      </c>
      <c r="W234" s="2" t="s">
        <v>462</v>
      </c>
      <c r="X234" s="2" t="s">
        <v>915</v>
      </c>
      <c r="Y234" s="2" t="n">
        <f aca="false">IF(AND(OR(Query_Interface!$B$5="All",$D234=Query_Interface!$B$5),OR(Query_Interface!$B$6="All",$F234=Query_Interface!$B$6),OR(Query_Interface!$B$7="All",$H234=Query_Interface!$B$7),OR(Query_Interface!$B$8="All",$N234=Query_Interface!$B$8),OR(Query_Interface!$B$9="All",$L234=Query_Interface!$B$9),OR(Query_Interface!$B$10="All",$R234=Query_Interface!$B$10),OR(Query_Interface!$B$11="All",$T234=Query_Interface!$B$11),OR(Query_Interface!$B$12="All",$Q234=Query_Interface!$B$12)),1,0)</f>
        <v>1</v>
      </c>
      <c r="Z234" s="2" t="n">
        <f aca="false">IF($Y234=1,COUNTIF($Y$2:$Y234,1),"")</f>
        <v>233</v>
      </c>
    </row>
    <row r="235" customFormat="false" ht="46.25" hidden="false" customHeight="false" outlineLevel="0" collapsed="false">
      <c r="A235" s="2" t="s">
        <v>518</v>
      </c>
      <c r="B235" s="2" t="n">
        <v>179</v>
      </c>
      <c r="C235" s="2" t="s">
        <v>686</v>
      </c>
      <c r="D235" s="2" t="s">
        <v>34</v>
      </c>
      <c r="E235" s="2" t="s">
        <v>873</v>
      </c>
      <c r="F235" s="2" t="s">
        <v>35</v>
      </c>
      <c r="G235" s="2" t="s">
        <v>912</v>
      </c>
      <c r="H235" s="2" t="s">
        <v>56</v>
      </c>
      <c r="I235" s="2" t="s">
        <v>913</v>
      </c>
      <c r="J235" s="2" t="s">
        <v>519</v>
      </c>
      <c r="K235" s="2" t="s">
        <v>956</v>
      </c>
      <c r="L235" s="2" t="s">
        <v>58</v>
      </c>
      <c r="M235" s="2" t="s">
        <v>734</v>
      </c>
      <c r="N235" s="2" t="s">
        <v>87</v>
      </c>
      <c r="O235" s="2" t="n">
        <v>2</v>
      </c>
      <c r="P235" s="2" t="n">
        <v>3</v>
      </c>
      <c r="Q235" s="2" t="s">
        <v>41</v>
      </c>
      <c r="R235" s="2" t="s">
        <v>59</v>
      </c>
      <c r="S235" s="2" t="s">
        <v>211</v>
      </c>
      <c r="T235" s="2" t="s">
        <v>67</v>
      </c>
      <c r="U235" s="2" t="s">
        <v>461</v>
      </c>
      <c r="V235" s="2" t="n">
        <v>3</v>
      </c>
      <c r="W235" s="2" t="s">
        <v>462</v>
      </c>
      <c r="X235" s="2" t="s">
        <v>915</v>
      </c>
      <c r="Y235" s="2" t="n">
        <f aca="false">IF(AND(OR(Query_Interface!$B$5="All",$D235=Query_Interface!$B$5),OR(Query_Interface!$B$6="All",$F235=Query_Interface!$B$6),OR(Query_Interface!$B$7="All",$H235=Query_Interface!$B$7),OR(Query_Interface!$B$8="All",$N235=Query_Interface!$B$8),OR(Query_Interface!$B$9="All",$L235=Query_Interface!$B$9),OR(Query_Interface!$B$10="All",$R235=Query_Interface!$B$10),OR(Query_Interface!$B$11="All",$T235=Query_Interface!$B$11),OR(Query_Interface!$B$12="All",$Q235=Query_Interface!$B$12)),1,0)</f>
        <v>1</v>
      </c>
      <c r="Z235" s="2" t="n">
        <f aca="false">IF($Y235=1,COUNTIF($Y$2:$Y235,1),"")</f>
        <v>234</v>
      </c>
    </row>
    <row r="236" customFormat="false" ht="46.25" hidden="false" customHeight="false" outlineLevel="0" collapsed="false">
      <c r="A236" s="2" t="s">
        <v>518</v>
      </c>
      <c r="B236" s="2" t="n">
        <v>179</v>
      </c>
      <c r="C236" s="2" t="s">
        <v>686</v>
      </c>
      <c r="D236" s="2" t="s">
        <v>34</v>
      </c>
      <c r="E236" s="2" t="s">
        <v>873</v>
      </c>
      <c r="F236" s="2" t="s">
        <v>35</v>
      </c>
      <c r="G236" s="2" t="s">
        <v>912</v>
      </c>
      <c r="H236" s="2" t="s">
        <v>56</v>
      </c>
      <c r="I236" s="2" t="s">
        <v>913</v>
      </c>
      <c r="J236" s="2" t="s">
        <v>519</v>
      </c>
      <c r="K236" s="2" t="s">
        <v>956</v>
      </c>
      <c r="L236" s="2" t="s">
        <v>58</v>
      </c>
      <c r="M236" s="2" t="s">
        <v>884</v>
      </c>
      <c r="N236" s="2" t="s">
        <v>148</v>
      </c>
      <c r="O236" s="2" t="n">
        <v>3</v>
      </c>
      <c r="P236" s="2" t="n">
        <v>3</v>
      </c>
      <c r="Q236" s="2" t="s">
        <v>41</v>
      </c>
      <c r="R236" s="2" t="s">
        <v>59</v>
      </c>
      <c r="S236" s="2" t="s">
        <v>211</v>
      </c>
      <c r="T236" s="2" t="s">
        <v>67</v>
      </c>
      <c r="U236" s="2" t="s">
        <v>461</v>
      </c>
      <c r="V236" s="2" t="n">
        <v>3</v>
      </c>
      <c r="W236" s="2" t="s">
        <v>462</v>
      </c>
      <c r="X236" s="2" t="s">
        <v>915</v>
      </c>
      <c r="Y236" s="2" t="n">
        <f aca="false">IF(AND(OR(Query_Interface!$B$5="All",$D236=Query_Interface!$B$5),OR(Query_Interface!$B$6="All",$F236=Query_Interface!$B$6),OR(Query_Interface!$B$7="All",$H236=Query_Interface!$B$7),OR(Query_Interface!$B$8="All",$N236=Query_Interface!$B$8),OR(Query_Interface!$B$9="All",$L236=Query_Interface!$B$9),OR(Query_Interface!$B$10="All",$R236=Query_Interface!$B$10),OR(Query_Interface!$B$11="All",$T236=Query_Interface!$B$11),OR(Query_Interface!$B$12="All",$Q236=Query_Interface!$B$12)),1,0)</f>
        <v>1</v>
      </c>
      <c r="Z236" s="2" t="n">
        <f aca="false">IF($Y236=1,COUNTIF($Y$2:$Y236,1),"")</f>
        <v>235</v>
      </c>
    </row>
    <row r="237" customFormat="false" ht="46.25" hidden="false" customHeight="false" outlineLevel="0" collapsed="false">
      <c r="A237" s="2" t="s">
        <v>520</v>
      </c>
      <c r="B237" s="2" t="n">
        <v>180</v>
      </c>
      <c r="C237" s="2" t="s">
        <v>686</v>
      </c>
      <c r="D237" s="2" t="s">
        <v>34</v>
      </c>
      <c r="E237" s="2" t="s">
        <v>873</v>
      </c>
      <c r="F237" s="2" t="s">
        <v>35</v>
      </c>
      <c r="G237" s="2" t="s">
        <v>912</v>
      </c>
      <c r="H237" s="2" t="s">
        <v>56</v>
      </c>
      <c r="I237" s="2" t="s">
        <v>913</v>
      </c>
      <c r="J237" s="2" t="s">
        <v>377</v>
      </c>
      <c r="K237" s="2" t="s">
        <v>957</v>
      </c>
      <c r="L237" s="2" t="s">
        <v>69</v>
      </c>
      <c r="M237" s="2" t="s">
        <v>852</v>
      </c>
      <c r="N237" s="2" t="s">
        <v>114</v>
      </c>
      <c r="O237" s="2" t="n">
        <v>1</v>
      </c>
      <c r="P237" s="2" t="n">
        <v>1</v>
      </c>
      <c r="Q237" s="2" t="s">
        <v>61</v>
      </c>
      <c r="R237" s="2" t="s">
        <v>59</v>
      </c>
      <c r="S237" s="2" t="s">
        <v>211</v>
      </c>
      <c r="T237" s="2" t="s">
        <v>67</v>
      </c>
      <c r="U237" s="2" t="s">
        <v>448</v>
      </c>
      <c r="V237" s="2" t="n">
        <v>4</v>
      </c>
      <c r="W237" s="2" t="s">
        <v>462</v>
      </c>
      <c r="X237" s="2" t="s">
        <v>915</v>
      </c>
      <c r="Y237" s="2" t="n">
        <f aca="false">IF(AND(OR(Query_Interface!$B$5="All",$D237=Query_Interface!$B$5),OR(Query_Interface!$B$6="All",$F237=Query_Interface!$B$6),OR(Query_Interface!$B$7="All",$H237=Query_Interface!$B$7),OR(Query_Interface!$B$8="All",$N237=Query_Interface!$B$8),OR(Query_Interface!$B$9="All",$L237=Query_Interface!$B$9),OR(Query_Interface!$B$10="All",$R237=Query_Interface!$B$10),OR(Query_Interface!$B$11="All",$T237=Query_Interface!$B$11),OR(Query_Interface!$B$12="All",$Q237=Query_Interface!$B$12)),1,0)</f>
        <v>1</v>
      </c>
      <c r="Z237" s="2" t="n">
        <f aca="false">IF($Y237=1,COUNTIF($Y$2:$Y237,1),"")</f>
        <v>236</v>
      </c>
    </row>
    <row r="238" customFormat="false" ht="46.25" hidden="false" customHeight="false" outlineLevel="0" collapsed="false">
      <c r="A238" s="2" t="s">
        <v>521</v>
      </c>
      <c r="B238" s="2" t="n">
        <v>181</v>
      </c>
      <c r="C238" s="2" t="s">
        <v>686</v>
      </c>
      <c r="D238" s="2" t="s">
        <v>34</v>
      </c>
      <c r="E238" s="2" t="s">
        <v>873</v>
      </c>
      <c r="F238" s="2" t="s">
        <v>35</v>
      </c>
      <c r="G238" s="2" t="s">
        <v>912</v>
      </c>
      <c r="H238" s="2" t="s">
        <v>56</v>
      </c>
      <c r="I238" s="2" t="s">
        <v>913</v>
      </c>
      <c r="J238" s="2" t="s">
        <v>522</v>
      </c>
      <c r="K238" s="2" t="s">
        <v>958</v>
      </c>
      <c r="L238" s="2" t="s">
        <v>69</v>
      </c>
      <c r="M238" s="2" t="s">
        <v>959</v>
      </c>
      <c r="N238" s="2" t="s">
        <v>57</v>
      </c>
      <c r="O238" s="2" t="n">
        <v>1</v>
      </c>
      <c r="P238" s="2" t="n">
        <v>1</v>
      </c>
      <c r="Q238" s="2" t="s">
        <v>61</v>
      </c>
      <c r="R238" s="2" t="s">
        <v>59</v>
      </c>
      <c r="S238" s="2" t="s">
        <v>211</v>
      </c>
      <c r="T238" s="2" t="s">
        <v>67</v>
      </c>
      <c r="U238" s="2" t="s">
        <v>461</v>
      </c>
      <c r="V238" s="2" t="n">
        <v>2</v>
      </c>
      <c r="W238" s="2" t="s">
        <v>462</v>
      </c>
      <c r="X238" s="2" t="s">
        <v>915</v>
      </c>
      <c r="Y238" s="2" t="n">
        <f aca="false">IF(AND(OR(Query_Interface!$B$5="All",$D238=Query_Interface!$B$5),OR(Query_Interface!$B$6="All",$F238=Query_Interface!$B$6),OR(Query_Interface!$B$7="All",$H238=Query_Interface!$B$7),OR(Query_Interface!$B$8="All",$N238=Query_Interface!$B$8),OR(Query_Interface!$B$9="All",$L238=Query_Interface!$B$9),OR(Query_Interface!$B$10="All",$R238=Query_Interface!$B$10),OR(Query_Interface!$B$11="All",$T238=Query_Interface!$B$11),OR(Query_Interface!$B$12="All",$Q238=Query_Interface!$B$12)),1,0)</f>
        <v>1</v>
      </c>
      <c r="Z238" s="2" t="n">
        <f aca="false">IF($Y238=1,COUNTIF($Y$2:$Y238,1),"")</f>
        <v>237</v>
      </c>
    </row>
    <row r="239" customFormat="false" ht="46.25" hidden="false" customHeight="false" outlineLevel="0" collapsed="false">
      <c r="A239" s="2" t="s">
        <v>523</v>
      </c>
      <c r="B239" s="2" t="n">
        <v>182</v>
      </c>
      <c r="C239" s="2" t="s">
        <v>686</v>
      </c>
      <c r="D239" s="2" t="s">
        <v>34</v>
      </c>
      <c r="E239" s="2" t="s">
        <v>873</v>
      </c>
      <c r="F239" s="2" t="s">
        <v>35</v>
      </c>
      <c r="G239" s="2" t="s">
        <v>912</v>
      </c>
      <c r="H239" s="2" t="s">
        <v>56</v>
      </c>
      <c r="I239" s="2" t="s">
        <v>913</v>
      </c>
      <c r="J239" s="2" t="s">
        <v>524</v>
      </c>
      <c r="K239" s="2" t="s">
        <v>960</v>
      </c>
      <c r="L239" s="2" t="s">
        <v>45</v>
      </c>
      <c r="M239" s="2" t="s">
        <v>898</v>
      </c>
      <c r="N239" s="2" t="s">
        <v>62</v>
      </c>
      <c r="O239" s="2" t="n">
        <v>1</v>
      </c>
      <c r="P239" s="2" t="n">
        <v>1</v>
      </c>
      <c r="Q239" s="2" t="s">
        <v>61</v>
      </c>
      <c r="R239" s="2" t="s">
        <v>59</v>
      </c>
      <c r="S239" s="2" t="s">
        <v>211</v>
      </c>
      <c r="T239" s="2" t="s">
        <v>67</v>
      </c>
      <c r="U239" s="2" t="s">
        <v>461</v>
      </c>
      <c r="V239" s="2" t="n">
        <v>2</v>
      </c>
      <c r="W239" s="2" t="s">
        <v>462</v>
      </c>
      <c r="X239" s="2" t="s">
        <v>915</v>
      </c>
      <c r="Y239" s="2" t="n">
        <f aca="false">IF(AND(OR(Query_Interface!$B$5="All",$D239=Query_Interface!$B$5),OR(Query_Interface!$B$6="All",$F239=Query_Interface!$B$6),OR(Query_Interface!$B$7="All",$H239=Query_Interface!$B$7),OR(Query_Interface!$B$8="All",$N239=Query_Interface!$B$8),OR(Query_Interface!$B$9="All",$L239=Query_Interface!$B$9),OR(Query_Interface!$B$10="All",$R239=Query_Interface!$B$10),OR(Query_Interface!$B$11="All",$T239=Query_Interface!$B$11),OR(Query_Interface!$B$12="All",$Q239=Query_Interface!$B$12)),1,0)</f>
        <v>1</v>
      </c>
      <c r="Z239" s="2" t="n">
        <f aca="false">IF($Y239=1,COUNTIF($Y$2:$Y239,1),"")</f>
        <v>238</v>
      </c>
    </row>
    <row r="240" customFormat="false" ht="46.25" hidden="false" customHeight="false" outlineLevel="0" collapsed="false">
      <c r="A240" s="2" t="s">
        <v>525</v>
      </c>
      <c r="B240" s="2" t="n">
        <v>183</v>
      </c>
      <c r="C240" s="2" t="s">
        <v>686</v>
      </c>
      <c r="D240" s="2" t="s">
        <v>34</v>
      </c>
      <c r="E240" s="2" t="s">
        <v>873</v>
      </c>
      <c r="F240" s="2" t="s">
        <v>35</v>
      </c>
      <c r="G240" s="2" t="s">
        <v>912</v>
      </c>
      <c r="H240" s="2" t="s">
        <v>56</v>
      </c>
      <c r="I240" s="2" t="s">
        <v>913</v>
      </c>
      <c r="J240" s="2" t="s">
        <v>526</v>
      </c>
      <c r="K240" s="2" t="s">
        <v>961</v>
      </c>
      <c r="L240" s="2" t="s">
        <v>66</v>
      </c>
      <c r="M240" s="2" t="s">
        <v>800</v>
      </c>
      <c r="N240" s="2" t="s">
        <v>102</v>
      </c>
      <c r="O240" s="2" t="n">
        <v>1</v>
      </c>
      <c r="P240" s="2" t="n">
        <v>1</v>
      </c>
      <c r="Q240" s="2" t="s">
        <v>61</v>
      </c>
      <c r="R240" s="2" t="s">
        <v>53</v>
      </c>
      <c r="S240" s="2" t="s">
        <v>233</v>
      </c>
      <c r="T240" s="2" t="s">
        <v>67</v>
      </c>
      <c r="U240" s="2" t="s">
        <v>448</v>
      </c>
      <c r="V240" s="2" t="n">
        <v>4</v>
      </c>
      <c r="W240" s="2" t="s">
        <v>462</v>
      </c>
      <c r="X240" s="2" t="s">
        <v>915</v>
      </c>
      <c r="Y240" s="2" t="n">
        <f aca="false">IF(AND(OR(Query_Interface!$B$5="All",$D240=Query_Interface!$B$5),OR(Query_Interface!$B$6="All",$F240=Query_Interface!$B$6),OR(Query_Interface!$B$7="All",$H240=Query_Interface!$B$7),OR(Query_Interface!$B$8="All",$N240=Query_Interface!$B$8),OR(Query_Interface!$B$9="All",$L240=Query_Interface!$B$9),OR(Query_Interface!$B$10="All",$R240=Query_Interface!$B$10),OR(Query_Interface!$B$11="All",$T240=Query_Interface!$B$11),OR(Query_Interface!$B$12="All",$Q240=Query_Interface!$B$12)),1,0)</f>
        <v>1</v>
      </c>
      <c r="Z240" s="2" t="n">
        <f aca="false">IF($Y240=1,COUNTIF($Y$2:$Y240,1),"")</f>
        <v>239</v>
      </c>
    </row>
    <row r="241" customFormat="false" ht="46.25" hidden="false" customHeight="false" outlineLevel="0" collapsed="false">
      <c r="A241" s="2" t="s">
        <v>527</v>
      </c>
      <c r="B241" s="2" t="n">
        <v>184</v>
      </c>
      <c r="C241" s="2" t="s">
        <v>686</v>
      </c>
      <c r="D241" s="2" t="s">
        <v>34</v>
      </c>
      <c r="E241" s="2" t="s">
        <v>873</v>
      </c>
      <c r="F241" s="2" t="s">
        <v>35</v>
      </c>
      <c r="G241" s="2" t="s">
        <v>912</v>
      </c>
      <c r="H241" s="2" t="s">
        <v>56</v>
      </c>
      <c r="I241" s="2" t="s">
        <v>913</v>
      </c>
      <c r="J241" s="2" t="s">
        <v>528</v>
      </c>
      <c r="K241" s="2" t="s">
        <v>962</v>
      </c>
      <c r="L241" s="2" t="s">
        <v>75</v>
      </c>
      <c r="M241" s="2" t="s">
        <v>792</v>
      </c>
      <c r="N241" s="2" t="s">
        <v>95</v>
      </c>
      <c r="O241" s="2" t="n">
        <v>1</v>
      </c>
      <c r="P241" s="2" t="n">
        <v>1</v>
      </c>
      <c r="Q241" s="2" t="s">
        <v>61</v>
      </c>
      <c r="R241" s="2" t="s">
        <v>59</v>
      </c>
      <c r="S241" s="2" t="s">
        <v>211</v>
      </c>
      <c r="T241" s="2" t="s">
        <v>67</v>
      </c>
      <c r="U241" s="2" t="s">
        <v>461</v>
      </c>
      <c r="V241" s="2" t="n">
        <v>2</v>
      </c>
      <c r="W241" s="2" t="s">
        <v>462</v>
      </c>
      <c r="X241" s="2" t="s">
        <v>915</v>
      </c>
      <c r="Y241" s="2" t="n">
        <f aca="false">IF(AND(OR(Query_Interface!$B$5="All",$D241=Query_Interface!$B$5),OR(Query_Interface!$B$6="All",$F241=Query_Interface!$B$6),OR(Query_Interface!$B$7="All",$H241=Query_Interface!$B$7),OR(Query_Interface!$B$8="All",$N241=Query_Interface!$B$8),OR(Query_Interface!$B$9="All",$L241=Query_Interface!$B$9),OR(Query_Interface!$B$10="All",$R241=Query_Interface!$B$10),OR(Query_Interface!$B$11="All",$T241=Query_Interface!$B$11),OR(Query_Interface!$B$12="All",$Q241=Query_Interface!$B$12)),1,0)</f>
        <v>1</v>
      </c>
      <c r="Z241" s="2" t="n">
        <f aca="false">IF($Y241=1,COUNTIF($Y$2:$Y241,1),"")</f>
        <v>240</v>
      </c>
    </row>
    <row r="242" customFormat="false" ht="46.25" hidden="false" customHeight="false" outlineLevel="0" collapsed="false">
      <c r="A242" s="2" t="s">
        <v>529</v>
      </c>
      <c r="B242" s="2" t="n">
        <v>185</v>
      </c>
      <c r="C242" s="2" t="s">
        <v>686</v>
      </c>
      <c r="D242" s="2" t="s">
        <v>34</v>
      </c>
      <c r="E242" s="2" t="s">
        <v>873</v>
      </c>
      <c r="F242" s="2" t="s">
        <v>35</v>
      </c>
      <c r="G242" s="2" t="s">
        <v>912</v>
      </c>
      <c r="H242" s="2" t="s">
        <v>56</v>
      </c>
      <c r="I242" s="2" t="s">
        <v>913</v>
      </c>
      <c r="J242" s="2" t="s">
        <v>530</v>
      </c>
      <c r="K242" s="2" t="s">
        <v>963</v>
      </c>
      <c r="L242" s="2" t="s">
        <v>45</v>
      </c>
      <c r="M242" s="2" t="s">
        <v>795</v>
      </c>
      <c r="N242" s="2" t="s">
        <v>97</v>
      </c>
      <c r="O242" s="2" t="n">
        <v>1</v>
      </c>
      <c r="P242" s="2" t="n">
        <v>1</v>
      </c>
      <c r="Q242" s="2" t="s">
        <v>61</v>
      </c>
      <c r="R242" s="2" t="s">
        <v>59</v>
      </c>
      <c r="S242" s="2" t="s">
        <v>211</v>
      </c>
      <c r="T242" s="2" t="s">
        <v>67</v>
      </c>
      <c r="U242" s="2" t="s">
        <v>461</v>
      </c>
      <c r="V242" s="2" t="n">
        <v>2</v>
      </c>
      <c r="W242" s="2" t="s">
        <v>462</v>
      </c>
      <c r="X242" s="2" t="s">
        <v>915</v>
      </c>
      <c r="Y242" s="2" t="n">
        <f aca="false">IF(AND(OR(Query_Interface!$B$5="All",$D242=Query_Interface!$B$5),OR(Query_Interface!$B$6="All",$F242=Query_Interface!$B$6),OR(Query_Interface!$B$7="All",$H242=Query_Interface!$B$7),OR(Query_Interface!$B$8="All",$N242=Query_Interface!$B$8),OR(Query_Interface!$B$9="All",$L242=Query_Interface!$B$9),OR(Query_Interface!$B$10="All",$R242=Query_Interface!$B$10),OR(Query_Interface!$B$11="All",$T242=Query_Interface!$B$11),OR(Query_Interface!$B$12="All",$Q242=Query_Interface!$B$12)),1,0)</f>
        <v>1</v>
      </c>
      <c r="Z242" s="2" t="n">
        <f aca="false">IF($Y242=1,COUNTIF($Y$2:$Y242,1),"")</f>
        <v>241</v>
      </c>
    </row>
    <row r="243" customFormat="false" ht="46.25" hidden="false" customHeight="false" outlineLevel="0" collapsed="false">
      <c r="A243" s="2" t="s">
        <v>531</v>
      </c>
      <c r="B243" s="2" t="n">
        <v>186</v>
      </c>
      <c r="C243" s="2" t="s">
        <v>686</v>
      </c>
      <c r="D243" s="2" t="s">
        <v>34</v>
      </c>
      <c r="E243" s="2" t="s">
        <v>873</v>
      </c>
      <c r="F243" s="2" t="s">
        <v>35</v>
      </c>
      <c r="G243" s="2" t="s">
        <v>912</v>
      </c>
      <c r="H243" s="2" t="s">
        <v>56</v>
      </c>
      <c r="I243" s="2" t="s">
        <v>913</v>
      </c>
      <c r="J243" s="2" t="s">
        <v>532</v>
      </c>
      <c r="K243" s="2" t="s">
        <v>964</v>
      </c>
      <c r="L243" s="2" t="s">
        <v>45</v>
      </c>
      <c r="M243" s="2" t="s">
        <v>965</v>
      </c>
      <c r="N243" s="2" t="s">
        <v>65</v>
      </c>
      <c r="O243" s="2" t="n">
        <v>1</v>
      </c>
      <c r="P243" s="2" t="n">
        <v>1</v>
      </c>
      <c r="Q243" s="2" t="s">
        <v>61</v>
      </c>
      <c r="R243" s="2" t="s">
        <v>59</v>
      </c>
      <c r="S243" s="2" t="s">
        <v>211</v>
      </c>
      <c r="T243" s="2" t="s">
        <v>67</v>
      </c>
      <c r="U243" s="2" t="s">
        <v>448</v>
      </c>
      <c r="V243" s="2" t="n">
        <v>3</v>
      </c>
      <c r="W243" s="2" t="s">
        <v>462</v>
      </c>
      <c r="X243" s="2" t="s">
        <v>915</v>
      </c>
      <c r="Y243" s="2" t="n">
        <f aca="false">IF(AND(OR(Query_Interface!$B$5="All",$D243=Query_Interface!$B$5),OR(Query_Interface!$B$6="All",$F243=Query_Interface!$B$6),OR(Query_Interface!$B$7="All",$H243=Query_Interface!$B$7),OR(Query_Interface!$B$8="All",$N243=Query_Interface!$B$8),OR(Query_Interface!$B$9="All",$L243=Query_Interface!$B$9),OR(Query_Interface!$B$10="All",$R243=Query_Interface!$B$10),OR(Query_Interface!$B$11="All",$T243=Query_Interface!$B$11),OR(Query_Interface!$B$12="All",$Q243=Query_Interface!$B$12)),1,0)</f>
        <v>1</v>
      </c>
      <c r="Z243" s="2" t="n">
        <f aca="false">IF($Y243=1,COUNTIF($Y$2:$Y243,1),"")</f>
        <v>242</v>
      </c>
    </row>
    <row r="244" customFormat="false" ht="46.25" hidden="false" customHeight="false" outlineLevel="0" collapsed="false">
      <c r="A244" s="2" t="s">
        <v>533</v>
      </c>
      <c r="B244" s="2" t="n">
        <v>187</v>
      </c>
      <c r="C244" s="2" t="s">
        <v>686</v>
      </c>
      <c r="D244" s="2" t="s">
        <v>34</v>
      </c>
      <c r="E244" s="2" t="s">
        <v>873</v>
      </c>
      <c r="F244" s="2" t="s">
        <v>35</v>
      </c>
      <c r="G244" s="2" t="s">
        <v>912</v>
      </c>
      <c r="H244" s="2" t="s">
        <v>56</v>
      </c>
      <c r="I244" s="2" t="s">
        <v>913</v>
      </c>
      <c r="J244" s="2" t="s">
        <v>534</v>
      </c>
      <c r="K244" s="2" t="s">
        <v>966</v>
      </c>
      <c r="L244" s="2" t="s">
        <v>69</v>
      </c>
      <c r="M244" s="2" t="s">
        <v>967</v>
      </c>
      <c r="N244" s="2" t="s">
        <v>117</v>
      </c>
      <c r="O244" s="2" t="n">
        <v>1</v>
      </c>
      <c r="P244" s="2" t="n">
        <v>1</v>
      </c>
      <c r="Q244" s="2" t="s">
        <v>61</v>
      </c>
      <c r="R244" s="2" t="s">
        <v>39</v>
      </c>
      <c r="S244" s="2" t="s">
        <v>215</v>
      </c>
      <c r="T244" s="2" t="s">
        <v>67</v>
      </c>
      <c r="U244" s="2" t="s">
        <v>461</v>
      </c>
      <c r="V244" s="2" t="n">
        <v>4</v>
      </c>
      <c r="W244" s="2" t="s">
        <v>462</v>
      </c>
      <c r="X244" s="2" t="s">
        <v>915</v>
      </c>
      <c r="Y244" s="2" t="n">
        <f aca="false">IF(AND(OR(Query_Interface!$B$5="All",$D244=Query_Interface!$B$5),OR(Query_Interface!$B$6="All",$F244=Query_Interface!$B$6),OR(Query_Interface!$B$7="All",$H244=Query_Interface!$B$7),OR(Query_Interface!$B$8="All",$N244=Query_Interface!$B$8),OR(Query_Interface!$B$9="All",$L244=Query_Interface!$B$9),OR(Query_Interface!$B$10="All",$R244=Query_Interface!$B$10),OR(Query_Interface!$B$11="All",$T244=Query_Interface!$B$11),OR(Query_Interface!$B$12="All",$Q244=Query_Interface!$B$12)),1,0)</f>
        <v>1</v>
      </c>
      <c r="Z244" s="2" t="n">
        <f aca="false">IF($Y244=1,COUNTIF($Y$2:$Y244,1),"")</f>
        <v>243</v>
      </c>
    </row>
    <row r="245" customFormat="false" ht="46.25" hidden="false" customHeight="false" outlineLevel="0" collapsed="false">
      <c r="A245" s="2" t="s">
        <v>535</v>
      </c>
      <c r="B245" s="2" t="n">
        <v>188</v>
      </c>
      <c r="C245" s="2" t="s">
        <v>686</v>
      </c>
      <c r="D245" s="2" t="s">
        <v>34</v>
      </c>
      <c r="E245" s="2" t="s">
        <v>873</v>
      </c>
      <c r="F245" s="2" t="s">
        <v>35</v>
      </c>
      <c r="G245" s="2" t="s">
        <v>912</v>
      </c>
      <c r="H245" s="2" t="s">
        <v>56</v>
      </c>
      <c r="I245" s="2" t="s">
        <v>913</v>
      </c>
      <c r="J245" s="2" t="s">
        <v>536</v>
      </c>
      <c r="K245" s="2" t="s">
        <v>968</v>
      </c>
      <c r="L245" s="2" t="s">
        <v>69</v>
      </c>
      <c r="M245" s="2" t="s">
        <v>772</v>
      </c>
      <c r="N245" s="2" t="s">
        <v>118</v>
      </c>
      <c r="O245" s="2" t="n">
        <v>1</v>
      </c>
      <c r="P245" s="2" t="n">
        <v>1</v>
      </c>
      <c r="Q245" s="2" t="s">
        <v>61</v>
      </c>
      <c r="R245" s="2" t="s">
        <v>39</v>
      </c>
      <c r="S245" s="2" t="s">
        <v>215</v>
      </c>
      <c r="T245" s="2" t="s">
        <v>67</v>
      </c>
      <c r="U245" s="2" t="s">
        <v>461</v>
      </c>
      <c r="V245" s="2" t="n">
        <v>4</v>
      </c>
      <c r="W245" s="2" t="s">
        <v>462</v>
      </c>
      <c r="X245" s="2" t="s">
        <v>915</v>
      </c>
      <c r="Y245" s="2" t="n">
        <f aca="false">IF(AND(OR(Query_Interface!$B$5="All",$D245=Query_Interface!$B$5),OR(Query_Interface!$B$6="All",$F245=Query_Interface!$B$6),OR(Query_Interface!$B$7="All",$H245=Query_Interface!$B$7),OR(Query_Interface!$B$8="All",$N245=Query_Interface!$B$8),OR(Query_Interface!$B$9="All",$L245=Query_Interface!$B$9),OR(Query_Interface!$B$10="All",$R245=Query_Interface!$B$10),OR(Query_Interface!$B$11="All",$T245=Query_Interface!$B$11),OR(Query_Interface!$B$12="All",$Q245=Query_Interface!$B$12)),1,0)</f>
        <v>1</v>
      </c>
      <c r="Z245" s="2" t="n">
        <f aca="false">IF($Y245=1,COUNTIF($Y$2:$Y245,1),"")</f>
        <v>244</v>
      </c>
    </row>
    <row r="246" customFormat="false" ht="46.25" hidden="false" customHeight="false" outlineLevel="0" collapsed="false">
      <c r="A246" s="2" t="s">
        <v>537</v>
      </c>
      <c r="B246" s="2" t="n">
        <v>189</v>
      </c>
      <c r="C246" s="2" t="s">
        <v>686</v>
      </c>
      <c r="D246" s="2" t="s">
        <v>34</v>
      </c>
      <c r="E246" s="2" t="s">
        <v>873</v>
      </c>
      <c r="F246" s="2" t="s">
        <v>35</v>
      </c>
      <c r="G246" s="2" t="s">
        <v>912</v>
      </c>
      <c r="H246" s="2" t="s">
        <v>56</v>
      </c>
      <c r="I246" s="2" t="s">
        <v>913</v>
      </c>
      <c r="J246" s="2" t="s">
        <v>538</v>
      </c>
      <c r="K246" s="2" t="s">
        <v>969</v>
      </c>
      <c r="L246" s="2" t="s">
        <v>69</v>
      </c>
      <c r="M246" s="2" t="s">
        <v>970</v>
      </c>
      <c r="N246" s="2" t="s">
        <v>116</v>
      </c>
      <c r="O246" s="2" t="n">
        <v>1</v>
      </c>
      <c r="P246" s="2" t="n">
        <v>1</v>
      </c>
      <c r="Q246" s="2" t="s">
        <v>61</v>
      </c>
      <c r="R246" s="2" t="s">
        <v>46</v>
      </c>
      <c r="S246" s="2" t="s">
        <v>230</v>
      </c>
      <c r="T246" s="2" t="s">
        <v>64</v>
      </c>
      <c r="U246" s="2" t="s">
        <v>448</v>
      </c>
      <c r="V246" s="2" t="n">
        <v>3</v>
      </c>
      <c r="W246" s="2" t="s">
        <v>462</v>
      </c>
      <c r="X246" s="2" t="s">
        <v>915</v>
      </c>
      <c r="Y246" s="2" t="n">
        <f aca="false">IF(AND(OR(Query_Interface!$B$5="All",$D246=Query_Interface!$B$5),OR(Query_Interface!$B$6="All",$F246=Query_Interface!$B$6),OR(Query_Interface!$B$7="All",$H246=Query_Interface!$B$7),OR(Query_Interface!$B$8="All",$N246=Query_Interface!$B$8),OR(Query_Interface!$B$9="All",$L246=Query_Interface!$B$9),OR(Query_Interface!$B$10="All",$R246=Query_Interface!$B$10),OR(Query_Interface!$B$11="All",$T246=Query_Interface!$B$11),OR(Query_Interface!$B$12="All",$Q246=Query_Interface!$B$12)),1,0)</f>
        <v>1</v>
      </c>
      <c r="Z246" s="2" t="n">
        <f aca="false">IF($Y246=1,COUNTIF($Y$2:$Y246,1),"")</f>
        <v>245</v>
      </c>
    </row>
    <row r="247" customFormat="false" ht="46.25" hidden="false" customHeight="false" outlineLevel="0" collapsed="false">
      <c r="A247" s="2" t="s">
        <v>539</v>
      </c>
      <c r="B247" s="2" t="n">
        <v>190</v>
      </c>
      <c r="C247" s="2" t="s">
        <v>686</v>
      </c>
      <c r="D247" s="2" t="s">
        <v>34</v>
      </c>
      <c r="E247" s="2" t="s">
        <v>873</v>
      </c>
      <c r="F247" s="2" t="s">
        <v>35</v>
      </c>
      <c r="G247" s="2" t="s">
        <v>912</v>
      </c>
      <c r="H247" s="2" t="s">
        <v>56</v>
      </c>
      <c r="I247" s="2" t="s">
        <v>913</v>
      </c>
      <c r="J247" s="2" t="s">
        <v>285</v>
      </c>
      <c r="K247" s="2" t="s">
        <v>971</v>
      </c>
      <c r="L247" s="2" t="s">
        <v>69</v>
      </c>
      <c r="M247" s="2" t="s">
        <v>754</v>
      </c>
      <c r="N247" s="2" t="s">
        <v>124</v>
      </c>
      <c r="O247" s="2" t="n">
        <v>1</v>
      </c>
      <c r="P247" s="2" t="n">
        <v>1</v>
      </c>
      <c r="Q247" s="2" t="s">
        <v>61</v>
      </c>
      <c r="R247" s="2" t="s">
        <v>59</v>
      </c>
      <c r="S247" s="2" t="s">
        <v>211</v>
      </c>
      <c r="T247" s="2" t="s">
        <v>67</v>
      </c>
      <c r="U247" s="2" t="s">
        <v>461</v>
      </c>
      <c r="V247" s="2" t="n">
        <v>3</v>
      </c>
      <c r="W247" s="2" t="s">
        <v>462</v>
      </c>
      <c r="X247" s="2" t="s">
        <v>915</v>
      </c>
      <c r="Y247" s="2" t="n">
        <f aca="false">IF(AND(OR(Query_Interface!$B$5="All",$D247=Query_Interface!$B$5),OR(Query_Interface!$B$6="All",$F247=Query_Interface!$B$6),OR(Query_Interface!$B$7="All",$H247=Query_Interface!$B$7),OR(Query_Interface!$B$8="All",$N247=Query_Interface!$B$8),OR(Query_Interface!$B$9="All",$L247=Query_Interface!$B$9),OR(Query_Interface!$B$10="All",$R247=Query_Interface!$B$10),OR(Query_Interface!$B$11="All",$T247=Query_Interface!$B$11),OR(Query_Interface!$B$12="All",$Q247=Query_Interface!$B$12)),1,0)</f>
        <v>1</v>
      </c>
      <c r="Z247" s="2" t="n">
        <f aca="false">IF($Y247=1,COUNTIF($Y$2:$Y247,1),"")</f>
        <v>246</v>
      </c>
    </row>
    <row r="248" customFormat="false" ht="46.25" hidden="false" customHeight="false" outlineLevel="0" collapsed="false">
      <c r="A248" s="2" t="s">
        <v>540</v>
      </c>
      <c r="B248" s="2" t="n">
        <v>191</v>
      </c>
      <c r="C248" s="2" t="s">
        <v>686</v>
      </c>
      <c r="D248" s="2" t="s">
        <v>34</v>
      </c>
      <c r="E248" s="2" t="s">
        <v>873</v>
      </c>
      <c r="F248" s="2" t="s">
        <v>35</v>
      </c>
      <c r="G248" s="2" t="s">
        <v>912</v>
      </c>
      <c r="H248" s="2" t="s">
        <v>56</v>
      </c>
      <c r="I248" s="2" t="s">
        <v>913</v>
      </c>
      <c r="J248" s="2" t="s">
        <v>287</v>
      </c>
      <c r="K248" s="2" t="s">
        <v>972</v>
      </c>
      <c r="L248" s="2" t="s">
        <v>69</v>
      </c>
      <c r="M248" s="2" t="s">
        <v>764</v>
      </c>
      <c r="N248" s="2" t="s">
        <v>115</v>
      </c>
      <c r="O248" s="2" t="n">
        <v>1</v>
      </c>
      <c r="P248" s="2" t="n">
        <v>1</v>
      </c>
      <c r="Q248" s="2" t="s">
        <v>61</v>
      </c>
      <c r="R248" s="2" t="s">
        <v>59</v>
      </c>
      <c r="S248" s="2" t="s">
        <v>211</v>
      </c>
      <c r="T248" s="2" t="s">
        <v>67</v>
      </c>
      <c r="U248" s="2" t="s">
        <v>461</v>
      </c>
      <c r="V248" s="2" t="n">
        <v>3</v>
      </c>
      <c r="W248" s="2" t="s">
        <v>462</v>
      </c>
      <c r="X248" s="2" t="s">
        <v>915</v>
      </c>
      <c r="Y248" s="2" t="n">
        <f aca="false">IF(AND(OR(Query_Interface!$B$5="All",$D248=Query_Interface!$B$5),OR(Query_Interface!$B$6="All",$F248=Query_Interface!$B$6),OR(Query_Interface!$B$7="All",$H248=Query_Interface!$B$7),OR(Query_Interface!$B$8="All",$N248=Query_Interface!$B$8),OR(Query_Interface!$B$9="All",$L248=Query_Interface!$B$9),OR(Query_Interface!$B$10="All",$R248=Query_Interface!$B$10),OR(Query_Interface!$B$11="All",$T248=Query_Interface!$B$11),OR(Query_Interface!$B$12="All",$Q248=Query_Interface!$B$12)),1,0)</f>
        <v>1</v>
      </c>
      <c r="Z248" s="2" t="n">
        <f aca="false">IF($Y248=1,COUNTIF($Y$2:$Y248,1),"")</f>
        <v>247</v>
      </c>
    </row>
    <row r="249" customFormat="false" ht="46.25" hidden="false" customHeight="false" outlineLevel="0" collapsed="false">
      <c r="A249" s="2" t="s">
        <v>541</v>
      </c>
      <c r="B249" s="2" t="n">
        <v>192</v>
      </c>
      <c r="C249" s="2" t="s">
        <v>686</v>
      </c>
      <c r="D249" s="2" t="s">
        <v>34</v>
      </c>
      <c r="E249" s="2" t="s">
        <v>873</v>
      </c>
      <c r="F249" s="2" t="s">
        <v>35</v>
      </c>
      <c r="G249" s="2" t="s">
        <v>912</v>
      </c>
      <c r="H249" s="2" t="s">
        <v>56</v>
      </c>
      <c r="I249" s="2" t="s">
        <v>913</v>
      </c>
      <c r="J249" s="2" t="s">
        <v>542</v>
      </c>
      <c r="K249" s="2" t="s">
        <v>973</v>
      </c>
      <c r="L249" s="2" t="s">
        <v>66</v>
      </c>
      <c r="M249" s="2" t="s">
        <v>852</v>
      </c>
      <c r="N249" s="2" t="s">
        <v>114</v>
      </c>
      <c r="O249" s="2" t="n">
        <v>1</v>
      </c>
      <c r="P249" s="2" t="n">
        <v>1</v>
      </c>
      <c r="Q249" s="2" t="s">
        <v>61</v>
      </c>
      <c r="R249" s="2" t="s">
        <v>59</v>
      </c>
      <c r="S249" s="2" t="s">
        <v>211</v>
      </c>
      <c r="T249" s="2" t="s">
        <v>67</v>
      </c>
      <c r="U249" s="2" t="s">
        <v>461</v>
      </c>
      <c r="V249" s="2" t="n">
        <v>4</v>
      </c>
      <c r="W249" s="2" t="s">
        <v>462</v>
      </c>
      <c r="X249" s="2" t="s">
        <v>915</v>
      </c>
      <c r="Y249" s="2" t="n">
        <f aca="false">IF(AND(OR(Query_Interface!$B$5="All",$D249=Query_Interface!$B$5),OR(Query_Interface!$B$6="All",$F249=Query_Interface!$B$6),OR(Query_Interface!$B$7="All",$H249=Query_Interface!$B$7),OR(Query_Interface!$B$8="All",$N249=Query_Interface!$B$8),OR(Query_Interface!$B$9="All",$L249=Query_Interface!$B$9),OR(Query_Interface!$B$10="All",$R249=Query_Interface!$B$10),OR(Query_Interface!$B$11="All",$T249=Query_Interface!$B$11),OR(Query_Interface!$B$12="All",$Q249=Query_Interface!$B$12)),1,0)</f>
        <v>1</v>
      </c>
      <c r="Z249" s="2" t="n">
        <f aca="false">IF($Y249=1,COUNTIF($Y$2:$Y249,1),"")</f>
        <v>248</v>
      </c>
    </row>
    <row r="250" customFormat="false" ht="46.25" hidden="false" customHeight="false" outlineLevel="0" collapsed="false">
      <c r="A250" s="2" t="s">
        <v>543</v>
      </c>
      <c r="B250" s="2" t="n">
        <v>193</v>
      </c>
      <c r="C250" s="2" t="s">
        <v>686</v>
      </c>
      <c r="D250" s="2" t="s">
        <v>34</v>
      </c>
      <c r="E250" s="2" t="s">
        <v>873</v>
      </c>
      <c r="F250" s="2" t="s">
        <v>35</v>
      </c>
      <c r="G250" s="2" t="s">
        <v>912</v>
      </c>
      <c r="H250" s="2" t="s">
        <v>56</v>
      </c>
      <c r="I250" s="2" t="s">
        <v>913</v>
      </c>
      <c r="J250" s="2" t="s">
        <v>544</v>
      </c>
      <c r="K250" s="2" t="s">
        <v>974</v>
      </c>
      <c r="L250" s="2" t="s">
        <v>71</v>
      </c>
      <c r="M250" s="2" t="s">
        <v>762</v>
      </c>
      <c r="N250" s="2" t="s">
        <v>108</v>
      </c>
      <c r="O250" s="2" t="n">
        <v>1</v>
      </c>
      <c r="P250" s="2" t="n">
        <v>1</v>
      </c>
      <c r="Q250" s="2" t="s">
        <v>61</v>
      </c>
      <c r="R250" s="2" t="s">
        <v>59</v>
      </c>
      <c r="S250" s="2" t="s">
        <v>211</v>
      </c>
      <c r="T250" s="2" t="s">
        <v>67</v>
      </c>
      <c r="U250" s="2" t="s">
        <v>461</v>
      </c>
      <c r="V250" s="2" t="n">
        <v>3</v>
      </c>
      <c r="W250" s="2" t="s">
        <v>462</v>
      </c>
      <c r="X250" s="2" t="s">
        <v>915</v>
      </c>
      <c r="Y250" s="2" t="n">
        <f aca="false">IF(AND(OR(Query_Interface!$B$5="All",$D250=Query_Interface!$B$5),OR(Query_Interface!$B$6="All",$F250=Query_Interface!$B$6),OR(Query_Interface!$B$7="All",$H250=Query_Interface!$B$7),OR(Query_Interface!$B$8="All",$N250=Query_Interface!$B$8),OR(Query_Interface!$B$9="All",$L250=Query_Interface!$B$9),OR(Query_Interface!$B$10="All",$R250=Query_Interface!$B$10),OR(Query_Interface!$B$11="All",$T250=Query_Interface!$B$11),OR(Query_Interface!$B$12="All",$Q250=Query_Interface!$B$12)),1,0)</f>
        <v>1</v>
      </c>
      <c r="Z250" s="2" t="n">
        <f aca="false">IF($Y250=1,COUNTIF($Y$2:$Y250,1),"")</f>
        <v>249</v>
      </c>
    </row>
    <row r="251" customFormat="false" ht="46.25" hidden="false" customHeight="false" outlineLevel="0" collapsed="false">
      <c r="A251" s="2" t="s">
        <v>545</v>
      </c>
      <c r="B251" s="2" t="n">
        <v>194</v>
      </c>
      <c r="C251" s="2" t="s">
        <v>686</v>
      </c>
      <c r="D251" s="2" t="s">
        <v>34</v>
      </c>
      <c r="E251" s="2" t="s">
        <v>873</v>
      </c>
      <c r="F251" s="2" t="s">
        <v>35</v>
      </c>
      <c r="G251" s="2" t="s">
        <v>912</v>
      </c>
      <c r="H251" s="2" t="s">
        <v>56</v>
      </c>
      <c r="I251" s="2" t="s">
        <v>913</v>
      </c>
      <c r="J251" s="2" t="s">
        <v>289</v>
      </c>
      <c r="K251" s="2" t="s">
        <v>975</v>
      </c>
      <c r="L251" s="2" t="s">
        <v>66</v>
      </c>
      <c r="M251" s="2" t="s">
        <v>698</v>
      </c>
      <c r="N251" s="2" t="s">
        <v>104</v>
      </c>
      <c r="O251" s="2" t="n">
        <v>1</v>
      </c>
      <c r="P251" s="2" t="n">
        <v>2</v>
      </c>
      <c r="Q251" s="2" t="s">
        <v>41</v>
      </c>
      <c r="R251" s="2" t="s">
        <v>59</v>
      </c>
      <c r="S251" s="2" t="s">
        <v>211</v>
      </c>
      <c r="T251" s="2" t="s">
        <v>64</v>
      </c>
      <c r="U251" s="2" t="s">
        <v>461</v>
      </c>
      <c r="V251" s="2" t="n">
        <v>1</v>
      </c>
      <c r="W251" s="2" t="s">
        <v>462</v>
      </c>
      <c r="X251" s="2" t="s">
        <v>915</v>
      </c>
      <c r="Y251" s="2" t="n">
        <f aca="false">IF(AND(OR(Query_Interface!$B$5="All",$D251=Query_Interface!$B$5),OR(Query_Interface!$B$6="All",$F251=Query_Interface!$B$6),OR(Query_Interface!$B$7="All",$H251=Query_Interface!$B$7),OR(Query_Interface!$B$8="All",$N251=Query_Interface!$B$8),OR(Query_Interface!$B$9="All",$L251=Query_Interface!$B$9),OR(Query_Interface!$B$10="All",$R251=Query_Interface!$B$10),OR(Query_Interface!$B$11="All",$T251=Query_Interface!$B$11),OR(Query_Interface!$B$12="All",$Q251=Query_Interface!$B$12)),1,0)</f>
        <v>1</v>
      </c>
      <c r="Z251" s="2" t="n">
        <f aca="false">IF($Y251=1,COUNTIF($Y$2:$Y251,1),"")</f>
        <v>250</v>
      </c>
    </row>
    <row r="252" customFormat="false" ht="46.25" hidden="false" customHeight="false" outlineLevel="0" collapsed="false">
      <c r="A252" s="2" t="s">
        <v>545</v>
      </c>
      <c r="B252" s="2" t="n">
        <v>194</v>
      </c>
      <c r="C252" s="2" t="s">
        <v>686</v>
      </c>
      <c r="D252" s="2" t="s">
        <v>34</v>
      </c>
      <c r="E252" s="2" t="s">
        <v>873</v>
      </c>
      <c r="F252" s="2" t="s">
        <v>35</v>
      </c>
      <c r="G252" s="2" t="s">
        <v>912</v>
      </c>
      <c r="H252" s="2" t="s">
        <v>56</v>
      </c>
      <c r="I252" s="2" t="s">
        <v>913</v>
      </c>
      <c r="J252" s="2" t="s">
        <v>289</v>
      </c>
      <c r="K252" s="2" t="s">
        <v>975</v>
      </c>
      <c r="L252" s="2" t="s">
        <v>66</v>
      </c>
      <c r="M252" s="2" t="s">
        <v>724</v>
      </c>
      <c r="N252" s="2" t="s">
        <v>142</v>
      </c>
      <c r="O252" s="2" t="n">
        <v>2</v>
      </c>
      <c r="P252" s="2" t="n">
        <v>2</v>
      </c>
      <c r="Q252" s="2" t="s">
        <v>41</v>
      </c>
      <c r="R252" s="2" t="s">
        <v>59</v>
      </c>
      <c r="S252" s="2" t="s">
        <v>211</v>
      </c>
      <c r="T252" s="2" t="s">
        <v>64</v>
      </c>
      <c r="U252" s="2" t="s">
        <v>461</v>
      </c>
      <c r="V252" s="2" t="n">
        <v>1</v>
      </c>
      <c r="W252" s="2" t="s">
        <v>462</v>
      </c>
      <c r="X252" s="2" t="s">
        <v>915</v>
      </c>
      <c r="Y252" s="2" t="n">
        <f aca="false">IF(AND(OR(Query_Interface!$B$5="All",$D252=Query_Interface!$B$5),OR(Query_Interface!$B$6="All",$F252=Query_Interface!$B$6),OR(Query_Interface!$B$7="All",$H252=Query_Interface!$B$7),OR(Query_Interface!$B$8="All",$N252=Query_Interface!$B$8),OR(Query_Interface!$B$9="All",$L252=Query_Interface!$B$9),OR(Query_Interface!$B$10="All",$R252=Query_Interface!$B$10),OR(Query_Interface!$B$11="All",$T252=Query_Interface!$B$11),OR(Query_Interface!$B$12="All",$Q252=Query_Interface!$B$12)),1,0)</f>
        <v>1</v>
      </c>
      <c r="Z252" s="2" t="n">
        <f aca="false">IF($Y252=1,COUNTIF($Y$2:$Y252,1),"")</f>
        <v>251</v>
      </c>
    </row>
    <row r="253" customFormat="false" ht="46.25" hidden="false" customHeight="false" outlineLevel="0" collapsed="false">
      <c r="A253" s="2" t="s">
        <v>546</v>
      </c>
      <c r="B253" s="2" t="n">
        <v>195</v>
      </c>
      <c r="C253" s="2" t="s">
        <v>686</v>
      </c>
      <c r="D253" s="2" t="s">
        <v>34</v>
      </c>
      <c r="E253" s="2" t="s">
        <v>873</v>
      </c>
      <c r="F253" s="2" t="s">
        <v>35</v>
      </c>
      <c r="G253" s="2" t="s">
        <v>912</v>
      </c>
      <c r="H253" s="2" t="s">
        <v>56</v>
      </c>
      <c r="I253" s="2" t="s">
        <v>913</v>
      </c>
      <c r="J253" s="2" t="s">
        <v>291</v>
      </c>
      <c r="K253" s="2" t="s">
        <v>976</v>
      </c>
      <c r="L253" s="2" t="s">
        <v>52</v>
      </c>
      <c r="M253" s="2" t="s">
        <v>768</v>
      </c>
      <c r="N253" s="2" t="s">
        <v>90</v>
      </c>
      <c r="O253" s="2" t="n">
        <v>1</v>
      </c>
      <c r="P253" s="2" t="n">
        <v>1</v>
      </c>
      <c r="Q253" s="2" t="s">
        <v>61</v>
      </c>
      <c r="R253" s="2" t="s">
        <v>46</v>
      </c>
      <c r="S253" s="2" t="s">
        <v>230</v>
      </c>
      <c r="T253" s="2" t="s">
        <v>64</v>
      </c>
      <c r="U253" s="2" t="s">
        <v>461</v>
      </c>
      <c r="V253" s="2" t="n">
        <v>1</v>
      </c>
      <c r="W253" s="2" t="s">
        <v>462</v>
      </c>
      <c r="X253" s="2" t="s">
        <v>915</v>
      </c>
      <c r="Y253" s="2" t="n">
        <f aca="false">IF(AND(OR(Query_Interface!$B$5="All",$D253=Query_Interface!$B$5),OR(Query_Interface!$B$6="All",$F253=Query_Interface!$B$6),OR(Query_Interface!$B$7="All",$H253=Query_Interface!$B$7),OR(Query_Interface!$B$8="All",$N253=Query_Interface!$B$8),OR(Query_Interface!$B$9="All",$L253=Query_Interface!$B$9),OR(Query_Interface!$B$10="All",$R253=Query_Interface!$B$10),OR(Query_Interface!$B$11="All",$T253=Query_Interface!$B$11),OR(Query_Interface!$B$12="All",$Q253=Query_Interface!$B$12)),1,0)</f>
        <v>1</v>
      </c>
      <c r="Z253" s="2" t="n">
        <f aca="false">IF($Y253=1,COUNTIF($Y$2:$Y253,1),"")</f>
        <v>252</v>
      </c>
    </row>
    <row r="254" customFormat="false" ht="46.25" hidden="false" customHeight="false" outlineLevel="0" collapsed="false">
      <c r="A254" s="2" t="s">
        <v>547</v>
      </c>
      <c r="B254" s="2" t="n">
        <v>196</v>
      </c>
      <c r="C254" s="2" t="s">
        <v>686</v>
      </c>
      <c r="D254" s="2" t="s">
        <v>34</v>
      </c>
      <c r="E254" s="2" t="s">
        <v>873</v>
      </c>
      <c r="F254" s="2" t="s">
        <v>35</v>
      </c>
      <c r="G254" s="2" t="s">
        <v>912</v>
      </c>
      <c r="H254" s="2" t="s">
        <v>56</v>
      </c>
      <c r="I254" s="2" t="s">
        <v>913</v>
      </c>
      <c r="J254" s="2" t="s">
        <v>301</v>
      </c>
      <c r="K254" s="2" t="s">
        <v>977</v>
      </c>
      <c r="L254" s="2" t="s">
        <v>73</v>
      </c>
      <c r="M254" s="2" t="s">
        <v>744</v>
      </c>
      <c r="N254" s="2" t="s">
        <v>131</v>
      </c>
      <c r="O254" s="2" t="n">
        <v>1</v>
      </c>
      <c r="P254" s="2" t="n">
        <v>1</v>
      </c>
      <c r="Q254" s="2" t="s">
        <v>61</v>
      </c>
      <c r="R254" s="2" t="s">
        <v>39</v>
      </c>
      <c r="S254" s="2" t="s">
        <v>215</v>
      </c>
      <c r="T254" s="2" t="s">
        <v>64</v>
      </c>
      <c r="U254" s="2" t="s">
        <v>461</v>
      </c>
      <c r="V254" s="2" t="n">
        <v>1</v>
      </c>
      <c r="W254" s="2" t="s">
        <v>462</v>
      </c>
      <c r="X254" s="2" t="s">
        <v>915</v>
      </c>
      <c r="Y254" s="2" t="n">
        <f aca="false">IF(AND(OR(Query_Interface!$B$5="All",$D254=Query_Interface!$B$5),OR(Query_Interface!$B$6="All",$F254=Query_Interface!$B$6),OR(Query_Interface!$B$7="All",$H254=Query_Interface!$B$7),OR(Query_Interface!$B$8="All",$N254=Query_Interface!$B$8),OR(Query_Interface!$B$9="All",$L254=Query_Interface!$B$9),OR(Query_Interface!$B$10="All",$R254=Query_Interface!$B$10),OR(Query_Interface!$B$11="All",$T254=Query_Interface!$B$11),OR(Query_Interface!$B$12="All",$Q254=Query_Interface!$B$12)),1,0)</f>
        <v>1</v>
      </c>
      <c r="Z254" s="2" t="n">
        <f aca="false">IF($Y254=1,COUNTIF($Y$2:$Y254,1),"")</f>
        <v>253</v>
      </c>
    </row>
    <row r="255" customFormat="false" ht="46.25" hidden="false" customHeight="false" outlineLevel="0" collapsed="false">
      <c r="A255" s="2" t="s">
        <v>548</v>
      </c>
      <c r="B255" s="2" t="n">
        <v>197</v>
      </c>
      <c r="C255" s="2" t="s">
        <v>686</v>
      </c>
      <c r="D255" s="2" t="s">
        <v>34</v>
      </c>
      <c r="E255" s="2" t="s">
        <v>873</v>
      </c>
      <c r="F255" s="2" t="s">
        <v>35</v>
      </c>
      <c r="G255" s="2" t="s">
        <v>912</v>
      </c>
      <c r="H255" s="2" t="s">
        <v>56</v>
      </c>
      <c r="I255" s="2" t="s">
        <v>913</v>
      </c>
      <c r="J255" s="2" t="s">
        <v>549</v>
      </c>
      <c r="K255" s="2" t="s">
        <v>978</v>
      </c>
      <c r="L255" s="2" t="s">
        <v>45</v>
      </c>
      <c r="M255" s="2" t="s">
        <v>722</v>
      </c>
      <c r="N255" s="2" t="s">
        <v>72</v>
      </c>
      <c r="O255" s="2" t="n">
        <v>1</v>
      </c>
      <c r="P255" s="2" t="n">
        <v>1</v>
      </c>
      <c r="Q255" s="2" t="s">
        <v>61</v>
      </c>
      <c r="R255" s="2" t="s">
        <v>59</v>
      </c>
      <c r="S255" s="2" t="s">
        <v>211</v>
      </c>
      <c r="T255" s="2" t="s">
        <v>67</v>
      </c>
      <c r="U255" s="2" t="s">
        <v>461</v>
      </c>
      <c r="V255" s="2" t="n">
        <v>2</v>
      </c>
      <c r="W255" s="2" t="s">
        <v>462</v>
      </c>
      <c r="X255" s="2" t="s">
        <v>915</v>
      </c>
      <c r="Y255" s="2" t="n">
        <f aca="false">IF(AND(OR(Query_Interface!$B$5="All",$D255=Query_Interface!$B$5),OR(Query_Interface!$B$6="All",$F255=Query_Interface!$B$6),OR(Query_Interface!$B$7="All",$H255=Query_Interface!$B$7),OR(Query_Interface!$B$8="All",$N255=Query_Interface!$B$8),OR(Query_Interface!$B$9="All",$L255=Query_Interface!$B$9),OR(Query_Interface!$B$10="All",$R255=Query_Interface!$B$10),OR(Query_Interface!$B$11="All",$T255=Query_Interface!$B$11),OR(Query_Interface!$B$12="All",$Q255=Query_Interface!$B$12)),1,0)</f>
        <v>1</v>
      </c>
      <c r="Z255" s="2" t="n">
        <f aca="false">IF($Y255=1,COUNTIF($Y$2:$Y255,1),"")</f>
        <v>254</v>
      </c>
    </row>
    <row r="256" customFormat="false" ht="46.25" hidden="false" customHeight="false" outlineLevel="0" collapsed="false">
      <c r="A256" s="2" t="s">
        <v>550</v>
      </c>
      <c r="B256" s="2" t="n">
        <v>198</v>
      </c>
      <c r="C256" s="2" t="s">
        <v>686</v>
      </c>
      <c r="D256" s="2" t="s">
        <v>34</v>
      </c>
      <c r="E256" s="2" t="s">
        <v>873</v>
      </c>
      <c r="F256" s="2" t="s">
        <v>35</v>
      </c>
      <c r="G256" s="2" t="s">
        <v>912</v>
      </c>
      <c r="H256" s="2" t="s">
        <v>56</v>
      </c>
      <c r="I256" s="2" t="s">
        <v>913</v>
      </c>
      <c r="J256" s="2" t="s">
        <v>309</v>
      </c>
      <c r="K256" s="2" t="s">
        <v>979</v>
      </c>
      <c r="L256" s="2" t="s">
        <v>71</v>
      </c>
      <c r="M256" s="2" t="s">
        <v>786</v>
      </c>
      <c r="N256" s="2" t="s">
        <v>122</v>
      </c>
      <c r="O256" s="2" t="n">
        <v>1</v>
      </c>
      <c r="P256" s="2" t="n">
        <v>1</v>
      </c>
      <c r="Q256" s="2" t="s">
        <v>61</v>
      </c>
      <c r="R256" s="2" t="s">
        <v>59</v>
      </c>
      <c r="S256" s="2" t="s">
        <v>211</v>
      </c>
      <c r="T256" s="2" t="s">
        <v>67</v>
      </c>
      <c r="U256" s="2" t="s">
        <v>461</v>
      </c>
      <c r="V256" s="2" t="n">
        <v>2</v>
      </c>
      <c r="W256" s="2" t="s">
        <v>462</v>
      </c>
      <c r="X256" s="2" t="s">
        <v>915</v>
      </c>
      <c r="Y256" s="2" t="n">
        <f aca="false">IF(AND(OR(Query_Interface!$B$5="All",$D256=Query_Interface!$B$5),OR(Query_Interface!$B$6="All",$F256=Query_Interface!$B$6),OR(Query_Interface!$B$7="All",$H256=Query_Interface!$B$7),OR(Query_Interface!$B$8="All",$N256=Query_Interface!$B$8),OR(Query_Interface!$B$9="All",$L256=Query_Interface!$B$9),OR(Query_Interface!$B$10="All",$R256=Query_Interface!$B$10),OR(Query_Interface!$B$11="All",$T256=Query_Interface!$B$11),OR(Query_Interface!$B$12="All",$Q256=Query_Interface!$B$12)),1,0)</f>
        <v>1</v>
      </c>
      <c r="Z256" s="2" t="n">
        <f aca="false">IF($Y256=1,COUNTIF($Y$2:$Y256,1),"")</f>
        <v>255</v>
      </c>
    </row>
    <row r="257" customFormat="false" ht="46.25" hidden="false" customHeight="false" outlineLevel="0" collapsed="false">
      <c r="A257" s="2" t="s">
        <v>551</v>
      </c>
      <c r="B257" s="2" t="n">
        <v>199</v>
      </c>
      <c r="C257" s="2" t="s">
        <v>686</v>
      </c>
      <c r="D257" s="2" t="s">
        <v>34</v>
      </c>
      <c r="E257" s="2" t="s">
        <v>873</v>
      </c>
      <c r="F257" s="2" t="s">
        <v>35</v>
      </c>
      <c r="G257" s="2" t="s">
        <v>912</v>
      </c>
      <c r="H257" s="2" t="s">
        <v>56</v>
      </c>
      <c r="I257" s="2" t="s">
        <v>913</v>
      </c>
      <c r="J257" s="2" t="s">
        <v>410</v>
      </c>
      <c r="K257" s="2" t="s">
        <v>980</v>
      </c>
      <c r="L257" s="2" t="s">
        <v>75</v>
      </c>
      <c r="M257" s="2" t="s">
        <v>766</v>
      </c>
      <c r="N257" s="2" t="s">
        <v>143</v>
      </c>
      <c r="O257" s="2" t="n">
        <v>1</v>
      </c>
      <c r="P257" s="2" t="n">
        <v>1</v>
      </c>
      <c r="Q257" s="2" t="s">
        <v>61</v>
      </c>
      <c r="R257" s="2" t="s">
        <v>53</v>
      </c>
      <c r="S257" s="2" t="s">
        <v>233</v>
      </c>
      <c r="T257" s="2" t="s">
        <v>64</v>
      </c>
      <c r="U257" s="2" t="s">
        <v>461</v>
      </c>
      <c r="V257" s="2" t="n">
        <v>1</v>
      </c>
      <c r="W257" s="2" t="s">
        <v>462</v>
      </c>
      <c r="X257" s="2" t="s">
        <v>915</v>
      </c>
      <c r="Y257" s="2" t="n">
        <f aca="false">IF(AND(OR(Query_Interface!$B$5="All",$D257=Query_Interface!$B$5),OR(Query_Interface!$B$6="All",$F257=Query_Interface!$B$6),OR(Query_Interface!$B$7="All",$H257=Query_Interface!$B$7),OR(Query_Interface!$B$8="All",$N257=Query_Interface!$B$8),OR(Query_Interface!$B$9="All",$L257=Query_Interface!$B$9),OR(Query_Interface!$B$10="All",$R257=Query_Interface!$B$10),OR(Query_Interface!$B$11="All",$T257=Query_Interface!$B$11),OR(Query_Interface!$B$12="All",$Q257=Query_Interface!$B$12)),1,0)</f>
        <v>1</v>
      </c>
      <c r="Z257" s="2" t="n">
        <f aca="false">IF($Y257=1,COUNTIF($Y$2:$Y257,1),"")</f>
        <v>256</v>
      </c>
    </row>
    <row r="258" customFormat="false" ht="46.25" hidden="false" customHeight="false" outlineLevel="0" collapsed="false">
      <c r="A258" s="2" t="s">
        <v>552</v>
      </c>
      <c r="B258" s="2" t="n">
        <v>200</v>
      </c>
      <c r="C258" s="2" t="s">
        <v>686</v>
      </c>
      <c r="D258" s="2" t="s">
        <v>34</v>
      </c>
      <c r="E258" s="2" t="s">
        <v>873</v>
      </c>
      <c r="F258" s="2" t="s">
        <v>35</v>
      </c>
      <c r="G258" s="2" t="s">
        <v>912</v>
      </c>
      <c r="H258" s="2" t="s">
        <v>56</v>
      </c>
      <c r="I258" s="2" t="s">
        <v>913</v>
      </c>
      <c r="J258" s="2" t="s">
        <v>433</v>
      </c>
      <c r="K258" s="2" t="s">
        <v>981</v>
      </c>
      <c r="L258" s="2" t="s">
        <v>73</v>
      </c>
      <c r="M258" s="2" t="s">
        <v>744</v>
      </c>
      <c r="N258" s="2" t="s">
        <v>131</v>
      </c>
      <c r="O258" s="2" t="n">
        <v>1</v>
      </c>
      <c r="P258" s="2" t="n">
        <v>1</v>
      </c>
      <c r="Q258" s="2" t="s">
        <v>61</v>
      </c>
      <c r="R258" s="2" t="s">
        <v>46</v>
      </c>
      <c r="S258" s="2" t="s">
        <v>230</v>
      </c>
      <c r="T258" s="2" t="s">
        <v>64</v>
      </c>
      <c r="U258" s="2" t="s">
        <v>461</v>
      </c>
      <c r="V258" s="2" t="n">
        <v>1</v>
      </c>
      <c r="W258" s="2" t="s">
        <v>462</v>
      </c>
      <c r="X258" s="2" t="s">
        <v>915</v>
      </c>
      <c r="Y258" s="2" t="n">
        <f aca="false">IF(AND(OR(Query_Interface!$B$5="All",$D258=Query_Interface!$B$5),OR(Query_Interface!$B$6="All",$F258=Query_Interface!$B$6),OR(Query_Interface!$B$7="All",$H258=Query_Interface!$B$7),OR(Query_Interface!$B$8="All",$N258=Query_Interface!$B$8),OR(Query_Interface!$B$9="All",$L258=Query_Interface!$B$9),OR(Query_Interface!$B$10="All",$R258=Query_Interface!$B$10),OR(Query_Interface!$B$11="All",$T258=Query_Interface!$B$11),OR(Query_Interface!$B$12="All",$Q258=Query_Interface!$B$12)),1,0)</f>
        <v>1</v>
      </c>
      <c r="Z258" s="2" t="n">
        <f aca="false">IF($Y258=1,COUNTIF($Y$2:$Y258,1),"")</f>
        <v>257</v>
      </c>
    </row>
    <row r="259" customFormat="false" ht="46.25" hidden="false" customHeight="false" outlineLevel="0" collapsed="false">
      <c r="A259" s="2" t="s">
        <v>553</v>
      </c>
      <c r="B259" s="2" t="n">
        <v>201</v>
      </c>
      <c r="C259" s="2" t="s">
        <v>686</v>
      </c>
      <c r="D259" s="2" t="s">
        <v>34</v>
      </c>
      <c r="E259" s="2" t="s">
        <v>873</v>
      </c>
      <c r="F259" s="2" t="s">
        <v>35</v>
      </c>
      <c r="G259" s="2" t="s">
        <v>912</v>
      </c>
      <c r="H259" s="2" t="s">
        <v>56</v>
      </c>
      <c r="I259" s="2" t="s">
        <v>913</v>
      </c>
      <c r="J259" s="2" t="s">
        <v>301</v>
      </c>
      <c r="K259" s="2" t="s">
        <v>977</v>
      </c>
      <c r="L259" s="2" t="s">
        <v>73</v>
      </c>
      <c r="M259" s="2" t="s">
        <v>744</v>
      </c>
      <c r="N259" s="2" t="s">
        <v>131</v>
      </c>
      <c r="O259" s="2" t="n">
        <v>1</v>
      </c>
      <c r="P259" s="2" t="n">
        <v>1</v>
      </c>
      <c r="Q259" s="2" t="s">
        <v>61</v>
      </c>
      <c r="R259" s="2" t="s">
        <v>39</v>
      </c>
      <c r="S259" s="2" t="s">
        <v>215</v>
      </c>
      <c r="T259" s="2" t="s">
        <v>64</v>
      </c>
      <c r="U259" s="2" t="s">
        <v>461</v>
      </c>
      <c r="V259" s="2" t="n">
        <v>1</v>
      </c>
      <c r="W259" s="2" t="s">
        <v>462</v>
      </c>
      <c r="X259" s="2" t="s">
        <v>915</v>
      </c>
      <c r="Y259" s="2" t="n">
        <f aca="false">IF(AND(OR(Query_Interface!$B$5="All",$D259=Query_Interface!$B$5),OR(Query_Interface!$B$6="All",$F259=Query_Interface!$B$6),OR(Query_Interface!$B$7="All",$H259=Query_Interface!$B$7),OR(Query_Interface!$B$8="All",$N259=Query_Interface!$B$8),OR(Query_Interface!$B$9="All",$L259=Query_Interface!$B$9),OR(Query_Interface!$B$10="All",$R259=Query_Interface!$B$10),OR(Query_Interface!$B$11="All",$T259=Query_Interface!$B$11),OR(Query_Interface!$B$12="All",$Q259=Query_Interface!$B$12)),1,0)</f>
        <v>1</v>
      </c>
      <c r="Z259" s="2" t="n">
        <f aca="false">IF($Y259=1,COUNTIF($Y$2:$Y259,1),"")</f>
        <v>258</v>
      </c>
    </row>
    <row r="260" customFormat="false" ht="46.25" hidden="false" customHeight="false" outlineLevel="0" collapsed="false">
      <c r="A260" s="2" t="s">
        <v>554</v>
      </c>
      <c r="B260" s="2" t="n">
        <v>202</v>
      </c>
      <c r="C260" s="2" t="s">
        <v>686</v>
      </c>
      <c r="D260" s="2" t="s">
        <v>34</v>
      </c>
      <c r="E260" s="2" t="s">
        <v>873</v>
      </c>
      <c r="F260" s="2" t="s">
        <v>35</v>
      </c>
      <c r="G260" s="2" t="s">
        <v>912</v>
      </c>
      <c r="H260" s="2" t="s">
        <v>56</v>
      </c>
      <c r="I260" s="2" t="s">
        <v>913</v>
      </c>
      <c r="J260" s="2" t="s">
        <v>555</v>
      </c>
      <c r="K260" s="2" t="s">
        <v>982</v>
      </c>
      <c r="L260" s="2" t="s">
        <v>73</v>
      </c>
      <c r="M260" s="2"/>
      <c r="N260" s="2" t="s">
        <v>448</v>
      </c>
      <c r="O260" s="2"/>
      <c r="P260" s="2" t="n">
        <v>0</v>
      </c>
      <c r="Q260" s="2" t="s">
        <v>48</v>
      </c>
      <c r="R260" s="2" t="s">
        <v>46</v>
      </c>
      <c r="S260" s="2" t="s">
        <v>230</v>
      </c>
      <c r="T260" s="2" t="s">
        <v>67</v>
      </c>
      <c r="U260" s="2" t="s">
        <v>448</v>
      </c>
      <c r="V260" s="2" t="n">
        <v>3</v>
      </c>
      <c r="W260" s="2" t="s">
        <v>462</v>
      </c>
      <c r="X260" s="2" t="s">
        <v>915</v>
      </c>
      <c r="Y260" s="2" t="n">
        <f aca="false">IF(AND(OR(Query_Interface!$B$5="All",$D260=Query_Interface!$B$5),OR(Query_Interface!$B$6="All",$F260=Query_Interface!$B$6),OR(Query_Interface!$B$7="All",$H260=Query_Interface!$B$7),OR(Query_Interface!$B$8="All",$N260=Query_Interface!$B$8),OR(Query_Interface!$B$9="All",$L260=Query_Interface!$B$9),OR(Query_Interface!$B$10="All",$R260=Query_Interface!$B$10),OR(Query_Interface!$B$11="All",$T260=Query_Interface!$B$11),OR(Query_Interface!$B$12="All",$Q260=Query_Interface!$B$12)),1,0)</f>
        <v>1</v>
      </c>
      <c r="Z260" s="2" t="n">
        <f aca="false">IF($Y260=1,COUNTIF($Y$2:$Y260,1),"")</f>
        <v>259</v>
      </c>
    </row>
    <row r="261" customFormat="false" ht="46.25" hidden="false" customHeight="false" outlineLevel="0" collapsed="false">
      <c r="A261" s="2" t="s">
        <v>556</v>
      </c>
      <c r="B261" s="2" t="n">
        <v>203</v>
      </c>
      <c r="C261" s="2" t="s">
        <v>686</v>
      </c>
      <c r="D261" s="2" t="s">
        <v>34</v>
      </c>
      <c r="E261" s="2" t="s">
        <v>873</v>
      </c>
      <c r="F261" s="2" t="s">
        <v>35</v>
      </c>
      <c r="G261" s="2" t="s">
        <v>912</v>
      </c>
      <c r="H261" s="2" t="s">
        <v>56</v>
      </c>
      <c r="I261" s="2" t="s">
        <v>913</v>
      </c>
      <c r="J261" s="2" t="s">
        <v>557</v>
      </c>
      <c r="K261" s="2" t="s">
        <v>983</v>
      </c>
      <c r="L261" s="2" t="s">
        <v>63</v>
      </c>
      <c r="M261" s="2"/>
      <c r="N261" s="2" t="s">
        <v>448</v>
      </c>
      <c r="O261" s="2"/>
      <c r="P261" s="2" t="n">
        <v>0</v>
      </c>
      <c r="Q261" s="2" t="s">
        <v>48</v>
      </c>
      <c r="R261" s="2" t="s">
        <v>46</v>
      </c>
      <c r="S261" s="2" t="s">
        <v>230</v>
      </c>
      <c r="T261" s="2" t="s">
        <v>67</v>
      </c>
      <c r="U261" s="2" t="s">
        <v>448</v>
      </c>
      <c r="V261" s="2" t="n">
        <v>3</v>
      </c>
      <c r="W261" s="2" t="s">
        <v>462</v>
      </c>
      <c r="X261" s="2" t="s">
        <v>915</v>
      </c>
      <c r="Y261" s="2" t="n">
        <f aca="false">IF(AND(OR(Query_Interface!$B$5="All",$D261=Query_Interface!$B$5),OR(Query_Interface!$B$6="All",$F261=Query_Interface!$B$6),OR(Query_Interface!$B$7="All",$H261=Query_Interface!$B$7),OR(Query_Interface!$B$8="All",$N261=Query_Interface!$B$8),OR(Query_Interface!$B$9="All",$L261=Query_Interface!$B$9),OR(Query_Interface!$B$10="All",$R261=Query_Interface!$B$10),OR(Query_Interface!$B$11="All",$T261=Query_Interface!$B$11),OR(Query_Interface!$B$12="All",$Q261=Query_Interface!$B$12)),1,0)</f>
        <v>1</v>
      </c>
      <c r="Z261" s="2" t="n">
        <f aca="false">IF($Y261=1,COUNTIF($Y$2:$Y261,1),"")</f>
        <v>260</v>
      </c>
    </row>
    <row r="262" customFormat="false" ht="46.25" hidden="false" customHeight="false" outlineLevel="0" collapsed="false">
      <c r="A262" s="2" t="s">
        <v>558</v>
      </c>
      <c r="B262" s="2" t="n">
        <v>204</v>
      </c>
      <c r="C262" s="2" t="s">
        <v>686</v>
      </c>
      <c r="D262" s="2" t="s">
        <v>34</v>
      </c>
      <c r="E262" s="2" t="s">
        <v>873</v>
      </c>
      <c r="F262" s="2" t="s">
        <v>35</v>
      </c>
      <c r="G262" s="2" t="s">
        <v>912</v>
      </c>
      <c r="H262" s="2" t="s">
        <v>56</v>
      </c>
      <c r="I262" s="2" t="s">
        <v>913</v>
      </c>
      <c r="J262" s="2" t="s">
        <v>559</v>
      </c>
      <c r="K262" s="2" t="s">
        <v>984</v>
      </c>
      <c r="L262" s="2" t="s">
        <v>63</v>
      </c>
      <c r="M262" s="2"/>
      <c r="N262" s="2" t="s">
        <v>448</v>
      </c>
      <c r="O262" s="2"/>
      <c r="P262" s="2" t="n">
        <v>0</v>
      </c>
      <c r="Q262" s="2" t="s">
        <v>48</v>
      </c>
      <c r="R262" s="2" t="s">
        <v>46</v>
      </c>
      <c r="S262" s="2" t="s">
        <v>230</v>
      </c>
      <c r="T262" s="2" t="s">
        <v>67</v>
      </c>
      <c r="U262" s="2" t="s">
        <v>448</v>
      </c>
      <c r="V262" s="2" t="n">
        <v>3</v>
      </c>
      <c r="W262" s="2" t="s">
        <v>462</v>
      </c>
      <c r="X262" s="2" t="s">
        <v>915</v>
      </c>
      <c r="Y262" s="2" t="n">
        <f aca="false">IF(AND(OR(Query_Interface!$B$5="All",$D262=Query_Interface!$B$5),OR(Query_Interface!$B$6="All",$F262=Query_Interface!$B$6),OR(Query_Interface!$B$7="All",$H262=Query_Interface!$B$7),OR(Query_Interface!$B$8="All",$N262=Query_Interface!$B$8),OR(Query_Interface!$B$9="All",$L262=Query_Interface!$B$9),OR(Query_Interface!$B$10="All",$R262=Query_Interface!$B$10),OR(Query_Interface!$B$11="All",$T262=Query_Interface!$B$11),OR(Query_Interface!$B$12="All",$Q262=Query_Interface!$B$12)),1,0)</f>
        <v>1</v>
      </c>
      <c r="Z262" s="2" t="n">
        <f aca="false">IF($Y262=1,COUNTIF($Y$2:$Y262,1),"")</f>
        <v>261</v>
      </c>
    </row>
    <row r="263" customFormat="false" ht="46.25" hidden="false" customHeight="false" outlineLevel="0" collapsed="false">
      <c r="A263" s="2" t="s">
        <v>560</v>
      </c>
      <c r="B263" s="2" t="n">
        <v>205</v>
      </c>
      <c r="C263" s="2" t="s">
        <v>686</v>
      </c>
      <c r="D263" s="2" t="s">
        <v>34</v>
      </c>
      <c r="E263" s="2" t="s">
        <v>873</v>
      </c>
      <c r="F263" s="2" t="s">
        <v>35</v>
      </c>
      <c r="G263" s="2" t="s">
        <v>912</v>
      </c>
      <c r="H263" s="2" t="s">
        <v>56</v>
      </c>
      <c r="I263" s="2" t="s">
        <v>913</v>
      </c>
      <c r="J263" s="2" t="s">
        <v>561</v>
      </c>
      <c r="K263" s="2" t="s">
        <v>985</v>
      </c>
      <c r="L263" s="2" t="s">
        <v>75</v>
      </c>
      <c r="M263" s="2"/>
      <c r="N263" s="2" t="s">
        <v>448</v>
      </c>
      <c r="O263" s="2"/>
      <c r="P263" s="2" t="n">
        <v>0</v>
      </c>
      <c r="Q263" s="2" t="s">
        <v>48</v>
      </c>
      <c r="R263" s="2" t="s">
        <v>46</v>
      </c>
      <c r="S263" s="2" t="s">
        <v>230</v>
      </c>
      <c r="T263" s="2" t="s">
        <v>67</v>
      </c>
      <c r="U263" s="2" t="s">
        <v>448</v>
      </c>
      <c r="V263" s="2" t="n">
        <v>3</v>
      </c>
      <c r="W263" s="2" t="s">
        <v>462</v>
      </c>
      <c r="X263" s="2" t="s">
        <v>915</v>
      </c>
      <c r="Y263" s="2" t="n">
        <f aca="false">IF(AND(OR(Query_Interface!$B$5="All",$D263=Query_Interface!$B$5),OR(Query_Interface!$B$6="All",$F263=Query_Interface!$B$6),OR(Query_Interface!$B$7="All",$H263=Query_Interface!$B$7),OR(Query_Interface!$B$8="All",$N263=Query_Interface!$B$8),OR(Query_Interface!$B$9="All",$L263=Query_Interface!$B$9),OR(Query_Interface!$B$10="All",$R263=Query_Interface!$B$10),OR(Query_Interface!$B$11="All",$T263=Query_Interface!$B$11),OR(Query_Interface!$B$12="All",$Q263=Query_Interface!$B$12)),1,0)</f>
        <v>1</v>
      </c>
      <c r="Z263" s="2" t="n">
        <f aca="false">IF($Y263=1,COUNTIF($Y$2:$Y263,1),"")</f>
        <v>262</v>
      </c>
    </row>
    <row r="264" customFormat="false" ht="46.25" hidden="false" customHeight="false" outlineLevel="0" collapsed="false">
      <c r="A264" s="2" t="s">
        <v>562</v>
      </c>
      <c r="B264" s="2" t="n">
        <v>206</v>
      </c>
      <c r="C264" s="2" t="s">
        <v>686</v>
      </c>
      <c r="D264" s="2" t="s">
        <v>34</v>
      </c>
      <c r="E264" s="2" t="s">
        <v>873</v>
      </c>
      <c r="F264" s="2" t="s">
        <v>35</v>
      </c>
      <c r="G264" s="2" t="s">
        <v>912</v>
      </c>
      <c r="H264" s="2" t="s">
        <v>56</v>
      </c>
      <c r="I264" s="2" t="s">
        <v>913</v>
      </c>
      <c r="J264" s="2" t="s">
        <v>563</v>
      </c>
      <c r="K264" s="2" t="s">
        <v>986</v>
      </c>
      <c r="L264" s="2" t="s">
        <v>75</v>
      </c>
      <c r="M264" s="2"/>
      <c r="N264" s="2" t="s">
        <v>448</v>
      </c>
      <c r="O264" s="2"/>
      <c r="P264" s="2" t="n">
        <v>0</v>
      </c>
      <c r="Q264" s="2" t="s">
        <v>48</v>
      </c>
      <c r="R264" s="2" t="s">
        <v>46</v>
      </c>
      <c r="S264" s="2" t="s">
        <v>230</v>
      </c>
      <c r="T264" s="2" t="s">
        <v>67</v>
      </c>
      <c r="U264" s="2" t="s">
        <v>448</v>
      </c>
      <c r="V264" s="2" t="n">
        <v>3</v>
      </c>
      <c r="W264" s="2" t="s">
        <v>462</v>
      </c>
      <c r="X264" s="2" t="s">
        <v>915</v>
      </c>
      <c r="Y264" s="2" t="n">
        <f aca="false">IF(AND(OR(Query_Interface!$B$5="All",$D264=Query_Interface!$B$5),OR(Query_Interface!$B$6="All",$F264=Query_Interface!$B$6),OR(Query_Interface!$B$7="All",$H264=Query_Interface!$B$7),OR(Query_Interface!$B$8="All",$N264=Query_Interface!$B$8),OR(Query_Interface!$B$9="All",$L264=Query_Interface!$B$9),OR(Query_Interface!$B$10="All",$R264=Query_Interface!$B$10),OR(Query_Interface!$B$11="All",$T264=Query_Interface!$B$11),OR(Query_Interface!$B$12="All",$Q264=Query_Interface!$B$12)),1,0)</f>
        <v>1</v>
      </c>
      <c r="Z264" s="2" t="n">
        <f aca="false">IF($Y264=1,COUNTIF($Y$2:$Y264,1),"")</f>
        <v>263</v>
      </c>
    </row>
    <row r="265" customFormat="false" ht="46.25" hidden="false" customHeight="false" outlineLevel="0" collapsed="false">
      <c r="A265" s="2" t="s">
        <v>564</v>
      </c>
      <c r="B265" s="2" t="n">
        <v>207</v>
      </c>
      <c r="C265" s="2" t="s">
        <v>686</v>
      </c>
      <c r="D265" s="2" t="s">
        <v>34</v>
      </c>
      <c r="E265" s="2" t="s">
        <v>873</v>
      </c>
      <c r="F265" s="2" t="s">
        <v>35</v>
      </c>
      <c r="G265" s="2" t="s">
        <v>912</v>
      </c>
      <c r="H265" s="2" t="s">
        <v>56</v>
      </c>
      <c r="I265" s="2" t="s">
        <v>913</v>
      </c>
      <c r="J265" s="2" t="s">
        <v>565</v>
      </c>
      <c r="K265" s="2" t="s">
        <v>987</v>
      </c>
      <c r="L265" s="2" t="s">
        <v>75</v>
      </c>
      <c r="M265" s="2"/>
      <c r="N265" s="2" t="s">
        <v>448</v>
      </c>
      <c r="O265" s="2"/>
      <c r="P265" s="2" t="n">
        <v>0</v>
      </c>
      <c r="Q265" s="2" t="s">
        <v>48</v>
      </c>
      <c r="R265" s="2" t="s">
        <v>46</v>
      </c>
      <c r="S265" s="2" t="s">
        <v>230</v>
      </c>
      <c r="T265" s="2" t="s">
        <v>67</v>
      </c>
      <c r="U265" s="2" t="s">
        <v>448</v>
      </c>
      <c r="V265" s="2" t="n">
        <v>3</v>
      </c>
      <c r="W265" s="2" t="s">
        <v>462</v>
      </c>
      <c r="X265" s="2" t="s">
        <v>915</v>
      </c>
      <c r="Y265" s="2" t="n">
        <f aca="false">IF(AND(OR(Query_Interface!$B$5="All",$D265=Query_Interface!$B$5),OR(Query_Interface!$B$6="All",$F265=Query_Interface!$B$6),OR(Query_Interface!$B$7="All",$H265=Query_Interface!$B$7),OR(Query_Interface!$B$8="All",$N265=Query_Interface!$B$8),OR(Query_Interface!$B$9="All",$L265=Query_Interface!$B$9),OR(Query_Interface!$B$10="All",$R265=Query_Interface!$B$10),OR(Query_Interface!$B$11="All",$T265=Query_Interface!$B$11),OR(Query_Interface!$B$12="All",$Q265=Query_Interface!$B$12)),1,0)</f>
        <v>1</v>
      </c>
      <c r="Z265" s="2" t="n">
        <f aca="false">IF($Y265=1,COUNTIF($Y$2:$Y265,1),"")</f>
        <v>264</v>
      </c>
    </row>
    <row r="266" customFormat="false" ht="46.25" hidden="false" customHeight="false" outlineLevel="0" collapsed="false">
      <c r="A266" s="2" t="s">
        <v>566</v>
      </c>
      <c r="B266" s="2" t="n">
        <v>208</v>
      </c>
      <c r="C266" s="2" t="s">
        <v>686</v>
      </c>
      <c r="D266" s="2" t="s">
        <v>34</v>
      </c>
      <c r="E266" s="2" t="s">
        <v>873</v>
      </c>
      <c r="F266" s="2" t="s">
        <v>35</v>
      </c>
      <c r="G266" s="2" t="s">
        <v>912</v>
      </c>
      <c r="H266" s="2" t="s">
        <v>56</v>
      </c>
      <c r="I266" s="2" t="s">
        <v>913</v>
      </c>
      <c r="J266" s="2" t="s">
        <v>271</v>
      </c>
      <c r="K266" s="2" t="s">
        <v>951</v>
      </c>
      <c r="L266" s="2" t="s">
        <v>58</v>
      </c>
      <c r="M266" s="2" t="s">
        <v>734</v>
      </c>
      <c r="N266" s="2" t="s">
        <v>87</v>
      </c>
      <c r="O266" s="2" t="n">
        <v>1</v>
      </c>
      <c r="P266" s="2" t="n">
        <v>3</v>
      </c>
      <c r="Q266" s="2" t="s">
        <v>41</v>
      </c>
      <c r="R266" s="2" t="s">
        <v>59</v>
      </c>
      <c r="S266" s="2" t="s">
        <v>211</v>
      </c>
      <c r="T266" s="2" t="s">
        <v>67</v>
      </c>
      <c r="U266" s="2" t="s">
        <v>448</v>
      </c>
      <c r="V266" s="2" t="n">
        <v>2</v>
      </c>
      <c r="W266" s="2" t="s">
        <v>462</v>
      </c>
      <c r="X266" s="2" t="s">
        <v>915</v>
      </c>
      <c r="Y266" s="2" t="n">
        <f aca="false">IF(AND(OR(Query_Interface!$B$5="All",$D266=Query_Interface!$B$5),OR(Query_Interface!$B$6="All",$F266=Query_Interface!$B$6),OR(Query_Interface!$B$7="All",$H266=Query_Interface!$B$7),OR(Query_Interface!$B$8="All",$N266=Query_Interface!$B$8),OR(Query_Interface!$B$9="All",$L266=Query_Interface!$B$9),OR(Query_Interface!$B$10="All",$R266=Query_Interface!$B$10),OR(Query_Interface!$B$11="All",$T266=Query_Interface!$B$11),OR(Query_Interface!$B$12="All",$Q266=Query_Interface!$B$12)),1,0)</f>
        <v>1</v>
      </c>
      <c r="Z266" s="2" t="n">
        <f aca="false">IF($Y266=1,COUNTIF($Y$2:$Y266,1),"")</f>
        <v>265</v>
      </c>
    </row>
    <row r="267" customFormat="false" ht="46.25" hidden="false" customHeight="false" outlineLevel="0" collapsed="false">
      <c r="A267" s="2" t="s">
        <v>566</v>
      </c>
      <c r="B267" s="2" t="n">
        <v>208</v>
      </c>
      <c r="C267" s="2" t="s">
        <v>686</v>
      </c>
      <c r="D267" s="2" t="s">
        <v>34</v>
      </c>
      <c r="E267" s="2" t="s">
        <v>873</v>
      </c>
      <c r="F267" s="2" t="s">
        <v>35</v>
      </c>
      <c r="G267" s="2" t="s">
        <v>912</v>
      </c>
      <c r="H267" s="2" t="s">
        <v>56</v>
      </c>
      <c r="I267" s="2" t="s">
        <v>913</v>
      </c>
      <c r="J267" s="2" t="s">
        <v>271</v>
      </c>
      <c r="K267" s="2" t="s">
        <v>951</v>
      </c>
      <c r="L267" s="2" t="s">
        <v>58</v>
      </c>
      <c r="M267" s="2" t="s">
        <v>726</v>
      </c>
      <c r="N267" s="2" t="s">
        <v>134</v>
      </c>
      <c r="O267" s="2" t="n">
        <v>2</v>
      </c>
      <c r="P267" s="2" t="n">
        <v>3</v>
      </c>
      <c r="Q267" s="2" t="s">
        <v>41</v>
      </c>
      <c r="R267" s="2" t="s">
        <v>59</v>
      </c>
      <c r="S267" s="2" t="s">
        <v>211</v>
      </c>
      <c r="T267" s="2" t="s">
        <v>67</v>
      </c>
      <c r="U267" s="2" t="s">
        <v>448</v>
      </c>
      <c r="V267" s="2" t="n">
        <v>2</v>
      </c>
      <c r="W267" s="2" t="s">
        <v>462</v>
      </c>
      <c r="X267" s="2" t="s">
        <v>915</v>
      </c>
      <c r="Y267" s="2" t="n">
        <f aca="false">IF(AND(OR(Query_Interface!$B$5="All",$D267=Query_Interface!$B$5),OR(Query_Interface!$B$6="All",$F267=Query_Interface!$B$6),OR(Query_Interface!$B$7="All",$H267=Query_Interface!$B$7),OR(Query_Interface!$B$8="All",$N267=Query_Interface!$B$8),OR(Query_Interface!$B$9="All",$L267=Query_Interface!$B$9),OR(Query_Interface!$B$10="All",$R267=Query_Interface!$B$10),OR(Query_Interface!$B$11="All",$T267=Query_Interface!$B$11),OR(Query_Interface!$B$12="All",$Q267=Query_Interface!$B$12)),1,0)</f>
        <v>1</v>
      </c>
      <c r="Z267" s="2" t="n">
        <f aca="false">IF($Y267=1,COUNTIF($Y$2:$Y267,1),"")</f>
        <v>266</v>
      </c>
    </row>
    <row r="268" customFormat="false" ht="46.25" hidden="false" customHeight="false" outlineLevel="0" collapsed="false">
      <c r="A268" s="2" t="s">
        <v>566</v>
      </c>
      <c r="B268" s="2" t="n">
        <v>208</v>
      </c>
      <c r="C268" s="2" t="s">
        <v>686</v>
      </c>
      <c r="D268" s="2" t="s">
        <v>34</v>
      </c>
      <c r="E268" s="2" t="s">
        <v>873</v>
      </c>
      <c r="F268" s="2" t="s">
        <v>35</v>
      </c>
      <c r="G268" s="2" t="s">
        <v>912</v>
      </c>
      <c r="H268" s="2" t="s">
        <v>56</v>
      </c>
      <c r="I268" s="2" t="s">
        <v>913</v>
      </c>
      <c r="J268" s="2" t="s">
        <v>271</v>
      </c>
      <c r="K268" s="2" t="s">
        <v>951</v>
      </c>
      <c r="L268" s="2" t="s">
        <v>58</v>
      </c>
      <c r="M268" s="2" t="s">
        <v>728</v>
      </c>
      <c r="N268" s="2" t="s">
        <v>136</v>
      </c>
      <c r="O268" s="2" t="n">
        <v>3</v>
      </c>
      <c r="P268" s="2" t="n">
        <v>3</v>
      </c>
      <c r="Q268" s="2" t="s">
        <v>41</v>
      </c>
      <c r="R268" s="2" t="s">
        <v>59</v>
      </c>
      <c r="S268" s="2" t="s">
        <v>211</v>
      </c>
      <c r="T268" s="2" t="s">
        <v>67</v>
      </c>
      <c r="U268" s="2" t="s">
        <v>448</v>
      </c>
      <c r="V268" s="2" t="n">
        <v>2</v>
      </c>
      <c r="W268" s="2" t="s">
        <v>462</v>
      </c>
      <c r="X268" s="2" t="s">
        <v>915</v>
      </c>
      <c r="Y268" s="2" t="n">
        <f aca="false">IF(AND(OR(Query_Interface!$B$5="All",$D268=Query_Interface!$B$5),OR(Query_Interface!$B$6="All",$F268=Query_Interface!$B$6),OR(Query_Interface!$B$7="All",$H268=Query_Interface!$B$7),OR(Query_Interface!$B$8="All",$N268=Query_Interface!$B$8),OR(Query_Interface!$B$9="All",$L268=Query_Interface!$B$9),OR(Query_Interface!$B$10="All",$R268=Query_Interface!$B$10),OR(Query_Interface!$B$11="All",$T268=Query_Interface!$B$11),OR(Query_Interface!$B$12="All",$Q268=Query_Interface!$B$12)),1,0)</f>
        <v>1</v>
      </c>
      <c r="Z268" s="2" t="n">
        <f aca="false">IF($Y268=1,COUNTIF($Y$2:$Y268,1),"")</f>
        <v>267</v>
      </c>
    </row>
    <row r="269" customFormat="false" ht="46.25" hidden="false" customHeight="false" outlineLevel="0" collapsed="false">
      <c r="A269" s="2" t="s">
        <v>567</v>
      </c>
      <c r="B269" s="2" t="n">
        <v>209</v>
      </c>
      <c r="C269" s="2" t="s">
        <v>686</v>
      </c>
      <c r="D269" s="2" t="s">
        <v>34</v>
      </c>
      <c r="E269" s="2" t="s">
        <v>873</v>
      </c>
      <c r="F269" s="2" t="s">
        <v>35</v>
      </c>
      <c r="G269" s="2" t="s">
        <v>912</v>
      </c>
      <c r="H269" s="2" t="s">
        <v>56</v>
      </c>
      <c r="I269" s="2" t="s">
        <v>913</v>
      </c>
      <c r="J269" s="2" t="s">
        <v>251</v>
      </c>
      <c r="K269" s="2" t="s">
        <v>940</v>
      </c>
      <c r="L269" s="2" t="s">
        <v>75</v>
      </c>
      <c r="M269" s="2" t="s">
        <v>726</v>
      </c>
      <c r="N269" s="2" t="s">
        <v>134</v>
      </c>
      <c r="O269" s="2" t="n">
        <v>1</v>
      </c>
      <c r="P269" s="2" t="n">
        <v>1</v>
      </c>
      <c r="Q269" s="2" t="s">
        <v>61</v>
      </c>
      <c r="R269" s="2" t="s">
        <v>59</v>
      </c>
      <c r="S269" s="2" t="s">
        <v>211</v>
      </c>
      <c r="T269" s="2" t="s">
        <v>67</v>
      </c>
      <c r="U269" s="2" t="s">
        <v>448</v>
      </c>
      <c r="V269" s="2" t="n">
        <v>4</v>
      </c>
      <c r="W269" s="2" t="s">
        <v>462</v>
      </c>
      <c r="X269" s="2" t="s">
        <v>915</v>
      </c>
      <c r="Y269" s="2" t="n">
        <f aca="false">IF(AND(OR(Query_Interface!$B$5="All",$D269=Query_Interface!$B$5),OR(Query_Interface!$B$6="All",$F269=Query_Interface!$B$6),OR(Query_Interface!$B$7="All",$H269=Query_Interface!$B$7),OR(Query_Interface!$B$8="All",$N269=Query_Interface!$B$8),OR(Query_Interface!$B$9="All",$L269=Query_Interface!$B$9),OR(Query_Interface!$B$10="All",$R269=Query_Interface!$B$10),OR(Query_Interface!$B$11="All",$T269=Query_Interface!$B$11),OR(Query_Interface!$B$12="All",$Q269=Query_Interface!$B$12)),1,0)</f>
        <v>1</v>
      </c>
      <c r="Z269" s="2" t="n">
        <f aca="false">IF($Y269=1,COUNTIF($Y$2:$Y269,1),"")</f>
        <v>268</v>
      </c>
    </row>
    <row r="270" customFormat="false" ht="46.25" hidden="false" customHeight="false" outlineLevel="0" collapsed="false">
      <c r="A270" s="2" t="s">
        <v>568</v>
      </c>
      <c r="B270" s="2" t="n">
        <v>210</v>
      </c>
      <c r="C270" s="2" t="s">
        <v>686</v>
      </c>
      <c r="D270" s="2" t="s">
        <v>34</v>
      </c>
      <c r="E270" s="2" t="s">
        <v>873</v>
      </c>
      <c r="F270" s="2" t="s">
        <v>35</v>
      </c>
      <c r="G270" s="2" t="s">
        <v>912</v>
      </c>
      <c r="H270" s="2" t="s">
        <v>56</v>
      </c>
      <c r="I270" s="2" t="s">
        <v>913</v>
      </c>
      <c r="J270" s="2" t="s">
        <v>413</v>
      </c>
      <c r="K270" s="2" t="s">
        <v>918</v>
      </c>
      <c r="L270" s="2" t="s">
        <v>52</v>
      </c>
      <c r="M270" s="2" t="s">
        <v>740</v>
      </c>
      <c r="N270" s="2" t="s">
        <v>82</v>
      </c>
      <c r="O270" s="2" t="n">
        <v>1</v>
      </c>
      <c r="P270" s="2" t="n">
        <v>3</v>
      </c>
      <c r="Q270" s="2" t="s">
        <v>41</v>
      </c>
      <c r="R270" s="2" t="s">
        <v>39</v>
      </c>
      <c r="S270" s="2" t="s">
        <v>215</v>
      </c>
      <c r="T270" s="2" t="s">
        <v>64</v>
      </c>
      <c r="U270" s="2" t="s">
        <v>461</v>
      </c>
      <c r="V270" s="2" t="n">
        <v>1</v>
      </c>
      <c r="W270" s="2" t="s">
        <v>462</v>
      </c>
      <c r="X270" s="2" t="s">
        <v>915</v>
      </c>
      <c r="Y270" s="2" t="n">
        <f aca="false">IF(AND(OR(Query_Interface!$B$5="All",$D270=Query_Interface!$B$5),OR(Query_Interface!$B$6="All",$F270=Query_Interface!$B$6),OR(Query_Interface!$B$7="All",$H270=Query_Interface!$B$7),OR(Query_Interface!$B$8="All",$N270=Query_Interface!$B$8),OR(Query_Interface!$B$9="All",$L270=Query_Interface!$B$9),OR(Query_Interface!$B$10="All",$R270=Query_Interface!$B$10),OR(Query_Interface!$B$11="All",$T270=Query_Interface!$B$11),OR(Query_Interface!$B$12="All",$Q270=Query_Interface!$B$12)),1,0)</f>
        <v>1</v>
      </c>
      <c r="Z270" s="2" t="n">
        <f aca="false">IF($Y270=1,COUNTIF($Y$2:$Y270,1),"")</f>
        <v>269</v>
      </c>
    </row>
    <row r="271" customFormat="false" ht="46.25" hidden="false" customHeight="false" outlineLevel="0" collapsed="false">
      <c r="A271" s="2" t="s">
        <v>568</v>
      </c>
      <c r="B271" s="2" t="n">
        <v>210</v>
      </c>
      <c r="C271" s="2" t="s">
        <v>686</v>
      </c>
      <c r="D271" s="2" t="s">
        <v>34</v>
      </c>
      <c r="E271" s="2" t="s">
        <v>873</v>
      </c>
      <c r="F271" s="2" t="s">
        <v>35</v>
      </c>
      <c r="G271" s="2" t="s">
        <v>912</v>
      </c>
      <c r="H271" s="2" t="s">
        <v>56</v>
      </c>
      <c r="I271" s="2" t="s">
        <v>913</v>
      </c>
      <c r="J271" s="2" t="s">
        <v>413</v>
      </c>
      <c r="K271" s="2" t="s">
        <v>918</v>
      </c>
      <c r="L271" s="2" t="s">
        <v>52</v>
      </c>
      <c r="M271" s="2" t="s">
        <v>744</v>
      </c>
      <c r="N271" s="2" t="s">
        <v>131</v>
      </c>
      <c r="O271" s="2" t="n">
        <v>2</v>
      </c>
      <c r="P271" s="2" t="n">
        <v>3</v>
      </c>
      <c r="Q271" s="2" t="s">
        <v>41</v>
      </c>
      <c r="R271" s="2" t="s">
        <v>39</v>
      </c>
      <c r="S271" s="2" t="s">
        <v>215</v>
      </c>
      <c r="T271" s="2" t="s">
        <v>64</v>
      </c>
      <c r="U271" s="2" t="s">
        <v>461</v>
      </c>
      <c r="V271" s="2" t="n">
        <v>1</v>
      </c>
      <c r="W271" s="2" t="s">
        <v>462</v>
      </c>
      <c r="X271" s="2" t="s">
        <v>915</v>
      </c>
      <c r="Y271" s="2" t="n">
        <f aca="false">IF(AND(OR(Query_Interface!$B$5="All",$D271=Query_Interface!$B$5),OR(Query_Interface!$B$6="All",$F271=Query_Interface!$B$6),OR(Query_Interface!$B$7="All",$H271=Query_Interface!$B$7),OR(Query_Interface!$B$8="All",$N271=Query_Interface!$B$8),OR(Query_Interface!$B$9="All",$L271=Query_Interface!$B$9),OR(Query_Interface!$B$10="All",$R271=Query_Interface!$B$10),OR(Query_Interface!$B$11="All",$T271=Query_Interface!$B$11),OR(Query_Interface!$B$12="All",$Q271=Query_Interface!$B$12)),1,0)</f>
        <v>1</v>
      </c>
      <c r="Z271" s="2" t="n">
        <f aca="false">IF($Y271=1,COUNTIF($Y$2:$Y271,1),"")</f>
        <v>270</v>
      </c>
    </row>
    <row r="272" customFormat="false" ht="46.25" hidden="false" customHeight="false" outlineLevel="0" collapsed="false">
      <c r="A272" s="2" t="s">
        <v>568</v>
      </c>
      <c r="B272" s="2" t="n">
        <v>210</v>
      </c>
      <c r="C272" s="2" t="s">
        <v>686</v>
      </c>
      <c r="D272" s="2" t="s">
        <v>34</v>
      </c>
      <c r="E272" s="2" t="s">
        <v>873</v>
      </c>
      <c r="F272" s="2" t="s">
        <v>35</v>
      </c>
      <c r="G272" s="2" t="s">
        <v>912</v>
      </c>
      <c r="H272" s="2" t="s">
        <v>56</v>
      </c>
      <c r="I272" s="2" t="s">
        <v>913</v>
      </c>
      <c r="J272" s="2" t="s">
        <v>413</v>
      </c>
      <c r="K272" s="2" t="s">
        <v>918</v>
      </c>
      <c r="L272" s="2" t="s">
        <v>52</v>
      </c>
      <c r="M272" s="2" t="s">
        <v>724</v>
      </c>
      <c r="N272" s="2" t="s">
        <v>142</v>
      </c>
      <c r="O272" s="2" t="n">
        <v>3</v>
      </c>
      <c r="P272" s="2" t="n">
        <v>3</v>
      </c>
      <c r="Q272" s="2" t="s">
        <v>41</v>
      </c>
      <c r="R272" s="2" t="s">
        <v>39</v>
      </c>
      <c r="S272" s="2" t="s">
        <v>215</v>
      </c>
      <c r="T272" s="2" t="s">
        <v>64</v>
      </c>
      <c r="U272" s="2" t="s">
        <v>461</v>
      </c>
      <c r="V272" s="2" t="n">
        <v>1</v>
      </c>
      <c r="W272" s="2" t="s">
        <v>462</v>
      </c>
      <c r="X272" s="2" t="s">
        <v>915</v>
      </c>
      <c r="Y272" s="2" t="n">
        <f aca="false">IF(AND(OR(Query_Interface!$B$5="All",$D272=Query_Interface!$B$5),OR(Query_Interface!$B$6="All",$F272=Query_Interface!$B$6),OR(Query_Interface!$B$7="All",$H272=Query_Interface!$B$7),OR(Query_Interface!$B$8="All",$N272=Query_Interface!$B$8),OR(Query_Interface!$B$9="All",$L272=Query_Interface!$B$9),OR(Query_Interface!$B$10="All",$R272=Query_Interface!$B$10),OR(Query_Interface!$B$11="All",$T272=Query_Interface!$B$11),OR(Query_Interface!$B$12="All",$Q272=Query_Interface!$B$12)),1,0)</f>
        <v>1</v>
      </c>
      <c r="Z272" s="2" t="n">
        <f aca="false">IF($Y272=1,COUNTIF($Y$2:$Y272,1),"")</f>
        <v>271</v>
      </c>
    </row>
    <row r="273" customFormat="false" ht="46.25" hidden="false" customHeight="false" outlineLevel="0" collapsed="false">
      <c r="A273" s="2" t="s">
        <v>569</v>
      </c>
      <c r="B273" s="2" t="n">
        <v>211</v>
      </c>
      <c r="C273" s="2" t="s">
        <v>686</v>
      </c>
      <c r="D273" s="2" t="s">
        <v>34</v>
      </c>
      <c r="E273" s="2" t="s">
        <v>873</v>
      </c>
      <c r="F273" s="2" t="s">
        <v>35</v>
      </c>
      <c r="G273" s="2" t="s">
        <v>912</v>
      </c>
      <c r="H273" s="2" t="s">
        <v>56</v>
      </c>
      <c r="I273" s="2" t="s">
        <v>913</v>
      </c>
      <c r="J273" s="2" t="s">
        <v>570</v>
      </c>
      <c r="K273" s="2" t="s">
        <v>988</v>
      </c>
      <c r="L273" s="2" t="s">
        <v>75</v>
      </c>
      <c r="M273" s="2" t="s">
        <v>742</v>
      </c>
      <c r="N273" s="2" t="s">
        <v>88</v>
      </c>
      <c r="O273" s="2" t="n">
        <v>1</v>
      </c>
      <c r="P273" s="2" t="n">
        <v>2</v>
      </c>
      <c r="Q273" s="2" t="s">
        <v>41</v>
      </c>
      <c r="R273" s="2" t="s">
        <v>39</v>
      </c>
      <c r="S273" s="2" t="s">
        <v>215</v>
      </c>
      <c r="T273" s="2" t="s">
        <v>64</v>
      </c>
      <c r="U273" s="2" t="s">
        <v>448</v>
      </c>
      <c r="V273" s="2" t="n">
        <v>2</v>
      </c>
      <c r="W273" s="2" t="s">
        <v>462</v>
      </c>
      <c r="X273" s="2" t="s">
        <v>915</v>
      </c>
      <c r="Y273" s="2" t="n">
        <f aca="false">IF(AND(OR(Query_Interface!$B$5="All",$D273=Query_Interface!$B$5),OR(Query_Interface!$B$6="All",$F273=Query_Interface!$B$6),OR(Query_Interface!$B$7="All",$H273=Query_Interface!$B$7),OR(Query_Interface!$B$8="All",$N273=Query_Interface!$B$8),OR(Query_Interface!$B$9="All",$L273=Query_Interface!$B$9),OR(Query_Interface!$B$10="All",$R273=Query_Interface!$B$10),OR(Query_Interface!$B$11="All",$T273=Query_Interface!$B$11),OR(Query_Interface!$B$12="All",$Q273=Query_Interface!$B$12)),1,0)</f>
        <v>1</v>
      </c>
      <c r="Z273" s="2" t="n">
        <f aca="false">IF($Y273=1,COUNTIF($Y$2:$Y273,1),"")</f>
        <v>272</v>
      </c>
    </row>
    <row r="274" customFormat="false" ht="46.25" hidden="false" customHeight="false" outlineLevel="0" collapsed="false">
      <c r="A274" s="2" t="s">
        <v>569</v>
      </c>
      <c r="B274" s="2" t="n">
        <v>211</v>
      </c>
      <c r="C274" s="2" t="s">
        <v>686</v>
      </c>
      <c r="D274" s="2" t="s">
        <v>34</v>
      </c>
      <c r="E274" s="2" t="s">
        <v>873</v>
      </c>
      <c r="F274" s="2" t="s">
        <v>35</v>
      </c>
      <c r="G274" s="2" t="s">
        <v>912</v>
      </c>
      <c r="H274" s="2" t="s">
        <v>56</v>
      </c>
      <c r="I274" s="2" t="s">
        <v>913</v>
      </c>
      <c r="J274" s="2" t="s">
        <v>570</v>
      </c>
      <c r="K274" s="2" t="s">
        <v>988</v>
      </c>
      <c r="L274" s="2" t="s">
        <v>75</v>
      </c>
      <c r="M274" s="2" t="s">
        <v>744</v>
      </c>
      <c r="N274" s="2" t="s">
        <v>131</v>
      </c>
      <c r="O274" s="2" t="n">
        <v>2</v>
      </c>
      <c r="P274" s="2" t="n">
        <v>2</v>
      </c>
      <c r="Q274" s="2" t="s">
        <v>41</v>
      </c>
      <c r="R274" s="2" t="s">
        <v>39</v>
      </c>
      <c r="S274" s="2" t="s">
        <v>215</v>
      </c>
      <c r="T274" s="2" t="s">
        <v>64</v>
      </c>
      <c r="U274" s="2" t="s">
        <v>448</v>
      </c>
      <c r="V274" s="2" t="n">
        <v>2</v>
      </c>
      <c r="W274" s="2" t="s">
        <v>462</v>
      </c>
      <c r="X274" s="2" t="s">
        <v>915</v>
      </c>
      <c r="Y274" s="2" t="n">
        <f aca="false">IF(AND(OR(Query_Interface!$B$5="All",$D274=Query_Interface!$B$5),OR(Query_Interface!$B$6="All",$F274=Query_Interface!$B$6),OR(Query_Interface!$B$7="All",$H274=Query_Interface!$B$7),OR(Query_Interface!$B$8="All",$N274=Query_Interface!$B$8),OR(Query_Interface!$B$9="All",$L274=Query_Interface!$B$9),OR(Query_Interface!$B$10="All",$R274=Query_Interface!$B$10),OR(Query_Interface!$B$11="All",$T274=Query_Interface!$B$11),OR(Query_Interface!$B$12="All",$Q274=Query_Interface!$B$12)),1,0)</f>
        <v>1</v>
      </c>
      <c r="Z274" s="2" t="n">
        <f aca="false">IF($Y274=1,COUNTIF($Y$2:$Y274,1),"")</f>
        <v>273</v>
      </c>
    </row>
    <row r="275" customFormat="false" ht="46.25" hidden="false" customHeight="false" outlineLevel="0" collapsed="false">
      <c r="A275" s="2" t="s">
        <v>571</v>
      </c>
      <c r="B275" s="2" t="n">
        <v>212</v>
      </c>
      <c r="C275" s="2" t="s">
        <v>686</v>
      </c>
      <c r="D275" s="2" t="s">
        <v>34</v>
      </c>
      <c r="E275" s="2" t="s">
        <v>873</v>
      </c>
      <c r="F275" s="2" t="s">
        <v>35</v>
      </c>
      <c r="G275" s="2" t="s">
        <v>912</v>
      </c>
      <c r="H275" s="2" t="s">
        <v>56</v>
      </c>
      <c r="I275" s="2" t="s">
        <v>913</v>
      </c>
      <c r="J275" s="2" t="s">
        <v>267</v>
      </c>
      <c r="K275" s="2" t="s">
        <v>949</v>
      </c>
      <c r="L275" s="2" t="s">
        <v>75</v>
      </c>
      <c r="M275" s="2" t="s">
        <v>742</v>
      </c>
      <c r="N275" s="2" t="s">
        <v>88</v>
      </c>
      <c r="O275" s="2" t="n">
        <v>1</v>
      </c>
      <c r="P275" s="2" t="n">
        <v>1</v>
      </c>
      <c r="Q275" s="2" t="s">
        <v>61</v>
      </c>
      <c r="R275" s="2" t="s">
        <v>39</v>
      </c>
      <c r="S275" s="2" t="s">
        <v>215</v>
      </c>
      <c r="T275" s="2" t="s">
        <v>64</v>
      </c>
      <c r="U275" s="2" t="s">
        <v>448</v>
      </c>
      <c r="V275" s="2" t="n">
        <v>2</v>
      </c>
      <c r="W275" s="2" t="s">
        <v>462</v>
      </c>
      <c r="X275" s="2" t="s">
        <v>915</v>
      </c>
      <c r="Y275" s="2" t="n">
        <f aca="false">IF(AND(OR(Query_Interface!$B$5="All",$D275=Query_Interface!$B$5),OR(Query_Interface!$B$6="All",$F275=Query_Interface!$B$6),OR(Query_Interface!$B$7="All",$H275=Query_Interface!$B$7),OR(Query_Interface!$B$8="All",$N275=Query_Interface!$B$8),OR(Query_Interface!$B$9="All",$L275=Query_Interface!$B$9),OR(Query_Interface!$B$10="All",$R275=Query_Interface!$B$10),OR(Query_Interface!$B$11="All",$T275=Query_Interface!$B$11),OR(Query_Interface!$B$12="All",$Q275=Query_Interface!$B$12)),1,0)</f>
        <v>1</v>
      </c>
      <c r="Z275" s="2" t="n">
        <f aca="false">IF($Y275=1,COUNTIF($Y$2:$Y275,1),"")</f>
        <v>274</v>
      </c>
    </row>
    <row r="276" customFormat="false" ht="46.25" hidden="false" customHeight="false" outlineLevel="0" collapsed="false">
      <c r="A276" s="2" t="s">
        <v>572</v>
      </c>
      <c r="B276" s="2" t="n">
        <v>213</v>
      </c>
      <c r="C276" s="2" t="s">
        <v>686</v>
      </c>
      <c r="D276" s="2" t="s">
        <v>34</v>
      </c>
      <c r="E276" s="2" t="s">
        <v>873</v>
      </c>
      <c r="F276" s="2" t="s">
        <v>35</v>
      </c>
      <c r="G276" s="2" t="s">
        <v>912</v>
      </c>
      <c r="H276" s="2" t="s">
        <v>56</v>
      </c>
      <c r="I276" s="2" t="s">
        <v>913</v>
      </c>
      <c r="J276" s="2" t="s">
        <v>410</v>
      </c>
      <c r="K276" s="2" t="s">
        <v>980</v>
      </c>
      <c r="L276" s="2" t="s">
        <v>75</v>
      </c>
      <c r="M276" s="2" t="s">
        <v>766</v>
      </c>
      <c r="N276" s="2" t="s">
        <v>143</v>
      </c>
      <c r="O276" s="2" t="n">
        <v>1</v>
      </c>
      <c r="P276" s="2" t="n">
        <v>1</v>
      </c>
      <c r="Q276" s="2" t="s">
        <v>61</v>
      </c>
      <c r="R276" s="2" t="s">
        <v>53</v>
      </c>
      <c r="S276" s="2" t="s">
        <v>233</v>
      </c>
      <c r="T276" s="2" t="s">
        <v>64</v>
      </c>
      <c r="U276" s="2" t="s">
        <v>461</v>
      </c>
      <c r="V276" s="2" t="n">
        <v>1</v>
      </c>
      <c r="W276" s="2" t="s">
        <v>462</v>
      </c>
      <c r="X276" s="2" t="s">
        <v>915</v>
      </c>
      <c r="Y276" s="2" t="n">
        <f aca="false">IF(AND(OR(Query_Interface!$B$5="All",$D276=Query_Interface!$B$5),OR(Query_Interface!$B$6="All",$F276=Query_Interface!$B$6),OR(Query_Interface!$B$7="All",$H276=Query_Interface!$B$7),OR(Query_Interface!$B$8="All",$N276=Query_Interface!$B$8),OR(Query_Interface!$B$9="All",$L276=Query_Interface!$B$9),OR(Query_Interface!$B$10="All",$R276=Query_Interface!$B$10),OR(Query_Interface!$B$11="All",$T276=Query_Interface!$B$11),OR(Query_Interface!$B$12="All",$Q276=Query_Interface!$B$12)),1,0)</f>
        <v>1</v>
      </c>
      <c r="Z276" s="2" t="n">
        <f aca="false">IF($Y276=1,COUNTIF($Y$2:$Y276,1),"")</f>
        <v>275</v>
      </c>
    </row>
    <row r="277" customFormat="false" ht="46.25" hidden="false" customHeight="false" outlineLevel="0" collapsed="false">
      <c r="A277" s="2" t="s">
        <v>573</v>
      </c>
      <c r="B277" s="2" t="n">
        <v>214</v>
      </c>
      <c r="C277" s="2" t="s">
        <v>686</v>
      </c>
      <c r="D277" s="2" t="s">
        <v>34</v>
      </c>
      <c r="E277" s="2" t="s">
        <v>873</v>
      </c>
      <c r="F277" s="2" t="s">
        <v>35</v>
      </c>
      <c r="G277" s="2" t="s">
        <v>912</v>
      </c>
      <c r="H277" s="2" t="s">
        <v>56</v>
      </c>
      <c r="I277" s="2" t="s">
        <v>913</v>
      </c>
      <c r="J277" s="2" t="s">
        <v>574</v>
      </c>
      <c r="K277" s="2" t="s">
        <v>989</v>
      </c>
      <c r="L277" s="2" t="s">
        <v>75</v>
      </c>
      <c r="M277" s="2" t="s">
        <v>724</v>
      </c>
      <c r="N277" s="2" t="s">
        <v>142</v>
      </c>
      <c r="O277" s="2" t="n">
        <v>1</v>
      </c>
      <c r="P277" s="2" t="n">
        <v>1</v>
      </c>
      <c r="Q277" s="2" t="s">
        <v>61</v>
      </c>
      <c r="R277" s="2" t="s">
        <v>39</v>
      </c>
      <c r="S277" s="2" t="s">
        <v>215</v>
      </c>
      <c r="T277" s="2" t="s">
        <v>64</v>
      </c>
      <c r="U277" s="2" t="s">
        <v>461</v>
      </c>
      <c r="V277" s="2" t="n">
        <v>1</v>
      </c>
      <c r="W277" s="2" t="s">
        <v>462</v>
      </c>
      <c r="X277" s="2" t="s">
        <v>915</v>
      </c>
      <c r="Y277" s="2" t="n">
        <f aca="false">IF(AND(OR(Query_Interface!$B$5="All",$D277=Query_Interface!$B$5),OR(Query_Interface!$B$6="All",$F277=Query_Interface!$B$6),OR(Query_Interface!$B$7="All",$H277=Query_Interface!$B$7),OR(Query_Interface!$B$8="All",$N277=Query_Interface!$B$8),OR(Query_Interface!$B$9="All",$L277=Query_Interface!$B$9),OR(Query_Interface!$B$10="All",$R277=Query_Interface!$B$10),OR(Query_Interface!$B$11="All",$T277=Query_Interface!$B$11),OR(Query_Interface!$B$12="All",$Q277=Query_Interface!$B$12)),1,0)</f>
        <v>1</v>
      </c>
      <c r="Z277" s="2" t="n">
        <f aca="false">IF($Y277=1,COUNTIF($Y$2:$Y277,1),"")</f>
        <v>276</v>
      </c>
    </row>
    <row r="278" customFormat="false" ht="46.25" hidden="false" customHeight="false" outlineLevel="0" collapsed="false">
      <c r="A278" s="2" t="s">
        <v>575</v>
      </c>
      <c r="B278" s="2" t="n">
        <v>215</v>
      </c>
      <c r="C278" s="2" t="s">
        <v>686</v>
      </c>
      <c r="D278" s="2" t="s">
        <v>34</v>
      </c>
      <c r="E278" s="2" t="s">
        <v>873</v>
      </c>
      <c r="F278" s="2" t="s">
        <v>35</v>
      </c>
      <c r="G278" s="2" t="s">
        <v>912</v>
      </c>
      <c r="H278" s="2" t="s">
        <v>56</v>
      </c>
      <c r="I278" s="2" t="s">
        <v>913</v>
      </c>
      <c r="J278" s="2" t="s">
        <v>249</v>
      </c>
      <c r="K278" s="2" t="s">
        <v>990</v>
      </c>
      <c r="L278" s="2" t="s">
        <v>75</v>
      </c>
      <c r="M278" s="2" t="s">
        <v>724</v>
      </c>
      <c r="N278" s="2" t="s">
        <v>142</v>
      </c>
      <c r="O278" s="2" t="n">
        <v>1</v>
      </c>
      <c r="P278" s="2" t="n">
        <v>1</v>
      </c>
      <c r="Q278" s="2" t="s">
        <v>61</v>
      </c>
      <c r="R278" s="2" t="s">
        <v>39</v>
      </c>
      <c r="S278" s="2" t="s">
        <v>215</v>
      </c>
      <c r="T278" s="2" t="s">
        <v>64</v>
      </c>
      <c r="U278" s="2" t="s">
        <v>461</v>
      </c>
      <c r="V278" s="2" t="n">
        <v>1</v>
      </c>
      <c r="W278" s="2" t="s">
        <v>462</v>
      </c>
      <c r="X278" s="2" t="s">
        <v>915</v>
      </c>
      <c r="Y278" s="2" t="n">
        <f aca="false">IF(AND(OR(Query_Interface!$B$5="All",$D278=Query_Interface!$B$5),OR(Query_Interface!$B$6="All",$F278=Query_Interface!$B$6),OR(Query_Interface!$B$7="All",$H278=Query_Interface!$B$7),OR(Query_Interface!$B$8="All",$N278=Query_Interface!$B$8),OR(Query_Interface!$B$9="All",$L278=Query_Interface!$B$9),OR(Query_Interface!$B$10="All",$R278=Query_Interface!$B$10),OR(Query_Interface!$B$11="All",$T278=Query_Interface!$B$11),OR(Query_Interface!$B$12="All",$Q278=Query_Interface!$B$12)),1,0)</f>
        <v>1</v>
      </c>
      <c r="Z278" s="2" t="n">
        <f aca="false">IF($Y278=1,COUNTIF($Y$2:$Y278,1),"")</f>
        <v>277</v>
      </c>
    </row>
    <row r="279" customFormat="false" ht="46.25" hidden="false" customHeight="false" outlineLevel="0" collapsed="false">
      <c r="A279" s="2" t="s">
        <v>576</v>
      </c>
      <c r="B279" s="2" t="n">
        <v>216</v>
      </c>
      <c r="C279" s="2" t="s">
        <v>686</v>
      </c>
      <c r="D279" s="2" t="s">
        <v>34</v>
      </c>
      <c r="E279" s="2" t="s">
        <v>873</v>
      </c>
      <c r="F279" s="2" t="s">
        <v>35</v>
      </c>
      <c r="G279" s="2" t="s">
        <v>912</v>
      </c>
      <c r="H279" s="2" t="s">
        <v>56</v>
      </c>
      <c r="I279" s="2" t="s">
        <v>913</v>
      </c>
      <c r="J279" s="2" t="s">
        <v>577</v>
      </c>
      <c r="K279" s="2" t="s">
        <v>991</v>
      </c>
      <c r="L279" s="2" t="s">
        <v>75</v>
      </c>
      <c r="M279" s="2" t="s">
        <v>992</v>
      </c>
      <c r="N279" s="2" t="s">
        <v>99</v>
      </c>
      <c r="O279" s="2" t="n">
        <v>1</v>
      </c>
      <c r="P279" s="2" t="n">
        <v>2</v>
      </c>
      <c r="Q279" s="2" t="s">
        <v>41</v>
      </c>
      <c r="R279" s="2" t="s">
        <v>59</v>
      </c>
      <c r="S279" s="2" t="s">
        <v>211</v>
      </c>
      <c r="T279" s="2" t="s">
        <v>67</v>
      </c>
      <c r="U279" s="2" t="s">
        <v>461</v>
      </c>
      <c r="V279" s="2" t="n">
        <v>4</v>
      </c>
      <c r="W279" s="2" t="s">
        <v>462</v>
      </c>
      <c r="X279" s="2" t="s">
        <v>915</v>
      </c>
      <c r="Y279" s="2" t="n">
        <f aca="false">IF(AND(OR(Query_Interface!$B$5="All",$D279=Query_Interface!$B$5),OR(Query_Interface!$B$6="All",$F279=Query_Interface!$B$6),OR(Query_Interface!$B$7="All",$H279=Query_Interface!$B$7),OR(Query_Interface!$B$8="All",$N279=Query_Interface!$B$8),OR(Query_Interface!$B$9="All",$L279=Query_Interface!$B$9),OR(Query_Interface!$B$10="All",$R279=Query_Interface!$B$10),OR(Query_Interface!$B$11="All",$T279=Query_Interface!$B$11),OR(Query_Interface!$B$12="All",$Q279=Query_Interface!$B$12)),1,0)</f>
        <v>1</v>
      </c>
      <c r="Z279" s="2" t="n">
        <f aca="false">IF($Y279=1,COUNTIF($Y$2:$Y279,1),"")</f>
        <v>278</v>
      </c>
    </row>
    <row r="280" customFormat="false" ht="46.25" hidden="false" customHeight="false" outlineLevel="0" collapsed="false">
      <c r="A280" s="2" t="s">
        <v>576</v>
      </c>
      <c r="B280" s="2" t="n">
        <v>216</v>
      </c>
      <c r="C280" s="2" t="s">
        <v>686</v>
      </c>
      <c r="D280" s="2" t="s">
        <v>34</v>
      </c>
      <c r="E280" s="2" t="s">
        <v>873</v>
      </c>
      <c r="F280" s="2" t="s">
        <v>35</v>
      </c>
      <c r="G280" s="2" t="s">
        <v>912</v>
      </c>
      <c r="H280" s="2" t="s">
        <v>56</v>
      </c>
      <c r="I280" s="2" t="s">
        <v>913</v>
      </c>
      <c r="J280" s="2" t="s">
        <v>577</v>
      </c>
      <c r="K280" s="2" t="s">
        <v>991</v>
      </c>
      <c r="L280" s="2" t="s">
        <v>75</v>
      </c>
      <c r="M280" s="2" t="s">
        <v>730</v>
      </c>
      <c r="N280" s="2" t="s">
        <v>138</v>
      </c>
      <c r="O280" s="2" t="n">
        <v>2</v>
      </c>
      <c r="P280" s="2" t="n">
        <v>2</v>
      </c>
      <c r="Q280" s="2" t="s">
        <v>41</v>
      </c>
      <c r="R280" s="2" t="s">
        <v>59</v>
      </c>
      <c r="S280" s="2" t="s">
        <v>211</v>
      </c>
      <c r="T280" s="2" t="s">
        <v>67</v>
      </c>
      <c r="U280" s="2" t="s">
        <v>461</v>
      </c>
      <c r="V280" s="2" t="n">
        <v>4</v>
      </c>
      <c r="W280" s="2" t="s">
        <v>462</v>
      </c>
      <c r="X280" s="2" t="s">
        <v>915</v>
      </c>
      <c r="Y280" s="2" t="n">
        <f aca="false">IF(AND(OR(Query_Interface!$B$5="All",$D280=Query_Interface!$B$5),OR(Query_Interface!$B$6="All",$F280=Query_Interface!$B$6),OR(Query_Interface!$B$7="All",$H280=Query_Interface!$B$7),OR(Query_Interface!$B$8="All",$N280=Query_Interface!$B$8),OR(Query_Interface!$B$9="All",$L280=Query_Interface!$B$9),OR(Query_Interface!$B$10="All",$R280=Query_Interface!$B$10),OR(Query_Interface!$B$11="All",$T280=Query_Interface!$B$11),OR(Query_Interface!$B$12="All",$Q280=Query_Interface!$B$12)),1,0)</f>
        <v>1</v>
      </c>
      <c r="Z280" s="2" t="n">
        <f aca="false">IF($Y280=1,COUNTIF($Y$2:$Y280,1),"")</f>
        <v>279</v>
      </c>
    </row>
    <row r="281" customFormat="false" ht="46.25" hidden="false" customHeight="false" outlineLevel="0" collapsed="false">
      <c r="A281" s="2" t="s">
        <v>578</v>
      </c>
      <c r="B281" s="2" t="n">
        <v>217</v>
      </c>
      <c r="C281" s="2" t="s">
        <v>686</v>
      </c>
      <c r="D281" s="2" t="s">
        <v>34</v>
      </c>
      <c r="E281" s="2" t="s">
        <v>873</v>
      </c>
      <c r="F281" s="2" t="s">
        <v>35</v>
      </c>
      <c r="G281" s="2" t="s">
        <v>912</v>
      </c>
      <c r="H281" s="2" t="s">
        <v>56</v>
      </c>
      <c r="I281" s="2" t="s">
        <v>913</v>
      </c>
      <c r="J281" s="2" t="s">
        <v>289</v>
      </c>
      <c r="K281" s="2" t="s">
        <v>975</v>
      </c>
      <c r="L281" s="2" t="s">
        <v>52</v>
      </c>
      <c r="M281" s="2" t="s">
        <v>698</v>
      </c>
      <c r="N281" s="2" t="s">
        <v>104</v>
      </c>
      <c r="O281" s="2" t="n">
        <v>1</v>
      </c>
      <c r="P281" s="2" t="n">
        <v>2</v>
      </c>
      <c r="Q281" s="2" t="s">
        <v>41</v>
      </c>
      <c r="R281" s="2" t="s">
        <v>59</v>
      </c>
      <c r="S281" s="2" t="s">
        <v>211</v>
      </c>
      <c r="T281" s="2" t="s">
        <v>64</v>
      </c>
      <c r="U281" s="2" t="s">
        <v>461</v>
      </c>
      <c r="V281" s="2" t="n">
        <v>1</v>
      </c>
      <c r="W281" s="2" t="s">
        <v>462</v>
      </c>
      <c r="X281" s="2" t="s">
        <v>915</v>
      </c>
      <c r="Y281" s="2" t="n">
        <f aca="false">IF(AND(OR(Query_Interface!$B$5="All",$D281=Query_Interface!$B$5),OR(Query_Interface!$B$6="All",$F281=Query_Interface!$B$6),OR(Query_Interface!$B$7="All",$H281=Query_Interface!$B$7),OR(Query_Interface!$B$8="All",$N281=Query_Interface!$B$8),OR(Query_Interface!$B$9="All",$L281=Query_Interface!$B$9),OR(Query_Interface!$B$10="All",$R281=Query_Interface!$B$10),OR(Query_Interface!$B$11="All",$T281=Query_Interface!$B$11),OR(Query_Interface!$B$12="All",$Q281=Query_Interface!$B$12)),1,0)</f>
        <v>1</v>
      </c>
      <c r="Z281" s="2" t="n">
        <f aca="false">IF($Y281=1,COUNTIF($Y$2:$Y281,1),"")</f>
        <v>280</v>
      </c>
    </row>
    <row r="282" customFormat="false" ht="46.25" hidden="false" customHeight="false" outlineLevel="0" collapsed="false">
      <c r="A282" s="2" t="s">
        <v>578</v>
      </c>
      <c r="B282" s="2" t="n">
        <v>217</v>
      </c>
      <c r="C282" s="2" t="s">
        <v>686</v>
      </c>
      <c r="D282" s="2" t="s">
        <v>34</v>
      </c>
      <c r="E282" s="2" t="s">
        <v>873</v>
      </c>
      <c r="F282" s="2" t="s">
        <v>35</v>
      </c>
      <c r="G282" s="2" t="s">
        <v>912</v>
      </c>
      <c r="H282" s="2" t="s">
        <v>56</v>
      </c>
      <c r="I282" s="2" t="s">
        <v>913</v>
      </c>
      <c r="J282" s="2" t="s">
        <v>289</v>
      </c>
      <c r="K282" s="2" t="s">
        <v>975</v>
      </c>
      <c r="L282" s="2" t="s">
        <v>52</v>
      </c>
      <c r="M282" s="2" t="s">
        <v>724</v>
      </c>
      <c r="N282" s="2" t="s">
        <v>142</v>
      </c>
      <c r="O282" s="2" t="n">
        <v>2</v>
      </c>
      <c r="P282" s="2" t="n">
        <v>2</v>
      </c>
      <c r="Q282" s="2" t="s">
        <v>41</v>
      </c>
      <c r="R282" s="2" t="s">
        <v>59</v>
      </c>
      <c r="S282" s="2" t="s">
        <v>211</v>
      </c>
      <c r="T282" s="2" t="s">
        <v>64</v>
      </c>
      <c r="U282" s="2" t="s">
        <v>461</v>
      </c>
      <c r="V282" s="2" t="n">
        <v>1</v>
      </c>
      <c r="W282" s="2" t="s">
        <v>462</v>
      </c>
      <c r="X282" s="2" t="s">
        <v>915</v>
      </c>
      <c r="Y282" s="2" t="n">
        <f aca="false">IF(AND(OR(Query_Interface!$B$5="All",$D282=Query_Interface!$B$5),OR(Query_Interface!$B$6="All",$F282=Query_Interface!$B$6),OR(Query_Interface!$B$7="All",$H282=Query_Interface!$B$7),OR(Query_Interface!$B$8="All",$N282=Query_Interface!$B$8),OR(Query_Interface!$B$9="All",$L282=Query_Interface!$B$9),OR(Query_Interface!$B$10="All",$R282=Query_Interface!$B$10),OR(Query_Interface!$B$11="All",$T282=Query_Interface!$B$11),OR(Query_Interface!$B$12="All",$Q282=Query_Interface!$B$12)),1,0)</f>
        <v>1</v>
      </c>
      <c r="Z282" s="2" t="n">
        <f aca="false">IF($Y282=1,COUNTIF($Y$2:$Y282,1),"")</f>
        <v>281</v>
      </c>
    </row>
    <row r="283" customFormat="false" ht="46.25" hidden="false" customHeight="false" outlineLevel="0" collapsed="false">
      <c r="A283" s="2" t="s">
        <v>579</v>
      </c>
      <c r="B283" s="2" t="n">
        <v>218</v>
      </c>
      <c r="C283" s="2" t="s">
        <v>686</v>
      </c>
      <c r="D283" s="2" t="s">
        <v>34</v>
      </c>
      <c r="E283" s="2" t="s">
        <v>873</v>
      </c>
      <c r="F283" s="2" t="s">
        <v>35</v>
      </c>
      <c r="G283" s="2" t="s">
        <v>912</v>
      </c>
      <c r="H283" s="2" t="s">
        <v>56</v>
      </c>
      <c r="I283" s="2" t="s">
        <v>913</v>
      </c>
      <c r="J283" s="2" t="s">
        <v>219</v>
      </c>
      <c r="K283" s="2" t="s">
        <v>919</v>
      </c>
      <c r="L283" s="2" t="s">
        <v>52</v>
      </c>
      <c r="M283" s="2" t="s">
        <v>698</v>
      </c>
      <c r="N283" s="2" t="s">
        <v>104</v>
      </c>
      <c r="O283" s="2" t="n">
        <v>1</v>
      </c>
      <c r="P283" s="2" t="n">
        <v>1</v>
      </c>
      <c r="Q283" s="2" t="s">
        <v>61</v>
      </c>
      <c r="R283" s="2" t="s">
        <v>59</v>
      </c>
      <c r="S283" s="2" t="s">
        <v>211</v>
      </c>
      <c r="T283" s="2" t="s">
        <v>64</v>
      </c>
      <c r="U283" s="2" t="s">
        <v>461</v>
      </c>
      <c r="V283" s="2" t="n">
        <v>1</v>
      </c>
      <c r="W283" s="2" t="s">
        <v>462</v>
      </c>
      <c r="X283" s="2" t="s">
        <v>915</v>
      </c>
      <c r="Y283" s="2" t="n">
        <f aca="false">IF(AND(OR(Query_Interface!$B$5="All",$D283=Query_Interface!$B$5),OR(Query_Interface!$B$6="All",$F283=Query_Interface!$B$6),OR(Query_Interface!$B$7="All",$H283=Query_Interface!$B$7),OR(Query_Interface!$B$8="All",$N283=Query_Interface!$B$8),OR(Query_Interface!$B$9="All",$L283=Query_Interface!$B$9),OR(Query_Interface!$B$10="All",$R283=Query_Interface!$B$10),OR(Query_Interface!$B$11="All",$T283=Query_Interface!$B$11),OR(Query_Interface!$B$12="All",$Q283=Query_Interface!$B$12)),1,0)</f>
        <v>1</v>
      </c>
      <c r="Z283" s="2" t="n">
        <f aca="false">IF($Y283=1,COUNTIF($Y$2:$Y283,1),"")</f>
        <v>282</v>
      </c>
    </row>
    <row r="284" customFormat="false" ht="46.25" hidden="false" customHeight="false" outlineLevel="0" collapsed="false">
      <c r="A284" s="2" t="s">
        <v>580</v>
      </c>
      <c r="B284" s="2" t="n">
        <v>219</v>
      </c>
      <c r="C284" s="2" t="s">
        <v>686</v>
      </c>
      <c r="D284" s="2" t="s">
        <v>34</v>
      </c>
      <c r="E284" s="2" t="s">
        <v>873</v>
      </c>
      <c r="F284" s="2" t="s">
        <v>35</v>
      </c>
      <c r="G284" s="2" t="s">
        <v>912</v>
      </c>
      <c r="H284" s="2" t="s">
        <v>56</v>
      </c>
      <c r="I284" s="2" t="s">
        <v>913</v>
      </c>
      <c r="J284" s="2" t="s">
        <v>581</v>
      </c>
      <c r="K284" s="2" t="s">
        <v>993</v>
      </c>
      <c r="L284" s="2" t="s">
        <v>69</v>
      </c>
      <c r="M284" s="2" t="s">
        <v>970</v>
      </c>
      <c r="N284" s="2" t="s">
        <v>116</v>
      </c>
      <c r="O284" s="2" t="n">
        <v>1</v>
      </c>
      <c r="P284" s="2" t="n">
        <v>1</v>
      </c>
      <c r="Q284" s="2" t="s">
        <v>61</v>
      </c>
      <c r="R284" s="2" t="s">
        <v>46</v>
      </c>
      <c r="S284" s="2" t="s">
        <v>230</v>
      </c>
      <c r="T284" s="2" t="s">
        <v>64</v>
      </c>
      <c r="U284" s="2" t="s">
        <v>448</v>
      </c>
      <c r="V284" s="2" t="n">
        <v>3</v>
      </c>
      <c r="W284" s="2" t="s">
        <v>462</v>
      </c>
      <c r="X284" s="2" t="s">
        <v>915</v>
      </c>
      <c r="Y284" s="2" t="n">
        <f aca="false">IF(AND(OR(Query_Interface!$B$5="All",$D284=Query_Interface!$B$5),OR(Query_Interface!$B$6="All",$F284=Query_Interface!$B$6),OR(Query_Interface!$B$7="All",$H284=Query_Interface!$B$7),OR(Query_Interface!$B$8="All",$N284=Query_Interface!$B$8),OR(Query_Interface!$B$9="All",$L284=Query_Interface!$B$9),OR(Query_Interface!$B$10="All",$R284=Query_Interface!$B$10),OR(Query_Interface!$B$11="All",$T284=Query_Interface!$B$11),OR(Query_Interface!$B$12="All",$Q284=Query_Interface!$B$12)),1,0)</f>
        <v>1</v>
      </c>
      <c r="Z284" s="2" t="n">
        <f aca="false">IF($Y284=1,COUNTIF($Y$2:$Y284,1),"")</f>
        <v>283</v>
      </c>
    </row>
    <row r="285" customFormat="false" ht="46.25" hidden="false" customHeight="false" outlineLevel="0" collapsed="false">
      <c r="A285" s="2" t="s">
        <v>582</v>
      </c>
      <c r="B285" s="2" t="n">
        <v>220</v>
      </c>
      <c r="C285" s="2" t="s">
        <v>686</v>
      </c>
      <c r="D285" s="2" t="s">
        <v>34</v>
      </c>
      <c r="E285" s="2" t="s">
        <v>873</v>
      </c>
      <c r="F285" s="2" t="s">
        <v>35</v>
      </c>
      <c r="G285" s="2" t="s">
        <v>912</v>
      </c>
      <c r="H285" s="2" t="s">
        <v>56</v>
      </c>
      <c r="I285" s="2" t="s">
        <v>913</v>
      </c>
      <c r="J285" s="2" t="s">
        <v>285</v>
      </c>
      <c r="K285" s="2" t="s">
        <v>971</v>
      </c>
      <c r="L285" s="2" t="s">
        <v>69</v>
      </c>
      <c r="M285" s="2" t="s">
        <v>754</v>
      </c>
      <c r="N285" s="2" t="s">
        <v>124</v>
      </c>
      <c r="O285" s="2" t="n">
        <v>1</v>
      </c>
      <c r="P285" s="2" t="n">
        <v>1</v>
      </c>
      <c r="Q285" s="2" t="s">
        <v>61</v>
      </c>
      <c r="R285" s="2" t="s">
        <v>59</v>
      </c>
      <c r="S285" s="2" t="s">
        <v>211</v>
      </c>
      <c r="T285" s="2" t="s">
        <v>67</v>
      </c>
      <c r="U285" s="2" t="s">
        <v>461</v>
      </c>
      <c r="V285" s="2" t="n">
        <v>3</v>
      </c>
      <c r="W285" s="2" t="s">
        <v>462</v>
      </c>
      <c r="X285" s="2" t="s">
        <v>915</v>
      </c>
      <c r="Y285" s="2" t="n">
        <f aca="false">IF(AND(OR(Query_Interface!$B$5="All",$D285=Query_Interface!$B$5),OR(Query_Interface!$B$6="All",$F285=Query_Interface!$B$6),OR(Query_Interface!$B$7="All",$H285=Query_Interface!$B$7),OR(Query_Interface!$B$8="All",$N285=Query_Interface!$B$8),OR(Query_Interface!$B$9="All",$L285=Query_Interface!$B$9),OR(Query_Interface!$B$10="All",$R285=Query_Interface!$B$10),OR(Query_Interface!$B$11="All",$T285=Query_Interface!$B$11),OR(Query_Interface!$B$12="All",$Q285=Query_Interface!$B$12)),1,0)</f>
        <v>1</v>
      </c>
      <c r="Z285" s="2" t="n">
        <f aca="false">IF($Y285=1,COUNTIF($Y$2:$Y285,1),"")</f>
        <v>284</v>
      </c>
    </row>
    <row r="286" customFormat="false" ht="46.25" hidden="false" customHeight="false" outlineLevel="0" collapsed="false">
      <c r="A286" s="2" t="s">
        <v>583</v>
      </c>
      <c r="B286" s="2" t="n">
        <v>221</v>
      </c>
      <c r="C286" s="2" t="s">
        <v>686</v>
      </c>
      <c r="D286" s="2" t="s">
        <v>34</v>
      </c>
      <c r="E286" s="2" t="s">
        <v>873</v>
      </c>
      <c r="F286" s="2" t="s">
        <v>35</v>
      </c>
      <c r="G286" s="2" t="s">
        <v>912</v>
      </c>
      <c r="H286" s="2" t="s">
        <v>56</v>
      </c>
      <c r="I286" s="2" t="s">
        <v>913</v>
      </c>
      <c r="J286" s="2" t="s">
        <v>372</v>
      </c>
      <c r="K286" s="2" t="s">
        <v>955</v>
      </c>
      <c r="L286" s="2" t="s">
        <v>71</v>
      </c>
      <c r="M286" s="2" t="s">
        <v>848</v>
      </c>
      <c r="N286" s="2" t="s">
        <v>127</v>
      </c>
      <c r="O286" s="2" t="n">
        <v>1</v>
      </c>
      <c r="P286" s="2" t="n">
        <v>1</v>
      </c>
      <c r="Q286" s="2" t="s">
        <v>61</v>
      </c>
      <c r="R286" s="2" t="s">
        <v>59</v>
      </c>
      <c r="S286" s="2" t="s">
        <v>211</v>
      </c>
      <c r="T286" s="2" t="s">
        <v>67</v>
      </c>
      <c r="U286" s="2" t="s">
        <v>448</v>
      </c>
      <c r="V286" s="2" t="n">
        <v>4</v>
      </c>
      <c r="W286" s="2" t="s">
        <v>462</v>
      </c>
      <c r="X286" s="2" t="s">
        <v>915</v>
      </c>
      <c r="Y286" s="2" t="n">
        <f aca="false">IF(AND(OR(Query_Interface!$B$5="All",$D286=Query_Interface!$B$5),OR(Query_Interface!$B$6="All",$F286=Query_Interface!$B$6),OR(Query_Interface!$B$7="All",$H286=Query_Interface!$B$7),OR(Query_Interface!$B$8="All",$N286=Query_Interface!$B$8),OR(Query_Interface!$B$9="All",$L286=Query_Interface!$B$9),OR(Query_Interface!$B$10="All",$R286=Query_Interface!$B$10),OR(Query_Interface!$B$11="All",$T286=Query_Interface!$B$11),OR(Query_Interface!$B$12="All",$Q286=Query_Interface!$B$12)),1,0)</f>
        <v>1</v>
      </c>
      <c r="Z286" s="2" t="n">
        <f aca="false">IF($Y286=1,COUNTIF($Y$2:$Y286,1),"")</f>
        <v>285</v>
      </c>
    </row>
    <row r="287" customFormat="false" ht="46.25" hidden="false" customHeight="false" outlineLevel="0" collapsed="false">
      <c r="A287" s="2" t="s">
        <v>584</v>
      </c>
      <c r="B287" s="2" t="n">
        <v>222</v>
      </c>
      <c r="C287" s="2" t="s">
        <v>686</v>
      </c>
      <c r="D287" s="2" t="s">
        <v>34</v>
      </c>
      <c r="E287" s="2" t="s">
        <v>873</v>
      </c>
      <c r="F287" s="2" t="s">
        <v>35</v>
      </c>
      <c r="G287" s="2" t="s">
        <v>912</v>
      </c>
      <c r="H287" s="2" t="s">
        <v>56</v>
      </c>
      <c r="I287" s="2" t="s">
        <v>913</v>
      </c>
      <c r="J287" s="2" t="s">
        <v>494</v>
      </c>
      <c r="K287" s="2" t="s">
        <v>939</v>
      </c>
      <c r="L287" s="2" t="s">
        <v>71</v>
      </c>
      <c r="M287" s="2" t="s">
        <v>808</v>
      </c>
      <c r="N287" s="2" t="s">
        <v>126</v>
      </c>
      <c r="O287" s="2" t="n">
        <v>1</v>
      </c>
      <c r="P287" s="2" t="n">
        <v>1</v>
      </c>
      <c r="Q287" s="2" t="s">
        <v>61</v>
      </c>
      <c r="R287" s="2" t="s">
        <v>59</v>
      </c>
      <c r="S287" s="2" t="s">
        <v>211</v>
      </c>
      <c r="T287" s="2" t="s">
        <v>67</v>
      </c>
      <c r="U287" s="2" t="s">
        <v>495</v>
      </c>
      <c r="V287" s="2" t="n">
        <v>3</v>
      </c>
      <c r="W287" s="2" t="s">
        <v>462</v>
      </c>
      <c r="X287" s="2" t="s">
        <v>915</v>
      </c>
      <c r="Y287" s="2" t="n">
        <f aca="false">IF(AND(OR(Query_Interface!$B$5="All",$D287=Query_Interface!$B$5),OR(Query_Interface!$B$6="All",$F287=Query_Interface!$B$6),OR(Query_Interface!$B$7="All",$H287=Query_Interface!$B$7),OR(Query_Interface!$B$8="All",$N287=Query_Interface!$B$8),OR(Query_Interface!$B$9="All",$L287=Query_Interface!$B$9),OR(Query_Interface!$B$10="All",$R287=Query_Interface!$B$10),OR(Query_Interface!$B$11="All",$T287=Query_Interface!$B$11),OR(Query_Interface!$B$12="All",$Q287=Query_Interface!$B$12)),1,0)</f>
        <v>1</v>
      </c>
      <c r="Z287" s="2" t="n">
        <f aca="false">IF($Y287=1,COUNTIF($Y$2:$Y287,1),"")</f>
        <v>286</v>
      </c>
    </row>
    <row r="288" customFormat="false" ht="46.25" hidden="false" customHeight="false" outlineLevel="0" collapsed="false">
      <c r="A288" s="2" t="s">
        <v>585</v>
      </c>
      <c r="B288" s="2" t="n">
        <v>223</v>
      </c>
      <c r="C288" s="2" t="s">
        <v>686</v>
      </c>
      <c r="D288" s="2" t="s">
        <v>34</v>
      </c>
      <c r="E288" s="2" t="s">
        <v>873</v>
      </c>
      <c r="F288" s="2" t="s">
        <v>35</v>
      </c>
      <c r="G288" s="2" t="s">
        <v>912</v>
      </c>
      <c r="H288" s="2" t="s">
        <v>56</v>
      </c>
      <c r="I288" s="2" t="s">
        <v>913</v>
      </c>
      <c r="J288" s="2" t="s">
        <v>309</v>
      </c>
      <c r="K288" s="2" t="s">
        <v>979</v>
      </c>
      <c r="L288" s="2" t="s">
        <v>71</v>
      </c>
      <c r="M288" s="2" t="s">
        <v>786</v>
      </c>
      <c r="N288" s="2" t="s">
        <v>122</v>
      </c>
      <c r="O288" s="2" t="n">
        <v>1</v>
      </c>
      <c r="P288" s="2" t="n">
        <v>1</v>
      </c>
      <c r="Q288" s="2" t="s">
        <v>61</v>
      </c>
      <c r="R288" s="2" t="s">
        <v>59</v>
      </c>
      <c r="S288" s="2" t="s">
        <v>211</v>
      </c>
      <c r="T288" s="2" t="s">
        <v>67</v>
      </c>
      <c r="U288" s="2" t="s">
        <v>461</v>
      </c>
      <c r="V288" s="2" t="n">
        <v>2</v>
      </c>
      <c r="W288" s="2" t="s">
        <v>462</v>
      </c>
      <c r="X288" s="2" t="s">
        <v>915</v>
      </c>
      <c r="Y288" s="2" t="n">
        <f aca="false">IF(AND(OR(Query_Interface!$B$5="All",$D288=Query_Interface!$B$5),OR(Query_Interface!$B$6="All",$F288=Query_Interface!$B$6),OR(Query_Interface!$B$7="All",$H288=Query_Interface!$B$7),OR(Query_Interface!$B$8="All",$N288=Query_Interface!$B$8),OR(Query_Interface!$B$9="All",$L288=Query_Interface!$B$9),OR(Query_Interface!$B$10="All",$R288=Query_Interface!$B$10),OR(Query_Interface!$B$11="All",$T288=Query_Interface!$B$11),OR(Query_Interface!$B$12="All",$Q288=Query_Interface!$B$12)),1,0)</f>
        <v>1</v>
      </c>
      <c r="Z288" s="2" t="n">
        <f aca="false">IF($Y288=1,COUNTIF($Y$2:$Y288,1),"")</f>
        <v>287</v>
      </c>
    </row>
    <row r="289" customFormat="false" ht="46.25" hidden="false" customHeight="false" outlineLevel="0" collapsed="false">
      <c r="A289" s="2" t="s">
        <v>586</v>
      </c>
      <c r="B289" s="2" t="n">
        <v>224</v>
      </c>
      <c r="C289" s="2" t="s">
        <v>686</v>
      </c>
      <c r="D289" s="2" t="s">
        <v>34</v>
      </c>
      <c r="E289" s="2" t="s">
        <v>873</v>
      </c>
      <c r="F289" s="2" t="s">
        <v>35</v>
      </c>
      <c r="G289" s="2" t="s">
        <v>912</v>
      </c>
      <c r="H289" s="2" t="s">
        <v>56</v>
      </c>
      <c r="I289" s="2" t="s">
        <v>913</v>
      </c>
      <c r="J289" s="2" t="s">
        <v>257</v>
      </c>
      <c r="K289" s="2" t="s">
        <v>942</v>
      </c>
      <c r="L289" s="2" t="s">
        <v>45</v>
      </c>
      <c r="M289" s="2" t="s">
        <v>732</v>
      </c>
      <c r="N289" s="2" t="s">
        <v>77</v>
      </c>
      <c r="O289" s="2" t="n">
        <v>1</v>
      </c>
      <c r="P289" s="2" t="n">
        <v>1</v>
      </c>
      <c r="Q289" s="2" t="s">
        <v>61</v>
      </c>
      <c r="R289" s="2" t="s">
        <v>59</v>
      </c>
      <c r="S289" s="2" t="s">
        <v>211</v>
      </c>
      <c r="T289" s="2" t="s">
        <v>67</v>
      </c>
      <c r="U289" s="2" t="s">
        <v>461</v>
      </c>
      <c r="V289" s="2" t="n">
        <v>3</v>
      </c>
      <c r="W289" s="2" t="s">
        <v>462</v>
      </c>
      <c r="X289" s="2" t="s">
        <v>915</v>
      </c>
      <c r="Y289" s="2" t="n">
        <f aca="false">IF(AND(OR(Query_Interface!$B$5="All",$D289=Query_Interface!$B$5),OR(Query_Interface!$B$6="All",$F289=Query_Interface!$B$6),OR(Query_Interface!$B$7="All",$H289=Query_Interface!$B$7),OR(Query_Interface!$B$8="All",$N289=Query_Interface!$B$8),OR(Query_Interface!$B$9="All",$L289=Query_Interface!$B$9),OR(Query_Interface!$B$10="All",$R289=Query_Interface!$B$10),OR(Query_Interface!$B$11="All",$T289=Query_Interface!$B$11),OR(Query_Interface!$B$12="All",$Q289=Query_Interface!$B$12)),1,0)</f>
        <v>1</v>
      </c>
      <c r="Z289" s="2" t="n">
        <f aca="false">IF($Y289=1,COUNTIF($Y$2:$Y289,1),"")</f>
        <v>288</v>
      </c>
    </row>
    <row r="290" customFormat="false" ht="46.25" hidden="false" customHeight="false" outlineLevel="0" collapsed="false">
      <c r="A290" s="2" t="s">
        <v>587</v>
      </c>
      <c r="B290" s="2" t="n">
        <v>225</v>
      </c>
      <c r="C290" s="2" t="s">
        <v>686</v>
      </c>
      <c r="D290" s="2" t="s">
        <v>34</v>
      </c>
      <c r="E290" s="2" t="s">
        <v>873</v>
      </c>
      <c r="F290" s="2" t="s">
        <v>35</v>
      </c>
      <c r="G290" s="2" t="s">
        <v>912</v>
      </c>
      <c r="H290" s="2" t="s">
        <v>56</v>
      </c>
      <c r="I290" s="2" t="s">
        <v>913</v>
      </c>
      <c r="J290" s="2" t="s">
        <v>549</v>
      </c>
      <c r="K290" s="2" t="s">
        <v>978</v>
      </c>
      <c r="L290" s="2" t="s">
        <v>45</v>
      </c>
      <c r="M290" s="2" t="s">
        <v>722</v>
      </c>
      <c r="N290" s="2" t="s">
        <v>72</v>
      </c>
      <c r="O290" s="2" t="n">
        <v>1</v>
      </c>
      <c r="P290" s="2" t="n">
        <v>1</v>
      </c>
      <c r="Q290" s="2" t="s">
        <v>61</v>
      </c>
      <c r="R290" s="2" t="s">
        <v>59</v>
      </c>
      <c r="S290" s="2" t="s">
        <v>211</v>
      </c>
      <c r="T290" s="2" t="s">
        <v>67</v>
      </c>
      <c r="U290" s="2" t="s">
        <v>461</v>
      </c>
      <c r="V290" s="2" t="n">
        <v>2</v>
      </c>
      <c r="W290" s="2" t="s">
        <v>462</v>
      </c>
      <c r="X290" s="2" t="s">
        <v>915</v>
      </c>
      <c r="Y290" s="2" t="n">
        <f aca="false">IF(AND(OR(Query_Interface!$B$5="All",$D290=Query_Interface!$B$5),OR(Query_Interface!$B$6="All",$F290=Query_Interface!$B$6),OR(Query_Interface!$B$7="All",$H290=Query_Interface!$B$7),OR(Query_Interface!$B$8="All",$N290=Query_Interface!$B$8),OR(Query_Interface!$B$9="All",$L290=Query_Interface!$B$9),OR(Query_Interface!$B$10="All",$R290=Query_Interface!$B$10),OR(Query_Interface!$B$11="All",$T290=Query_Interface!$B$11),OR(Query_Interface!$B$12="All",$Q290=Query_Interface!$B$12)),1,0)</f>
        <v>1</v>
      </c>
      <c r="Z290" s="2" t="n">
        <f aca="false">IF($Y290=1,COUNTIF($Y$2:$Y290,1),"")</f>
        <v>289</v>
      </c>
    </row>
    <row r="291" customFormat="false" ht="46.25" hidden="false" customHeight="false" outlineLevel="0" collapsed="false">
      <c r="A291" s="2" t="s">
        <v>588</v>
      </c>
      <c r="B291" s="2" t="n">
        <v>226</v>
      </c>
      <c r="C291" s="2" t="s">
        <v>686</v>
      </c>
      <c r="D291" s="2" t="s">
        <v>34</v>
      </c>
      <c r="E291" s="2" t="s">
        <v>873</v>
      </c>
      <c r="F291" s="2" t="s">
        <v>35</v>
      </c>
      <c r="G291" s="2" t="s">
        <v>912</v>
      </c>
      <c r="H291" s="2" t="s">
        <v>56</v>
      </c>
      <c r="I291" s="2" t="s">
        <v>913</v>
      </c>
      <c r="J291" s="2" t="s">
        <v>235</v>
      </c>
      <c r="K291" s="2" t="s">
        <v>932</v>
      </c>
      <c r="L291" s="2" t="s">
        <v>45</v>
      </c>
      <c r="M291" s="2" t="s">
        <v>933</v>
      </c>
      <c r="N291" s="2" t="s">
        <v>78</v>
      </c>
      <c r="O291" s="2" t="n">
        <v>1</v>
      </c>
      <c r="P291" s="2" t="n">
        <v>1</v>
      </c>
      <c r="Q291" s="2" t="s">
        <v>61</v>
      </c>
      <c r="R291" s="2" t="s">
        <v>46</v>
      </c>
      <c r="S291" s="2" t="s">
        <v>230</v>
      </c>
      <c r="T291" s="2" t="s">
        <v>64</v>
      </c>
      <c r="U291" s="2" t="s">
        <v>461</v>
      </c>
      <c r="V291" s="2" t="n">
        <v>5</v>
      </c>
      <c r="W291" s="2" t="s">
        <v>462</v>
      </c>
      <c r="X291" s="2" t="s">
        <v>915</v>
      </c>
      <c r="Y291" s="2" t="n">
        <f aca="false">IF(AND(OR(Query_Interface!$B$5="All",$D291=Query_Interface!$B$5),OR(Query_Interface!$B$6="All",$F291=Query_Interface!$B$6),OR(Query_Interface!$B$7="All",$H291=Query_Interface!$B$7),OR(Query_Interface!$B$8="All",$N291=Query_Interface!$B$8),OR(Query_Interface!$B$9="All",$L291=Query_Interface!$B$9),OR(Query_Interface!$B$10="All",$R291=Query_Interface!$B$10),OR(Query_Interface!$B$11="All",$T291=Query_Interface!$B$11),OR(Query_Interface!$B$12="All",$Q291=Query_Interface!$B$12)),1,0)</f>
        <v>1</v>
      </c>
      <c r="Z291" s="2" t="n">
        <f aca="false">IF($Y291=1,COUNTIF($Y$2:$Y291,1),"")</f>
        <v>290</v>
      </c>
    </row>
    <row r="292" customFormat="false" ht="46.25" hidden="false" customHeight="false" outlineLevel="0" collapsed="false">
      <c r="A292" s="2" t="s">
        <v>589</v>
      </c>
      <c r="B292" s="2" t="n">
        <v>227</v>
      </c>
      <c r="C292" s="2" t="s">
        <v>686</v>
      </c>
      <c r="D292" s="2" t="s">
        <v>34</v>
      </c>
      <c r="E292" s="2" t="s">
        <v>873</v>
      </c>
      <c r="F292" s="2" t="s">
        <v>35</v>
      </c>
      <c r="G292" s="2" t="s">
        <v>912</v>
      </c>
      <c r="H292" s="2" t="s">
        <v>56</v>
      </c>
      <c r="I292" s="2" t="s">
        <v>913</v>
      </c>
      <c r="J292" s="2" t="s">
        <v>232</v>
      </c>
      <c r="K292" s="2" t="s">
        <v>931</v>
      </c>
      <c r="L292" s="2" t="s">
        <v>45</v>
      </c>
      <c r="M292" s="2" t="s">
        <v>709</v>
      </c>
      <c r="N292" s="2" t="s">
        <v>70</v>
      </c>
      <c r="O292" s="2" t="n">
        <v>1</v>
      </c>
      <c r="P292" s="2" t="n">
        <v>1</v>
      </c>
      <c r="Q292" s="2" t="s">
        <v>61</v>
      </c>
      <c r="R292" s="2" t="s">
        <v>39</v>
      </c>
      <c r="S292" s="2" t="s">
        <v>215</v>
      </c>
      <c r="T292" s="2" t="s">
        <v>64</v>
      </c>
      <c r="U292" s="2" t="s">
        <v>461</v>
      </c>
      <c r="V292" s="2" t="n">
        <v>4</v>
      </c>
      <c r="W292" s="2" t="s">
        <v>462</v>
      </c>
      <c r="X292" s="2" t="s">
        <v>915</v>
      </c>
      <c r="Y292" s="2" t="n">
        <f aca="false">IF(AND(OR(Query_Interface!$B$5="All",$D292=Query_Interface!$B$5),OR(Query_Interface!$B$6="All",$F292=Query_Interface!$B$6),OR(Query_Interface!$B$7="All",$H292=Query_Interface!$B$7),OR(Query_Interface!$B$8="All",$N292=Query_Interface!$B$8),OR(Query_Interface!$B$9="All",$L292=Query_Interface!$B$9),OR(Query_Interface!$B$10="All",$R292=Query_Interface!$B$10),OR(Query_Interface!$B$11="All",$T292=Query_Interface!$B$11),OR(Query_Interface!$B$12="All",$Q292=Query_Interface!$B$12)),1,0)</f>
        <v>1</v>
      </c>
      <c r="Z292" s="2" t="n">
        <f aca="false">IF($Y292=1,COUNTIF($Y$2:$Y292,1),"")</f>
        <v>291</v>
      </c>
    </row>
    <row r="293" customFormat="false" ht="46.25" hidden="false" customHeight="false" outlineLevel="0" collapsed="false">
      <c r="A293" s="2" t="s">
        <v>590</v>
      </c>
      <c r="B293" s="2" t="n">
        <v>228</v>
      </c>
      <c r="C293" s="2" t="s">
        <v>686</v>
      </c>
      <c r="D293" s="2" t="s">
        <v>34</v>
      </c>
      <c r="E293" s="2" t="s">
        <v>873</v>
      </c>
      <c r="F293" s="2" t="s">
        <v>35</v>
      </c>
      <c r="G293" s="2" t="s">
        <v>912</v>
      </c>
      <c r="H293" s="2" t="s">
        <v>56</v>
      </c>
      <c r="I293" s="2" t="s">
        <v>913</v>
      </c>
      <c r="J293" s="2" t="s">
        <v>522</v>
      </c>
      <c r="K293" s="2" t="s">
        <v>994</v>
      </c>
      <c r="L293" s="2" t="s">
        <v>69</v>
      </c>
      <c r="M293" s="2" t="s">
        <v>959</v>
      </c>
      <c r="N293" s="2" t="s">
        <v>57</v>
      </c>
      <c r="O293" s="2" t="n">
        <v>1</v>
      </c>
      <c r="P293" s="2" t="n">
        <v>1</v>
      </c>
      <c r="Q293" s="2" t="s">
        <v>61</v>
      </c>
      <c r="R293" s="2" t="s">
        <v>59</v>
      </c>
      <c r="S293" s="2" t="s">
        <v>211</v>
      </c>
      <c r="T293" s="2" t="s">
        <v>67</v>
      </c>
      <c r="U293" s="2" t="s">
        <v>461</v>
      </c>
      <c r="V293" s="2" t="n">
        <v>2</v>
      </c>
      <c r="W293" s="2" t="s">
        <v>462</v>
      </c>
      <c r="X293" s="2" t="s">
        <v>915</v>
      </c>
      <c r="Y293" s="2" t="n">
        <f aca="false">IF(AND(OR(Query_Interface!$B$5="All",$D293=Query_Interface!$B$5),OR(Query_Interface!$B$6="All",$F293=Query_Interface!$B$6),OR(Query_Interface!$B$7="All",$H293=Query_Interface!$B$7),OR(Query_Interface!$B$8="All",$N293=Query_Interface!$B$8),OR(Query_Interface!$B$9="All",$L293=Query_Interface!$B$9),OR(Query_Interface!$B$10="All",$R293=Query_Interface!$B$10),OR(Query_Interface!$B$11="All",$T293=Query_Interface!$B$11),OR(Query_Interface!$B$12="All",$Q293=Query_Interface!$B$12)),1,0)</f>
        <v>1</v>
      </c>
      <c r="Z293" s="2" t="n">
        <f aca="false">IF($Y293=1,COUNTIF($Y$2:$Y293,1),"")</f>
        <v>292</v>
      </c>
    </row>
    <row r="294" customFormat="false" ht="46.25" hidden="false" customHeight="false" outlineLevel="0" collapsed="false">
      <c r="A294" s="2" t="s">
        <v>591</v>
      </c>
      <c r="B294" s="2" t="n">
        <v>229</v>
      </c>
      <c r="C294" s="2" t="s">
        <v>686</v>
      </c>
      <c r="D294" s="2" t="s">
        <v>34</v>
      </c>
      <c r="E294" s="2" t="s">
        <v>873</v>
      </c>
      <c r="F294" s="2" t="s">
        <v>35</v>
      </c>
      <c r="G294" s="2" t="s">
        <v>912</v>
      </c>
      <c r="H294" s="2" t="s">
        <v>56</v>
      </c>
      <c r="I294" s="2" t="s">
        <v>913</v>
      </c>
      <c r="J294" s="2" t="s">
        <v>524</v>
      </c>
      <c r="K294" s="2" t="s">
        <v>995</v>
      </c>
      <c r="L294" s="2" t="s">
        <v>45</v>
      </c>
      <c r="M294" s="2" t="s">
        <v>898</v>
      </c>
      <c r="N294" s="2" t="s">
        <v>62</v>
      </c>
      <c r="O294" s="2" t="n">
        <v>1</v>
      </c>
      <c r="P294" s="2" t="n">
        <v>1</v>
      </c>
      <c r="Q294" s="2" t="s">
        <v>61</v>
      </c>
      <c r="R294" s="2" t="s">
        <v>59</v>
      </c>
      <c r="S294" s="2" t="s">
        <v>211</v>
      </c>
      <c r="T294" s="2" t="s">
        <v>67</v>
      </c>
      <c r="U294" s="2" t="s">
        <v>461</v>
      </c>
      <c r="V294" s="2" t="n">
        <v>2</v>
      </c>
      <c r="W294" s="2" t="s">
        <v>462</v>
      </c>
      <c r="X294" s="2" t="s">
        <v>915</v>
      </c>
      <c r="Y294" s="2" t="n">
        <f aca="false">IF(AND(OR(Query_Interface!$B$5="All",$D294=Query_Interface!$B$5),OR(Query_Interface!$B$6="All",$F294=Query_Interface!$B$6),OR(Query_Interface!$B$7="All",$H294=Query_Interface!$B$7),OR(Query_Interface!$B$8="All",$N294=Query_Interface!$B$8),OR(Query_Interface!$B$9="All",$L294=Query_Interface!$B$9),OR(Query_Interface!$B$10="All",$R294=Query_Interface!$B$10),OR(Query_Interface!$B$11="All",$T294=Query_Interface!$B$11),OR(Query_Interface!$B$12="All",$Q294=Query_Interface!$B$12)),1,0)</f>
        <v>1</v>
      </c>
      <c r="Z294" s="2" t="n">
        <f aca="false">IF($Y294=1,COUNTIF($Y$2:$Y294,1),"")</f>
        <v>293</v>
      </c>
    </row>
    <row r="295" customFormat="false" ht="46.25" hidden="false" customHeight="false" outlineLevel="0" collapsed="false">
      <c r="A295" s="2" t="s">
        <v>592</v>
      </c>
      <c r="B295" s="2" t="n">
        <v>230</v>
      </c>
      <c r="C295" s="2" t="s">
        <v>686</v>
      </c>
      <c r="D295" s="2" t="s">
        <v>34</v>
      </c>
      <c r="E295" s="2" t="s">
        <v>873</v>
      </c>
      <c r="F295" s="2" t="s">
        <v>35</v>
      </c>
      <c r="G295" s="2" t="s">
        <v>912</v>
      </c>
      <c r="H295" s="2" t="s">
        <v>56</v>
      </c>
      <c r="I295" s="2" t="s">
        <v>913</v>
      </c>
      <c r="J295" s="2" t="s">
        <v>229</v>
      </c>
      <c r="K295" s="2" t="s">
        <v>929</v>
      </c>
      <c r="L295" s="2" t="s">
        <v>45</v>
      </c>
      <c r="M295" s="2" t="s">
        <v>707</v>
      </c>
      <c r="N295" s="2" t="s">
        <v>74</v>
      </c>
      <c r="O295" s="2" t="n">
        <v>1</v>
      </c>
      <c r="P295" s="2" t="n">
        <v>1</v>
      </c>
      <c r="Q295" s="2" t="s">
        <v>61</v>
      </c>
      <c r="R295" s="2" t="s">
        <v>39</v>
      </c>
      <c r="S295" s="2" t="s">
        <v>215</v>
      </c>
      <c r="T295" s="2" t="s">
        <v>64</v>
      </c>
      <c r="U295" s="2" t="s">
        <v>461</v>
      </c>
      <c r="V295" s="2" t="n">
        <v>5</v>
      </c>
      <c r="W295" s="2" t="s">
        <v>462</v>
      </c>
      <c r="X295" s="2" t="s">
        <v>915</v>
      </c>
      <c r="Y295" s="2" t="n">
        <f aca="false">IF(AND(OR(Query_Interface!$B$5="All",$D295=Query_Interface!$B$5),OR(Query_Interface!$B$6="All",$F295=Query_Interface!$B$6),OR(Query_Interface!$B$7="All",$H295=Query_Interface!$B$7),OR(Query_Interface!$B$8="All",$N295=Query_Interface!$B$8),OR(Query_Interface!$B$9="All",$L295=Query_Interface!$B$9),OR(Query_Interface!$B$10="All",$R295=Query_Interface!$B$10),OR(Query_Interface!$B$11="All",$T295=Query_Interface!$B$11),OR(Query_Interface!$B$12="All",$Q295=Query_Interface!$B$12)),1,0)</f>
        <v>1</v>
      </c>
      <c r="Z295" s="2" t="n">
        <f aca="false">IF($Y295=1,COUNTIF($Y$2:$Y295,1),"")</f>
        <v>294</v>
      </c>
    </row>
    <row r="296" customFormat="false" ht="46.25" hidden="false" customHeight="false" outlineLevel="0" collapsed="false">
      <c r="A296" s="2" t="s">
        <v>593</v>
      </c>
      <c r="B296" s="2" t="n">
        <v>231</v>
      </c>
      <c r="C296" s="2" t="s">
        <v>686</v>
      </c>
      <c r="D296" s="2" t="s">
        <v>34</v>
      </c>
      <c r="E296" s="2" t="s">
        <v>873</v>
      </c>
      <c r="F296" s="2" t="s">
        <v>35</v>
      </c>
      <c r="G296" s="2" t="s">
        <v>912</v>
      </c>
      <c r="H296" s="2" t="s">
        <v>56</v>
      </c>
      <c r="I296" s="2" t="s">
        <v>913</v>
      </c>
      <c r="J296" s="2" t="s">
        <v>481</v>
      </c>
      <c r="K296" s="2" t="s">
        <v>928</v>
      </c>
      <c r="L296" s="2" t="s">
        <v>45</v>
      </c>
      <c r="M296" s="2" t="s">
        <v>717</v>
      </c>
      <c r="N296" s="2" t="s">
        <v>76</v>
      </c>
      <c r="O296" s="2" t="n">
        <v>1</v>
      </c>
      <c r="P296" s="2" t="n">
        <v>1</v>
      </c>
      <c r="Q296" s="2" t="s">
        <v>61</v>
      </c>
      <c r="R296" s="2" t="s">
        <v>39</v>
      </c>
      <c r="S296" s="2" t="s">
        <v>215</v>
      </c>
      <c r="T296" s="2" t="s">
        <v>64</v>
      </c>
      <c r="U296" s="2" t="s">
        <v>461</v>
      </c>
      <c r="V296" s="2" t="n">
        <v>4</v>
      </c>
      <c r="W296" s="2" t="s">
        <v>462</v>
      </c>
      <c r="X296" s="2" t="s">
        <v>915</v>
      </c>
      <c r="Y296" s="2" t="n">
        <f aca="false">IF(AND(OR(Query_Interface!$B$5="All",$D296=Query_Interface!$B$5),OR(Query_Interface!$B$6="All",$F296=Query_Interface!$B$6),OR(Query_Interface!$B$7="All",$H296=Query_Interface!$B$7),OR(Query_Interface!$B$8="All",$N296=Query_Interface!$B$8),OR(Query_Interface!$B$9="All",$L296=Query_Interface!$B$9),OR(Query_Interface!$B$10="All",$R296=Query_Interface!$B$10),OR(Query_Interface!$B$11="All",$T296=Query_Interface!$B$11),OR(Query_Interface!$B$12="All",$Q296=Query_Interface!$B$12)),1,0)</f>
        <v>1</v>
      </c>
      <c r="Z296" s="2" t="n">
        <f aca="false">IF($Y296=1,COUNTIF($Y$2:$Y296,1),"")</f>
        <v>295</v>
      </c>
    </row>
    <row r="297" customFormat="false" ht="46.25" hidden="false" customHeight="false" outlineLevel="0" collapsed="false">
      <c r="A297" s="2" t="s">
        <v>594</v>
      </c>
      <c r="B297" s="2" t="n">
        <v>232</v>
      </c>
      <c r="C297" s="2" t="s">
        <v>686</v>
      </c>
      <c r="D297" s="2" t="s">
        <v>34</v>
      </c>
      <c r="E297" s="2" t="s">
        <v>873</v>
      </c>
      <c r="F297" s="2" t="s">
        <v>35</v>
      </c>
      <c r="G297" s="2" t="s">
        <v>912</v>
      </c>
      <c r="H297" s="2" t="s">
        <v>56</v>
      </c>
      <c r="I297" s="2" t="s">
        <v>913</v>
      </c>
      <c r="J297" s="2" t="s">
        <v>359</v>
      </c>
      <c r="K297" s="2" t="s">
        <v>944</v>
      </c>
      <c r="L297" s="2" t="s">
        <v>75</v>
      </c>
      <c r="M297" s="2" t="s">
        <v>798</v>
      </c>
      <c r="N297" s="2" t="s">
        <v>140</v>
      </c>
      <c r="O297" s="2" t="n">
        <v>1</v>
      </c>
      <c r="P297" s="2" t="n">
        <v>1</v>
      </c>
      <c r="Q297" s="2" t="s">
        <v>61</v>
      </c>
      <c r="R297" s="2" t="s">
        <v>53</v>
      </c>
      <c r="S297" s="2" t="s">
        <v>233</v>
      </c>
      <c r="T297" s="2" t="s">
        <v>67</v>
      </c>
      <c r="U297" s="2" t="s">
        <v>495</v>
      </c>
      <c r="V297" s="2" t="n">
        <v>2</v>
      </c>
      <c r="W297" s="2" t="s">
        <v>462</v>
      </c>
      <c r="X297" s="2" t="s">
        <v>915</v>
      </c>
      <c r="Y297" s="2" t="n">
        <f aca="false">IF(AND(OR(Query_Interface!$B$5="All",$D297=Query_Interface!$B$5),OR(Query_Interface!$B$6="All",$F297=Query_Interface!$B$6),OR(Query_Interface!$B$7="All",$H297=Query_Interface!$B$7),OR(Query_Interface!$B$8="All",$N297=Query_Interface!$B$8),OR(Query_Interface!$B$9="All",$L297=Query_Interface!$B$9),OR(Query_Interface!$B$10="All",$R297=Query_Interface!$B$10),OR(Query_Interface!$B$11="All",$T297=Query_Interface!$B$11),OR(Query_Interface!$B$12="All",$Q297=Query_Interface!$B$12)),1,0)</f>
        <v>1</v>
      </c>
      <c r="Z297" s="2" t="n">
        <f aca="false">IF($Y297=1,COUNTIF($Y$2:$Y297,1),"")</f>
        <v>296</v>
      </c>
    </row>
    <row r="298" customFormat="false" ht="46.25" hidden="false" customHeight="false" outlineLevel="0" collapsed="false">
      <c r="A298" s="2" t="s">
        <v>595</v>
      </c>
      <c r="B298" s="2" t="n">
        <v>233</v>
      </c>
      <c r="C298" s="2" t="s">
        <v>686</v>
      </c>
      <c r="D298" s="2" t="s">
        <v>34</v>
      </c>
      <c r="E298" s="2" t="s">
        <v>873</v>
      </c>
      <c r="F298" s="2" t="s">
        <v>35</v>
      </c>
      <c r="G298" s="2" t="s">
        <v>912</v>
      </c>
      <c r="H298" s="2" t="s">
        <v>56</v>
      </c>
      <c r="I298" s="2" t="s">
        <v>913</v>
      </c>
      <c r="J298" s="2" t="s">
        <v>221</v>
      </c>
      <c r="K298" s="2" t="s">
        <v>921</v>
      </c>
      <c r="L298" s="2" t="s">
        <v>75</v>
      </c>
      <c r="M298" s="2" t="s">
        <v>700</v>
      </c>
      <c r="N298" s="2" t="s">
        <v>141</v>
      </c>
      <c r="O298" s="2" t="n">
        <v>1</v>
      </c>
      <c r="P298" s="2" t="n">
        <v>1</v>
      </c>
      <c r="Q298" s="2" t="s">
        <v>61</v>
      </c>
      <c r="R298" s="2" t="s">
        <v>39</v>
      </c>
      <c r="S298" s="2" t="s">
        <v>215</v>
      </c>
      <c r="T298" s="2" t="s">
        <v>67</v>
      </c>
      <c r="U298" s="2" t="s">
        <v>461</v>
      </c>
      <c r="V298" s="2" t="n">
        <v>3</v>
      </c>
      <c r="W298" s="2" t="s">
        <v>462</v>
      </c>
      <c r="X298" s="2" t="s">
        <v>915</v>
      </c>
      <c r="Y298" s="2" t="n">
        <f aca="false">IF(AND(OR(Query_Interface!$B$5="All",$D298=Query_Interface!$B$5),OR(Query_Interface!$B$6="All",$F298=Query_Interface!$B$6),OR(Query_Interface!$B$7="All",$H298=Query_Interface!$B$7),OR(Query_Interface!$B$8="All",$N298=Query_Interface!$B$8),OR(Query_Interface!$B$9="All",$L298=Query_Interface!$B$9),OR(Query_Interface!$B$10="All",$R298=Query_Interface!$B$10),OR(Query_Interface!$B$11="All",$T298=Query_Interface!$B$11),OR(Query_Interface!$B$12="All",$Q298=Query_Interface!$B$12)),1,0)</f>
        <v>1</v>
      </c>
      <c r="Z298" s="2" t="n">
        <f aca="false">IF($Y298=1,COUNTIF($Y$2:$Y298,1),"")</f>
        <v>297</v>
      </c>
    </row>
    <row r="299" customFormat="false" ht="46.25" hidden="false" customHeight="false" outlineLevel="0" collapsed="false">
      <c r="A299" s="2" t="s">
        <v>596</v>
      </c>
      <c r="B299" s="2" t="n">
        <v>234</v>
      </c>
      <c r="C299" s="2" t="s">
        <v>686</v>
      </c>
      <c r="D299" s="2" t="s">
        <v>34</v>
      </c>
      <c r="E299" s="2" t="s">
        <v>873</v>
      </c>
      <c r="F299" s="2" t="s">
        <v>35</v>
      </c>
      <c r="G299" s="2" t="s">
        <v>912</v>
      </c>
      <c r="H299" s="2" t="s">
        <v>56</v>
      </c>
      <c r="I299" s="2" t="s">
        <v>913</v>
      </c>
      <c r="J299" s="2" t="s">
        <v>214</v>
      </c>
      <c r="K299" s="2" t="s">
        <v>916</v>
      </c>
      <c r="L299" s="2" t="s">
        <v>75</v>
      </c>
      <c r="M299" s="2" t="s">
        <v>694</v>
      </c>
      <c r="N299" s="2" t="s">
        <v>139</v>
      </c>
      <c r="O299" s="2" t="n">
        <v>1</v>
      </c>
      <c r="P299" s="2" t="n">
        <v>1</v>
      </c>
      <c r="Q299" s="2" t="s">
        <v>61</v>
      </c>
      <c r="R299" s="2" t="s">
        <v>39</v>
      </c>
      <c r="S299" s="2" t="s">
        <v>215</v>
      </c>
      <c r="T299" s="2" t="s">
        <v>67</v>
      </c>
      <c r="U299" s="2" t="s">
        <v>461</v>
      </c>
      <c r="V299" s="2" t="n">
        <v>4</v>
      </c>
      <c r="W299" s="2" t="s">
        <v>462</v>
      </c>
      <c r="X299" s="2" t="s">
        <v>915</v>
      </c>
      <c r="Y299" s="2" t="n">
        <f aca="false">IF(AND(OR(Query_Interface!$B$5="All",$D299=Query_Interface!$B$5),OR(Query_Interface!$B$6="All",$F299=Query_Interface!$B$6),OR(Query_Interface!$B$7="All",$H299=Query_Interface!$B$7),OR(Query_Interface!$B$8="All",$N299=Query_Interface!$B$8),OR(Query_Interface!$B$9="All",$L299=Query_Interface!$B$9),OR(Query_Interface!$B$10="All",$R299=Query_Interface!$B$10),OR(Query_Interface!$B$11="All",$T299=Query_Interface!$B$11),OR(Query_Interface!$B$12="All",$Q299=Query_Interface!$B$12)),1,0)</f>
        <v>1</v>
      </c>
      <c r="Z299" s="2" t="n">
        <f aca="false">IF($Y299=1,COUNTIF($Y$2:$Y299,1),"")</f>
        <v>298</v>
      </c>
    </row>
    <row r="300" customFormat="false" ht="46.25" hidden="false" customHeight="false" outlineLevel="0" collapsed="false">
      <c r="A300" s="2" t="s">
        <v>597</v>
      </c>
      <c r="B300" s="2" t="n">
        <v>235</v>
      </c>
      <c r="C300" s="2" t="s">
        <v>686</v>
      </c>
      <c r="D300" s="2" t="s">
        <v>34</v>
      </c>
      <c r="E300" s="2" t="s">
        <v>873</v>
      </c>
      <c r="F300" s="2" t="s">
        <v>35</v>
      </c>
      <c r="G300" s="2" t="s">
        <v>912</v>
      </c>
      <c r="H300" s="2" t="s">
        <v>56</v>
      </c>
      <c r="I300" s="2" t="s">
        <v>913</v>
      </c>
      <c r="J300" s="2" t="s">
        <v>598</v>
      </c>
      <c r="K300" s="2" t="s">
        <v>996</v>
      </c>
      <c r="L300" s="2" t="s">
        <v>75</v>
      </c>
      <c r="M300" s="2" t="s">
        <v>700</v>
      </c>
      <c r="N300" s="2" t="s">
        <v>141</v>
      </c>
      <c r="O300" s="2" t="n">
        <v>1</v>
      </c>
      <c r="P300" s="2" t="n">
        <v>1</v>
      </c>
      <c r="Q300" s="2" t="s">
        <v>61</v>
      </c>
      <c r="R300" s="2" t="s">
        <v>39</v>
      </c>
      <c r="S300" s="2" t="s">
        <v>215</v>
      </c>
      <c r="T300" s="2" t="s">
        <v>67</v>
      </c>
      <c r="U300" s="2" t="s">
        <v>461</v>
      </c>
      <c r="V300" s="2" t="n">
        <v>3</v>
      </c>
      <c r="W300" s="2" t="s">
        <v>462</v>
      </c>
      <c r="X300" s="2" t="s">
        <v>915</v>
      </c>
      <c r="Y300" s="2" t="n">
        <f aca="false">IF(AND(OR(Query_Interface!$B$5="All",$D300=Query_Interface!$B$5),OR(Query_Interface!$B$6="All",$F300=Query_Interface!$B$6),OR(Query_Interface!$B$7="All",$H300=Query_Interface!$B$7),OR(Query_Interface!$B$8="All",$N300=Query_Interface!$B$8),OR(Query_Interface!$B$9="All",$L300=Query_Interface!$B$9),OR(Query_Interface!$B$10="All",$R300=Query_Interface!$B$10),OR(Query_Interface!$B$11="All",$T300=Query_Interface!$B$11),OR(Query_Interface!$B$12="All",$Q300=Query_Interface!$B$12)),1,0)</f>
        <v>1</v>
      </c>
      <c r="Z300" s="2" t="n">
        <f aca="false">IF($Y300=1,COUNTIF($Y$2:$Y300,1),"")</f>
        <v>299</v>
      </c>
    </row>
    <row r="301" customFormat="false" ht="46.25" hidden="false" customHeight="false" outlineLevel="0" collapsed="false">
      <c r="A301" s="2" t="s">
        <v>599</v>
      </c>
      <c r="B301" s="2" t="n">
        <v>236</v>
      </c>
      <c r="C301" s="2" t="s">
        <v>686</v>
      </c>
      <c r="D301" s="2" t="s">
        <v>34</v>
      </c>
      <c r="E301" s="2" t="s">
        <v>873</v>
      </c>
      <c r="F301" s="2" t="s">
        <v>35</v>
      </c>
      <c r="G301" s="2" t="s">
        <v>912</v>
      </c>
      <c r="H301" s="2" t="s">
        <v>56</v>
      </c>
      <c r="I301" s="2" t="s">
        <v>913</v>
      </c>
      <c r="J301" s="2" t="s">
        <v>510</v>
      </c>
      <c r="K301" s="2" t="s">
        <v>950</v>
      </c>
      <c r="L301" s="2" t="s">
        <v>75</v>
      </c>
      <c r="M301" s="2" t="s">
        <v>730</v>
      </c>
      <c r="N301" s="2" t="s">
        <v>138</v>
      </c>
      <c r="O301" s="2" t="n">
        <v>1</v>
      </c>
      <c r="P301" s="2" t="n">
        <v>1</v>
      </c>
      <c r="Q301" s="2" t="s">
        <v>61</v>
      </c>
      <c r="R301" s="2" t="s">
        <v>59</v>
      </c>
      <c r="S301" s="2" t="s">
        <v>211</v>
      </c>
      <c r="T301" s="2" t="s">
        <v>67</v>
      </c>
      <c r="U301" s="2" t="s">
        <v>448</v>
      </c>
      <c r="V301" s="2" t="n">
        <v>3</v>
      </c>
      <c r="W301" s="2" t="s">
        <v>462</v>
      </c>
      <c r="X301" s="2" t="s">
        <v>915</v>
      </c>
      <c r="Y301" s="2" t="n">
        <f aca="false">IF(AND(OR(Query_Interface!$B$5="All",$D301=Query_Interface!$B$5),OR(Query_Interface!$B$6="All",$F301=Query_Interface!$B$6),OR(Query_Interface!$B$7="All",$H301=Query_Interface!$B$7),OR(Query_Interface!$B$8="All",$N301=Query_Interface!$B$8),OR(Query_Interface!$B$9="All",$L301=Query_Interface!$B$9),OR(Query_Interface!$B$10="All",$R301=Query_Interface!$B$10),OR(Query_Interface!$B$11="All",$T301=Query_Interface!$B$11),OR(Query_Interface!$B$12="All",$Q301=Query_Interface!$B$12)),1,0)</f>
        <v>1</v>
      </c>
      <c r="Z301" s="2" t="n">
        <f aca="false">IF($Y301=1,COUNTIF($Y$2:$Y301,1),"")</f>
        <v>300</v>
      </c>
    </row>
    <row r="302" customFormat="false" ht="46.25" hidden="false" customHeight="false" outlineLevel="0" collapsed="false">
      <c r="A302" s="2" t="s">
        <v>600</v>
      </c>
      <c r="B302" s="2" t="n">
        <v>237</v>
      </c>
      <c r="C302" s="2" t="s">
        <v>686</v>
      </c>
      <c r="D302" s="2" t="s">
        <v>34</v>
      </c>
      <c r="E302" s="2" t="s">
        <v>873</v>
      </c>
      <c r="F302" s="2" t="s">
        <v>35</v>
      </c>
      <c r="G302" s="2" t="s">
        <v>912</v>
      </c>
      <c r="H302" s="2" t="s">
        <v>56</v>
      </c>
      <c r="I302" s="2" t="s">
        <v>913</v>
      </c>
      <c r="J302" s="2" t="s">
        <v>460</v>
      </c>
      <c r="K302" s="2" t="s">
        <v>914</v>
      </c>
      <c r="L302" s="2" t="s">
        <v>75</v>
      </c>
      <c r="M302" s="2" t="s">
        <v>804</v>
      </c>
      <c r="N302" s="2" t="s">
        <v>147</v>
      </c>
      <c r="O302" s="2" t="n">
        <v>1</v>
      </c>
      <c r="P302" s="2" t="n">
        <v>1</v>
      </c>
      <c r="Q302" s="2" t="s">
        <v>61</v>
      </c>
      <c r="R302" s="2" t="s">
        <v>46</v>
      </c>
      <c r="S302" s="2" t="s">
        <v>230</v>
      </c>
      <c r="T302" s="2" t="s">
        <v>67</v>
      </c>
      <c r="U302" s="2" t="s">
        <v>461</v>
      </c>
      <c r="V302" s="2" t="n">
        <v>2</v>
      </c>
      <c r="W302" s="2" t="s">
        <v>462</v>
      </c>
      <c r="X302" s="2" t="s">
        <v>915</v>
      </c>
      <c r="Y302" s="2" t="n">
        <f aca="false">IF(AND(OR(Query_Interface!$B$5="All",$D302=Query_Interface!$B$5),OR(Query_Interface!$B$6="All",$F302=Query_Interface!$B$6),OR(Query_Interface!$B$7="All",$H302=Query_Interface!$B$7),OR(Query_Interface!$B$8="All",$N302=Query_Interface!$B$8),OR(Query_Interface!$B$9="All",$L302=Query_Interface!$B$9),OR(Query_Interface!$B$10="All",$R302=Query_Interface!$B$10),OR(Query_Interface!$B$11="All",$T302=Query_Interface!$B$11),OR(Query_Interface!$B$12="All",$Q302=Query_Interface!$B$12)),1,0)</f>
        <v>1</v>
      </c>
      <c r="Z302" s="2" t="n">
        <f aca="false">IF($Y302=1,COUNTIF($Y$2:$Y302,1),"")</f>
        <v>301</v>
      </c>
    </row>
    <row r="303" customFormat="false" ht="46.25" hidden="false" customHeight="false" outlineLevel="0" collapsed="false">
      <c r="A303" s="2" t="s">
        <v>601</v>
      </c>
      <c r="B303" s="2" t="n">
        <v>238</v>
      </c>
      <c r="C303" s="2" t="s">
        <v>686</v>
      </c>
      <c r="D303" s="2" t="s">
        <v>34</v>
      </c>
      <c r="E303" s="2" t="s">
        <v>873</v>
      </c>
      <c r="F303" s="2" t="s">
        <v>35</v>
      </c>
      <c r="G303" s="2" t="s">
        <v>912</v>
      </c>
      <c r="H303" s="2" t="s">
        <v>56</v>
      </c>
      <c r="I303" s="2" t="s">
        <v>913</v>
      </c>
      <c r="J303" s="2" t="s">
        <v>479</v>
      </c>
      <c r="K303" s="2" t="s">
        <v>927</v>
      </c>
      <c r="L303" s="2" t="s">
        <v>75</v>
      </c>
      <c r="M303" s="2" t="s">
        <v>700</v>
      </c>
      <c r="N303" s="2" t="s">
        <v>141</v>
      </c>
      <c r="O303" s="2" t="n">
        <v>1</v>
      </c>
      <c r="P303" s="2" t="n">
        <v>1</v>
      </c>
      <c r="Q303" s="2" t="s">
        <v>61</v>
      </c>
      <c r="R303" s="2" t="s">
        <v>39</v>
      </c>
      <c r="S303" s="2" t="s">
        <v>215</v>
      </c>
      <c r="T303" s="2" t="s">
        <v>67</v>
      </c>
      <c r="U303" s="2" t="s">
        <v>461</v>
      </c>
      <c r="V303" s="2" t="n">
        <v>3</v>
      </c>
      <c r="W303" s="2" t="s">
        <v>462</v>
      </c>
      <c r="X303" s="2" t="s">
        <v>915</v>
      </c>
      <c r="Y303" s="2" t="n">
        <f aca="false">IF(AND(OR(Query_Interface!$B$5="All",$D303=Query_Interface!$B$5),OR(Query_Interface!$B$6="All",$F303=Query_Interface!$B$6),OR(Query_Interface!$B$7="All",$H303=Query_Interface!$B$7),OR(Query_Interface!$B$8="All",$N303=Query_Interface!$B$8),OR(Query_Interface!$B$9="All",$L303=Query_Interface!$B$9),OR(Query_Interface!$B$10="All",$R303=Query_Interface!$B$10),OR(Query_Interface!$B$11="All",$T303=Query_Interface!$B$11),OR(Query_Interface!$B$12="All",$Q303=Query_Interface!$B$12)),1,0)</f>
        <v>1</v>
      </c>
      <c r="Z303" s="2" t="n">
        <f aca="false">IF($Y303=1,COUNTIF($Y$2:$Y303,1),"")</f>
        <v>302</v>
      </c>
    </row>
    <row r="304" customFormat="false" ht="46.25" hidden="false" customHeight="false" outlineLevel="0" collapsed="false">
      <c r="A304" s="2" t="s">
        <v>602</v>
      </c>
      <c r="B304" s="2" t="n">
        <v>239</v>
      </c>
      <c r="C304" s="2" t="s">
        <v>686</v>
      </c>
      <c r="D304" s="2" t="s">
        <v>34</v>
      </c>
      <c r="E304" s="2" t="s">
        <v>873</v>
      </c>
      <c r="F304" s="2" t="s">
        <v>35</v>
      </c>
      <c r="G304" s="2" t="s">
        <v>912</v>
      </c>
      <c r="H304" s="2" t="s">
        <v>56</v>
      </c>
      <c r="I304" s="2" t="s">
        <v>913</v>
      </c>
      <c r="J304" s="2" t="s">
        <v>227</v>
      </c>
      <c r="K304" s="2" t="s">
        <v>926</v>
      </c>
      <c r="L304" s="2" t="s">
        <v>75</v>
      </c>
      <c r="M304" s="2" t="s">
        <v>705</v>
      </c>
      <c r="N304" s="2" t="s">
        <v>98</v>
      </c>
      <c r="O304" s="2" t="n">
        <v>1</v>
      </c>
      <c r="P304" s="2" t="n">
        <v>2</v>
      </c>
      <c r="Q304" s="2" t="s">
        <v>41</v>
      </c>
      <c r="R304" s="2" t="s">
        <v>39</v>
      </c>
      <c r="S304" s="2" t="s">
        <v>215</v>
      </c>
      <c r="T304" s="2" t="s">
        <v>67</v>
      </c>
      <c r="U304" s="2" t="s">
        <v>461</v>
      </c>
      <c r="V304" s="2" t="n">
        <v>3</v>
      </c>
      <c r="W304" s="2" t="s">
        <v>462</v>
      </c>
      <c r="X304" s="2" t="s">
        <v>915</v>
      </c>
      <c r="Y304" s="2" t="n">
        <f aca="false">IF(AND(OR(Query_Interface!$B$5="All",$D304=Query_Interface!$B$5),OR(Query_Interface!$B$6="All",$F304=Query_Interface!$B$6),OR(Query_Interface!$B$7="All",$H304=Query_Interface!$B$7),OR(Query_Interface!$B$8="All",$N304=Query_Interface!$B$8),OR(Query_Interface!$B$9="All",$L304=Query_Interface!$B$9),OR(Query_Interface!$B$10="All",$R304=Query_Interface!$B$10),OR(Query_Interface!$B$11="All",$T304=Query_Interface!$B$11),OR(Query_Interface!$B$12="All",$Q304=Query_Interface!$B$12)),1,0)</f>
        <v>1</v>
      </c>
      <c r="Z304" s="2" t="n">
        <f aca="false">IF($Y304=1,COUNTIF($Y$2:$Y304,1),"")</f>
        <v>303</v>
      </c>
    </row>
    <row r="305" customFormat="false" ht="46.25" hidden="false" customHeight="false" outlineLevel="0" collapsed="false">
      <c r="A305" s="2" t="s">
        <v>602</v>
      </c>
      <c r="B305" s="2" t="n">
        <v>239</v>
      </c>
      <c r="C305" s="2" t="s">
        <v>686</v>
      </c>
      <c r="D305" s="2" t="s">
        <v>34</v>
      </c>
      <c r="E305" s="2" t="s">
        <v>873</v>
      </c>
      <c r="F305" s="2" t="s">
        <v>35</v>
      </c>
      <c r="G305" s="2" t="s">
        <v>912</v>
      </c>
      <c r="H305" s="2" t="s">
        <v>56</v>
      </c>
      <c r="I305" s="2" t="s">
        <v>913</v>
      </c>
      <c r="J305" s="2" t="s">
        <v>227</v>
      </c>
      <c r="K305" s="2" t="s">
        <v>926</v>
      </c>
      <c r="L305" s="2" t="s">
        <v>75</v>
      </c>
      <c r="M305" s="2" t="s">
        <v>700</v>
      </c>
      <c r="N305" s="2" t="s">
        <v>141</v>
      </c>
      <c r="O305" s="2" t="n">
        <v>2</v>
      </c>
      <c r="P305" s="2" t="n">
        <v>2</v>
      </c>
      <c r="Q305" s="2" t="s">
        <v>41</v>
      </c>
      <c r="R305" s="2" t="s">
        <v>39</v>
      </c>
      <c r="S305" s="2" t="s">
        <v>215</v>
      </c>
      <c r="T305" s="2" t="s">
        <v>67</v>
      </c>
      <c r="U305" s="2" t="s">
        <v>461</v>
      </c>
      <c r="V305" s="2" t="n">
        <v>3</v>
      </c>
      <c r="W305" s="2" t="s">
        <v>462</v>
      </c>
      <c r="X305" s="2" t="s">
        <v>915</v>
      </c>
      <c r="Y305" s="2" t="n">
        <f aca="false">IF(AND(OR(Query_Interface!$B$5="All",$D305=Query_Interface!$B$5),OR(Query_Interface!$B$6="All",$F305=Query_Interface!$B$6),OR(Query_Interface!$B$7="All",$H305=Query_Interface!$B$7),OR(Query_Interface!$B$8="All",$N305=Query_Interface!$B$8),OR(Query_Interface!$B$9="All",$L305=Query_Interface!$B$9),OR(Query_Interface!$B$10="All",$R305=Query_Interface!$B$10),OR(Query_Interface!$B$11="All",$T305=Query_Interface!$B$11),OR(Query_Interface!$B$12="All",$Q305=Query_Interface!$B$12)),1,0)</f>
        <v>1</v>
      </c>
      <c r="Z305" s="2" t="n">
        <f aca="false">IF($Y305=1,COUNTIF($Y$2:$Y305,1),"")</f>
        <v>304</v>
      </c>
    </row>
    <row r="306" customFormat="false" ht="46.25" hidden="false" customHeight="false" outlineLevel="0" collapsed="false">
      <c r="A306" s="2" t="s">
        <v>603</v>
      </c>
      <c r="B306" s="2" t="n">
        <v>240</v>
      </c>
      <c r="C306" s="2" t="s">
        <v>686</v>
      </c>
      <c r="D306" s="2" t="s">
        <v>34</v>
      </c>
      <c r="E306" s="2" t="s">
        <v>873</v>
      </c>
      <c r="F306" s="2" t="s">
        <v>35</v>
      </c>
      <c r="G306" s="2" t="s">
        <v>912</v>
      </c>
      <c r="H306" s="2" t="s">
        <v>56</v>
      </c>
      <c r="I306" s="2" t="s">
        <v>913</v>
      </c>
      <c r="J306" s="2" t="s">
        <v>465</v>
      </c>
      <c r="K306" s="2" t="s">
        <v>917</v>
      </c>
      <c r="L306" s="2" t="s">
        <v>75</v>
      </c>
      <c r="M306" s="2" t="s">
        <v>806</v>
      </c>
      <c r="N306" s="2" t="s">
        <v>145</v>
      </c>
      <c r="O306" s="2" t="n">
        <v>1</v>
      </c>
      <c r="P306" s="2" t="n">
        <v>1</v>
      </c>
      <c r="Q306" s="2" t="s">
        <v>61</v>
      </c>
      <c r="R306" s="2" t="s">
        <v>53</v>
      </c>
      <c r="S306" s="2" t="s">
        <v>233</v>
      </c>
      <c r="T306" s="2" t="s">
        <v>67</v>
      </c>
      <c r="U306" s="2" t="s">
        <v>461</v>
      </c>
      <c r="V306" s="2" t="n">
        <v>2</v>
      </c>
      <c r="W306" s="2" t="s">
        <v>462</v>
      </c>
      <c r="X306" s="2" t="s">
        <v>915</v>
      </c>
      <c r="Y306" s="2" t="n">
        <f aca="false">IF(AND(OR(Query_Interface!$B$5="All",$D306=Query_Interface!$B$5),OR(Query_Interface!$B$6="All",$F306=Query_Interface!$B$6),OR(Query_Interface!$B$7="All",$H306=Query_Interface!$B$7),OR(Query_Interface!$B$8="All",$N306=Query_Interface!$B$8),OR(Query_Interface!$B$9="All",$L306=Query_Interface!$B$9),OR(Query_Interface!$B$10="All",$R306=Query_Interface!$B$10),OR(Query_Interface!$B$11="All",$T306=Query_Interface!$B$11),OR(Query_Interface!$B$12="All",$Q306=Query_Interface!$B$12)),1,0)</f>
        <v>1</v>
      </c>
      <c r="Z306" s="2" t="n">
        <f aca="false">IF($Y306=1,COUNTIF($Y$2:$Y306,1),"")</f>
        <v>305</v>
      </c>
    </row>
    <row r="307" customFormat="false" ht="46.25" hidden="false" customHeight="false" outlineLevel="0" collapsed="false">
      <c r="A307" s="2" t="s">
        <v>604</v>
      </c>
      <c r="B307" s="2" t="n">
        <v>241</v>
      </c>
      <c r="C307" s="2" t="s">
        <v>686</v>
      </c>
      <c r="D307" s="2" t="s">
        <v>34</v>
      </c>
      <c r="E307" s="2" t="s">
        <v>873</v>
      </c>
      <c r="F307" s="2" t="s">
        <v>35</v>
      </c>
      <c r="G307" s="2" t="s">
        <v>912</v>
      </c>
      <c r="H307" s="2" t="s">
        <v>56</v>
      </c>
      <c r="I307" s="2" t="s">
        <v>913</v>
      </c>
      <c r="J307" s="2" t="s">
        <v>342</v>
      </c>
      <c r="K307" s="2" t="s">
        <v>922</v>
      </c>
      <c r="L307" s="2" t="s">
        <v>66</v>
      </c>
      <c r="M307" s="2" t="s">
        <v>705</v>
      </c>
      <c r="N307" s="2" t="s">
        <v>98</v>
      </c>
      <c r="O307" s="2" t="n">
        <v>1</v>
      </c>
      <c r="P307" s="2" t="n">
        <v>1</v>
      </c>
      <c r="Q307" s="2" t="s">
        <v>61</v>
      </c>
      <c r="R307" s="2" t="s">
        <v>39</v>
      </c>
      <c r="S307" s="2" t="s">
        <v>215</v>
      </c>
      <c r="T307" s="2" t="s">
        <v>67</v>
      </c>
      <c r="U307" s="2" t="s">
        <v>461</v>
      </c>
      <c r="V307" s="2" t="n">
        <v>3</v>
      </c>
      <c r="W307" s="2" t="s">
        <v>462</v>
      </c>
      <c r="X307" s="2" t="s">
        <v>915</v>
      </c>
      <c r="Y307" s="2" t="n">
        <f aca="false">IF(AND(OR(Query_Interface!$B$5="All",$D307=Query_Interface!$B$5),OR(Query_Interface!$B$6="All",$F307=Query_Interface!$B$6),OR(Query_Interface!$B$7="All",$H307=Query_Interface!$B$7),OR(Query_Interface!$B$8="All",$N307=Query_Interface!$B$8),OR(Query_Interface!$B$9="All",$L307=Query_Interface!$B$9),OR(Query_Interface!$B$10="All",$R307=Query_Interface!$B$10),OR(Query_Interface!$B$11="All",$T307=Query_Interface!$B$11),OR(Query_Interface!$B$12="All",$Q307=Query_Interface!$B$12)),1,0)</f>
        <v>1</v>
      </c>
      <c r="Z307" s="2" t="n">
        <f aca="false">IF($Y307=1,COUNTIF($Y$2:$Y307,1),"")</f>
        <v>306</v>
      </c>
    </row>
    <row r="308" customFormat="false" ht="46.25" hidden="false" customHeight="false" outlineLevel="0" collapsed="false">
      <c r="A308" s="2" t="s">
        <v>605</v>
      </c>
      <c r="B308" s="2" t="n">
        <v>242</v>
      </c>
      <c r="C308" s="2" t="s">
        <v>686</v>
      </c>
      <c r="D308" s="2" t="s">
        <v>34</v>
      </c>
      <c r="E308" s="2" t="s">
        <v>873</v>
      </c>
      <c r="F308" s="2" t="s">
        <v>35</v>
      </c>
      <c r="G308" s="2" t="s">
        <v>912</v>
      </c>
      <c r="H308" s="2" t="s">
        <v>56</v>
      </c>
      <c r="I308" s="2" t="s">
        <v>913</v>
      </c>
      <c r="J308" s="2" t="s">
        <v>526</v>
      </c>
      <c r="K308" s="2" t="s">
        <v>961</v>
      </c>
      <c r="L308" s="2" t="s">
        <v>66</v>
      </c>
      <c r="M308" s="2" t="s">
        <v>800</v>
      </c>
      <c r="N308" s="2" t="s">
        <v>102</v>
      </c>
      <c r="O308" s="2" t="n">
        <v>1</v>
      </c>
      <c r="P308" s="2" t="n">
        <v>1</v>
      </c>
      <c r="Q308" s="2" t="s">
        <v>61</v>
      </c>
      <c r="R308" s="2" t="s">
        <v>53</v>
      </c>
      <c r="S308" s="2" t="s">
        <v>233</v>
      </c>
      <c r="T308" s="2" t="s">
        <v>67</v>
      </c>
      <c r="U308" s="2" t="s">
        <v>448</v>
      </c>
      <c r="V308" s="2" t="n">
        <v>4</v>
      </c>
      <c r="W308" s="2" t="s">
        <v>462</v>
      </c>
      <c r="X308" s="2" t="s">
        <v>915</v>
      </c>
      <c r="Y308" s="2" t="n">
        <f aca="false">IF(AND(OR(Query_Interface!$B$5="All",$D308=Query_Interface!$B$5),OR(Query_Interface!$B$6="All",$F308=Query_Interface!$B$6),OR(Query_Interface!$B$7="All",$H308=Query_Interface!$B$7),OR(Query_Interface!$B$8="All",$N308=Query_Interface!$B$8),OR(Query_Interface!$B$9="All",$L308=Query_Interface!$B$9),OR(Query_Interface!$B$10="All",$R308=Query_Interface!$B$10),OR(Query_Interface!$B$11="All",$T308=Query_Interface!$B$11),OR(Query_Interface!$B$12="All",$Q308=Query_Interface!$B$12)),1,0)</f>
        <v>1</v>
      </c>
      <c r="Z308" s="2" t="n">
        <f aca="false">IF($Y308=1,COUNTIF($Y$2:$Y308,1),"")</f>
        <v>307</v>
      </c>
    </row>
    <row r="309" customFormat="false" ht="46.25" hidden="false" customHeight="false" outlineLevel="0" collapsed="false">
      <c r="A309" s="2" t="s">
        <v>606</v>
      </c>
      <c r="B309" s="2" t="n">
        <v>243</v>
      </c>
      <c r="C309" s="2" t="s">
        <v>686</v>
      </c>
      <c r="D309" s="2" t="s">
        <v>34</v>
      </c>
      <c r="E309" s="2" t="s">
        <v>873</v>
      </c>
      <c r="F309" s="2" t="s">
        <v>35</v>
      </c>
      <c r="G309" s="2" t="s">
        <v>912</v>
      </c>
      <c r="H309" s="2" t="s">
        <v>56</v>
      </c>
      <c r="I309" s="2" t="s">
        <v>913</v>
      </c>
      <c r="J309" s="2" t="s">
        <v>476</v>
      </c>
      <c r="K309" s="2" t="s">
        <v>925</v>
      </c>
      <c r="L309" s="2" t="s">
        <v>69</v>
      </c>
      <c r="M309" s="2" t="s">
        <v>702</v>
      </c>
      <c r="N309" s="2" t="s">
        <v>106</v>
      </c>
      <c r="O309" s="2" t="n">
        <v>1</v>
      </c>
      <c r="P309" s="2" t="n">
        <v>1</v>
      </c>
      <c r="Q309" s="2" t="s">
        <v>61</v>
      </c>
      <c r="R309" s="2" t="s">
        <v>39</v>
      </c>
      <c r="S309" s="2" t="s">
        <v>215</v>
      </c>
      <c r="T309" s="2" t="s">
        <v>67</v>
      </c>
      <c r="U309" s="2" t="s">
        <v>461</v>
      </c>
      <c r="V309" s="2" t="n">
        <v>3</v>
      </c>
      <c r="W309" s="2" t="s">
        <v>462</v>
      </c>
      <c r="X309" s="2" t="s">
        <v>915</v>
      </c>
      <c r="Y309" s="2" t="n">
        <f aca="false">IF(AND(OR(Query_Interface!$B$5="All",$D309=Query_Interface!$B$5),OR(Query_Interface!$B$6="All",$F309=Query_Interface!$B$6),OR(Query_Interface!$B$7="All",$H309=Query_Interface!$B$7),OR(Query_Interface!$B$8="All",$N309=Query_Interface!$B$8),OR(Query_Interface!$B$9="All",$L309=Query_Interface!$B$9),OR(Query_Interface!$B$10="All",$R309=Query_Interface!$B$10),OR(Query_Interface!$B$11="All",$T309=Query_Interface!$B$11),OR(Query_Interface!$B$12="All",$Q309=Query_Interface!$B$12)),1,0)</f>
        <v>1</v>
      </c>
      <c r="Z309" s="2" t="n">
        <f aca="false">IF($Y309=1,COUNTIF($Y$2:$Y309,1),"")</f>
        <v>308</v>
      </c>
    </row>
    <row r="310" customFormat="false" ht="46.25" hidden="false" customHeight="false" outlineLevel="0" collapsed="false">
      <c r="A310" s="2" t="s">
        <v>607</v>
      </c>
      <c r="B310" s="2" t="n">
        <v>244</v>
      </c>
      <c r="C310" s="2" t="s">
        <v>686</v>
      </c>
      <c r="D310" s="2" t="s">
        <v>34</v>
      </c>
      <c r="E310" s="2" t="s">
        <v>873</v>
      </c>
      <c r="F310" s="2" t="s">
        <v>35</v>
      </c>
      <c r="G310" s="2" t="s">
        <v>912</v>
      </c>
      <c r="H310" s="2" t="s">
        <v>56</v>
      </c>
      <c r="I310" s="2" t="s">
        <v>913</v>
      </c>
      <c r="J310" s="2" t="s">
        <v>608</v>
      </c>
      <c r="K310" s="2" t="s">
        <v>997</v>
      </c>
      <c r="L310" s="2" t="s">
        <v>45</v>
      </c>
      <c r="M310" s="2" t="s">
        <v>722</v>
      </c>
      <c r="N310" s="2" t="s">
        <v>72</v>
      </c>
      <c r="O310" s="2" t="n">
        <v>1</v>
      </c>
      <c r="P310" s="2" t="n">
        <v>3</v>
      </c>
      <c r="Q310" s="2" t="s">
        <v>41</v>
      </c>
      <c r="R310" s="2" t="s">
        <v>39</v>
      </c>
      <c r="S310" s="2" t="s">
        <v>215</v>
      </c>
      <c r="T310" s="2" t="s">
        <v>67</v>
      </c>
      <c r="U310" s="2" t="s">
        <v>461</v>
      </c>
      <c r="V310" s="2" t="n">
        <v>2</v>
      </c>
      <c r="W310" s="2" t="s">
        <v>462</v>
      </c>
      <c r="X310" s="2" t="s">
        <v>915</v>
      </c>
      <c r="Y310" s="2" t="n">
        <f aca="false">IF(AND(OR(Query_Interface!$B$5="All",$D310=Query_Interface!$B$5),OR(Query_Interface!$B$6="All",$F310=Query_Interface!$B$6),OR(Query_Interface!$B$7="All",$H310=Query_Interface!$B$7),OR(Query_Interface!$B$8="All",$N310=Query_Interface!$B$8),OR(Query_Interface!$B$9="All",$L310=Query_Interface!$B$9),OR(Query_Interface!$B$10="All",$R310=Query_Interface!$B$10),OR(Query_Interface!$B$11="All",$T310=Query_Interface!$B$11),OR(Query_Interface!$B$12="All",$Q310=Query_Interface!$B$12)),1,0)</f>
        <v>1</v>
      </c>
      <c r="Z310" s="2" t="n">
        <f aca="false">IF($Y310=1,COUNTIF($Y$2:$Y310,1),"")</f>
        <v>309</v>
      </c>
    </row>
    <row r="311" customFormat="false" ht="46.25" hidden="false" customHeight="false" outlineLevel="0" collapsed="false">
      <c r="A311" s="2" t="s">
        <v>607</v>
      </c>
      <c r="B311" s="2" t="n">
        <v>244</v>
      </c>
      <c r="C311" s="2" t="s">
        <v>686</v>
      </c>
      <c r="D311" s="2" t="s">
        <v>34</v>
      </c>
      <c r="E311" s="2" t="s">
        <v>873</v>
      </c>
      <c r="F311" s="2" t="s">
        <v>35</v>
      </c>
      <c r="G311" s="2" t="s">
        <v>912</v>
      </c>
      <c r="H311" s="2" t="s">
        <v>56</v>
      </c>
      <c r="I311" s="2" t="s">
        <v>913</v>
      </c>
      <c r="J311" s="2" t="s">
        <v>608</v>
      </c>
      <c r="K311" s="2" t="s">
        <v>997</v>
      </c>
      <c r="L311" s="2" t="s">
        <v>45</v>
      </c>
      <c r="M311" s="2" t="s">
        <v>795</v>
      </c>
      <c r="N311" s="2" t="s">
        <v>97</v>
      </c>
      <c r="O311" s="2" t="n">
        <v>2</v>
      </c>
      <c r="P311" s="2" t="n">
        <v>3</v>
      </c>
      <c r="Q311" s="2" t="s">
        <v>41</v>
      </c>
      <c r="R311" s="2" t="s">
        <v>39</v>
      </c>
      <c r="S311" s="2" t="s">
        <v>215</v>
      </c>
      <c r="T311" s="2" t="s">
        <v>67</v>
      </c>
      <c r="U311" s="2" t="s">
        <v>461</v>
      </c>
      <c r="V311" s="2" t="n">
        <v>2</v>
      </c>
      <c r="W311" s="2" t="s">
        <v>462</v>
      </c>
      <c r="X311" s="2" t="s">
        <v>915</v>
      </c>
      <c r="Y311" s="2" t="n">
        <f aca="false">IF(AND(OR(Query_Interface!$B$5="All",$D311=Query_Interface!$B$5),OR(Query_Interface!$B$6="All",$F311=Query_Interface!$B$6),OR(Query_Interface!$B$7="All",$H311=Query_Interface!$B$7),OR(Query_Interface!$B$8="All",$N311=Query_Interface!$B$8),OR(Query_Interface!$B$9="All",$L311=Query_Interface!$B$9),OR(Query_Interface!$B$10="All",$R311=Query_Interface!$B$10),OR(Query_Interface!$B$11="All",$T311=Query_Interface!$B$11),OR(Query_Interface!$B$12="All",$Q311=Query_Interface!$B$12)),1,0)</f>
        <v>1</v>
      </c>
      <c r="Z311" s="2" t="n">
        <f aca="false">IF($Y311=1,COUNTIF($Y$2:$Y311,1),"")</f>
        <v>310</v>
      </c>
    </row>
    <row r="312" customFormat="false" ht="46.25" hidden="false" customHeight="false" outlineLevel="0" collapsed="false">
      <c r="A312" s="2" t="s">
        <v>607</v>
      </c>
      <c r="B312" s="2" t="n">
        <v>244</v>
      </c>
      <c r="C312" s="2" t="s">
        <v>686</v>
      </c>
      <c r="D312" s="2" t="s">
        <v>34</v>
      </c>
      <c r="E312" s="2" t="s">
        <v>873</v>
      </c>
      <c r="F312" s="2" t="s">
        <v>35</v>
      </c>
      <c r="G312" s="2" t="s">
        <v>912</v>
      </c>
      <c r="H312" s="2" t="s">
        <v>56</v>
      </c>
      <c r="I312" s="2" t="s">
        <v>913</v>
      </c>
      <c r="J312" s="2" t="s">
        <v>608</v>
      </c>
      <c r="K312" s="2" t="s">
        <v>997</v>
      </c>
      <c r="L312" s="2" t="s">
        <v>45</v>
      </c>
      <c r="M312" s="2" t="s">
        <v>744</v>
      </c>
      <c r="N312" s="2" t="s">
        <v>131</v>
      </c>
      <c r="O312" s="2" t="n">
        <v>3</v>
      </c>
      <c r="P312" s="2" t="n">
        <v>3</v>
      </c>
      <c r="Q312" s="2" t="s">
        <v>41</v>
      </c>
      <c r="R312" s="2" t="s">
        <v>39</v>
      </c>
      <c r="S312" s="2" t="s">
        <v>215</v>
      </c>
      <c r="T312" s="2" t="s">
        <v>67</v>
      </c>
      <c r="U312" s="2" t="s">
        <v>461</v>
      </c>
      <c r="V312" s="2" t="n">
        <v>2</v>
      </c>
      <c r="W312" s="2" t="s">
        <v>462</v>
      </c>
      <c r="X312" s="2" t="s">
        <v>915</v>
      </c>
      <c r="Y312" s="2" t="n">
        <f aca="false">IF(AND(OR(Query_Interface!$B$5="All",$D312=Query_Interface!$B$5),OR(Query_Interface!$B$6="All",$F312=Query_Interface!$B$6),OR(Query_Interface!$B$7="All",$H312=Query_Interface!$B$7),OR(Query_Interface!$B$8="All",$N312=Query_Interface!$B$8),OR(Query_Interface!$B$9="All",$L312=Query_Interface!$B$9),OR(Query_Interface!$B$10="All",$R312=Query_Interface!$B$10),OR(Query_Interface!$B$11="All",$T312=Query_Interface!$B$11),OR(Query_Interface!$B$12="All",$Q312=Query_Interface!$B$12)),1,0)</f>
        <v>1</v>
      </c>
      <c r="Z312" s="2" t="n">
        <f aca="false">IF($Y312=1,COUNTIF($Y$2:$Y312,1),"")</f>
        <v>311</v>
      </c>
    </row>
    <row r="313" customFormat="false" ht="46.25" hidden="false" customHeight="false" outlineLevel="0" collapsed="false">
      <c r="A313" s="2" t="s">
        <v>609</v>
      </c>
      <c r="B313" s="2" t="n">
        <v>245</v>
      </c>
      <c r="C313" s="2" t="s">
        <v>686</v>
      </c>
      <c r="D313" s="2" t="s">
        <v>34</v>
      </c>
      <c r="E313" s="2" t="s">
        <v>873</v>
      </c>
      <c r="F313" s="2" t="s">
        <v>35</v>
      </c>
      <c r="G313" s="2" t="s">
        <v>912</v>
      </c>
      <c r="H313" s="2" t="s">
        <v>56</v>
      </c>
      <c r="I313" s="2" t="s">
        <v>913</v>
      </c>
      <c r="J313" s="2" t="s">
        <v>243</v>
      </c>
      <c r="K313" s="2" t="s">
        <v>936</v>
      </c>
      <c r="L313" s="2" t="s">
        <v>45</v>
      </c>
      <c r="M313" s="2" t="s">
        <v>715</v>
      </c>
      <c r="N313" s="2" t="s">
        <v>96</v>
      </c>
      <c r="O313" s="2" t="n">
        <v>1</v>
      </c>
      <c r="P313" s="2" t="n">
        <v>1</v>
      </c>
      <c r="Q313" s="2" t="s">
        <v>61</v>
      </c>
      <c r="R313" s="2" t="s">
        <v>39</v>
      </c>
      <c r="S313" s="2" t="s">
        <v>215</v>
      </c>
      <c r="T313" s="2" t="s">
        <v>64</v>
      </c>
      <c r="U313" s="2" t="s">
        <v>461</v>
      </c>
      <c r="V313" s="2" t="n">
        <v>4</v>
      </c>
      <c r="W313" s="2" t="s">
        <v>462</v>
      </c>
      <c r="X313" s="2" t="s">
        <v>915</v>
      </c>
      <c r="Y313" s="2" t="n">
        <f aca="false">IF(AND(OR(Query_Interface!$B$5="All",$D313=Query_Interface!$B$5),OR(Query_Interface!$B$6="All",$F313=Query_Interface!$B$6),OR(Query_Interface!$B$7="All",$H313=Query_Interface!$B$7),OR(Query_Interface!$B$8="All",$N313=Query_Interface!$B$8),OR(Query_Interface!$B$9="All",$L313=Query_Interface!$B$9),OR(Query_Interface!$B$10="All",$R313=Query_Interface!$B$10),OR(Query_Interface!$B$11="All",$T313=Query_Interface!$B$11),OR(Query_Interface!$B$12="All",$Q313=Query_Interface!$B$12)),1,0)</f>
        <v>1</v>
      </c>
      <c r="Z313" s="2" t="n">
        <f aca="false">IF($Y313=1,COUNTIF($Y$2:$Y313,1),"")</f>
        <v>312</v>
      </c>
    </row>
    <row r="314" customFormat="false" ht="46.25" hidden="false" customHeight="false" outlineLevel="0" collapsed="false">
      <c r="A314" s="2" t="s">
        <v>610</v>
      </c>
      <c r="B314" s="2" t="n">
        <v>246</v>
      </c>
      <c r="C314" s="2" t="s">
        <v>686</v>
      </c>
      <c r="D314" s="2" t="s">
        <v>34</v>
      </c>
      <c r="E314" s="2" t="s">
        <v>873</v>
      </c>
      <c r="F314" s="2" t="s">
        <v>35</v>
      </c>
      <c r="G314" s="2" t="s">
        <v>912</v>
      </c>
      <c r="H314" s="2" t="s">
        <v>56</v>
      </c>
      <c r="I314" s="2" t="s">
        <v>913</v>
      </c>
      <c r="J314" s="2" t="s">
        <v>241</v>
      </c>
      <c r="K314" s="2" t="s">
        <v>998</v>
      </c>
      <c r="L314" s="2" t="s">
        <v>45</v>
      </c>
      <c r="M314" s="2" t="s">
        <v>717</v>
      </c>
      <c r="N314" s="2" t="s">
        <v>76</v>
      </c>
      <c r="O314" s="2" t="n">
        <v>1</v>
      </c>
      <c r="P314" s="2" t="n">
        <v>1</v>
      </c>
      <c r="Q314" s="2" t="s">
        <v>61</v>
      </c>
      <c r="R314" s="2" t="s">
        <v>39</v>
      </c>
      <c r="S314" s="2" t="s">
        <v>215</v>
      </c>
      <c r="T314" s="2" t="s">
        <v>64</v>
      </c>
      <c r="U314" s="2" t="s">
        <v>461</v>
      </c>
      <c r="V314" s="2" t="n">
        <v>5</v>
      </c>
      <c r="W314" s="2" t="s">
        <v>462</v>
      </c>
      <c r="X314" s="2" t="s">
        <v>915</v>
      </c>
      <c r="Y314" s="2" t="n">
        <f aca="false">IF(AND(OR(Query_Interface!$B$5="All",$D314=Query_Interface!$B$5),OR(Query_Interface!$B$6="All",$F314=Query_Interface!$B$6),OR(Query_Interface!$B$7="All",$H314=Query_Interface!$B$7),OR(Query_Interface!$B$8="All",$N314=Query_Interface!$B$8),OR(Query_Interface!$B$9="All",$L314=Query_Interface!$B$9),OR(Query_Interface!$B$10="All",$R314=Query_Interface!$B$10),OR(Query_Interface!$B$11="All",$T314=Query_Interface!$B$11),OR(Query_Interface!$B$12="All",$Q314=Query_Interface!$B$12)),1,0)</f>
        <v>1</v>
      </c>
      <c r="Z314" s="2" t="n">
        <f aca="false">IF($Y314=1,COUNTIF($Y$2:$Y314,1),"")</f>
        <v>313</v>
      </c>
    </row>
    <row r="315" customFormat="false" ht="46.25" hidden="false" customHeight="false" outlineLevel="0" collapsed="false">
      <c r="A315" s="2" t="s">
        <v>611</v>
      </c>
      <c r="B315" s="2" t="n">
        <v>247</v>
      </c>
      <c r="C315" s="2" t="s">
        <v>686</v>
      </c>
      <c r="D315" s="2" t="s">
        <v>34</v>
      </c>
      <c r="E315" s="2" t="s">
        <v>873</v>
      </c>
      <c r="F315" s="2" t="s">
        <v>35</v>
      </c>
      <c r="G315" s="2" t="s">
        <v>912</v>
      </c>
      <c r="H315" s="2" t="s">
        <v>56</v>
      </c>
      <c r="I315" s="2" t="s">
        <v>913</v>
      </c>
      <c r="J315" s="2" t="s">
        <v>532</v>
      </c>
      <c r="K315" s="2" t="s">
        <v>964</v>
      </c>
      <c r="L315" s="2" t="s">
        <v>45</v>
      </c>
      <c r="M315" s="2" t="s">
        <v>965</v>
      </c>
      <c r="N315" s="2" t="s">
        <v>65</v>
      </c>
      <c r="O315" s="2" t="n">
        <v>1</v>
      </c>
      <c r="P315" s="2" t="n">
        <v>1</v>
      </c>
      <c r="Q315" s="2" t="s">
        <v>61</v>
      </c>
      <c r="R315" s="2" t="s">
        <v>59</v>
      </c>
      <c r="S315" s="2" t="s">
        <v>211</v>
      </c>
      <c r="T315" s="2" t="s">
        <v>67</v>
      </c>
      <c r="U315" s="2" t="s">
        <v>448</v>
      </c>
      <c r="V315" s="2" t="n">
        <v>3</v>
      </c>
      <c r="W315" s="2" t="s">
        <v>462</v>
      </c>
      <c r="X315" s="2" t="s">
        <v>915</v>
      </c>
      <c r="Y315" s="2" t="n">
        <f aca="false">IF(AND(OR(Query_Interface!$B$5="All",$D315=Query_Interface!$B$5),OR(Query_Interface!$B$6="All",$F315=Query_Interface!$B$6),OR(Query_Interface!$B$7="All",$H315=Query_Interface!$B$7),OR(Query_Interface!$B$8="All",$N315=Query_Interface!$B$8),OR(Query_Interface!$B$9="All",$L315=Query_Interface!$B$9),OR(Query_Interface!$B$10="All",$R315=Query_Interface!$B$10),OR(Query_Interface!$B$11="All",$T315=Query_Interface!$B$11),OR(Query_Interface!$B$12="All",$Q315=Query_Interface!$B$12)),1,0)</f>
        <v>1</v>
      </c>
      <c r="Z315" s="2" t="n">
        <f aca="false">IF($Y315=1,COUNTIF($Y$2:$Y315,1),"")</f>
        <v>314</v>
      </c>
    </row>
    <row r="316" customFormat="false" ht="46.25" hidden="false" customHeight="false" outlineLevel="0" collapsed="false">
      <c r="A316" s="2" t="s">
        <v>612</v>
      </c>
      <c r="B316" s="2" t="n">
        <v>248</v>
      </c>
      <c r="C316" s="2" t="s">
        <v>686</v>
      </c>
      <c r="D316" s="2" t="s">
        <v>34</v>
      </c>
      <c r="E316" s="2" t="s">
        <v>873</v>
      </c>
      <c r="F316" s="2" t="s">
        <v>35</v>
      </c>
      <c r="G316" s="2" t="s">
        <v>912</v>
      </c>
      <c r="H316" s="2" t="s">
        <v>56</v>
      </c>
      <c r="I316" s="2" t="s">
        <v>913</v>
      </c>
      <c r="J316" s="2" t="s">
        <v>530</v>
      </c>
      <c r="K316" s="2" t="s">
        <v>999</v>
      </c>
      <c r="L316" s="2" t="s">
        <v>45</v>
      </c>
      <c r="M316" s="2" t="s">
        <v>795</v>
      </c>
      <c r="N316" s="2" t="s">
        <v>97</v>
      </c>
      <c r="O316" s="2" t="n">
        <v>1</v>
      </c>
      <c r="P316" s="2" t="n">
        <v>1</v>
      </c>
      <c r="Q316" s="2" t="s">
        <v>61</v>
      </c>
      <c r="R316" s="2" t="s">
        <v>59</v>
      </c>
      <c r="S316" s="2" t="s">
        <v>211</v>
      </c>
      <c r="T316" s="2" t="s">
        <v>67</v>
      </c>
      <c r="U316" s="2" t="s">
        <v>461</v>
      </c>
      <c r="V316" s="2" t="n">
        <v>2</v>
      </c>
      <c r="W316" s="2" t="s">
        <v>462</v>
      </c>
      <c r="X316" s="2" t="s">
        <v>915</v>
      </c>
      <c r="Y316" s="2" t="n">
        <f aca="false">IF(AND(OR(Query_Interface!$B$5="All",$D316=Query_Interface!$B$5),OR(Query_Interface!$B$6="All",$F316=Query_Interface!$B$6),OR(Query_Interface!$B$7="All",$H316=Query_Interface!$B$7),OR(Query_Interface!$B$8="All",$N316=Query_Interface!$B$8),OR(Query_Interface!$B$9="All",$L316=Query_Interface!$B$9),OR(Query_Interface!$B$10="All",$R316=Query_Interface!$B$10),OR(Query_Interface!$B$11="All",$T316=Query_Interface!$B$11),OR(Query_Interface!$B$12="All",$Q316=Query_Interface!$B$12)),1,0)</f>
        <v>1</v>
      </c>
      <c r="Z316" s="2" t="n">
        <f aca="false">IF($Y316=1,COUNTIF($Y$2:$Y316,1),"")</f>
        <v>315</v>
      </c>
    </row>
    <row r="317" customFormat="false" ht="46.25" hidden="false" customHeight="false" outlineLevel="0" collapsed="false">
      <c r="A317" s="2" t="s">
        <v>613</v>
      </c>
      <c r="B317" s="2" t="n">
        <v>249</v>
      </c>
      <c r="C317" s="2" t="s">
        <v>686</v>
      </c>
      <c r="D317" s="2" t="s">
        <v>34</v>
      </c>
      <c r="E317" s="2" t="s">
        <v>873</v>
      </c>
      <c r="F317" s="2" t="s">
        <v>35</v>
      </c>
      <c r="G317" s="2" t="s">
        <v>912</v>
      </c>
      <c r="H317" s="2" t="s">
        <v>56</v>
      </c>
      <c r="I317" s="2" t="s">
        <v>913</v>
      </c>
      <c r="J317" s="2" t="s">
        <v>528</v>
      </c>
      <c r="K317" s="2" t="s">
        <v>1000</v>
      </c>
      <c r="L317" s="2" t="s">
        <v>75</v>
      </c>
      <c r="M317" s="2" t="s">
        <v>792</v>
      </c>
      <c r="N317" s="2" t="s">
        <v>95</v>
      </c>
      <c r="O317" s="2" t="n">
        <v>1</v>
      </c>
      <c r="P317" s="2" t="n">
        <v>1</v>
      </c>
      <c r="Q317" s="2" t="s">
        <v>61</v>
      </c>
      <c r="R317" s="2" t="s">
        <v>59</v>
      </c>
      <c r="S317" s="2" t="s">
        <v>211</v>
      </c>
      <c r="T317" s="2" t="s">
        <v>67</v>
      </c>
      <c r="U317" s="2" t="s">
        <v>461</v>
      </c>
      <c r="V317" s="2" t="n">
        <v>2</v>
      </c>
      <c r="W317" s="2" t="s">
        <v>462</v>
      </c>
      <c r="X317" s="2" t="s">
        <v>915</v>
      </c>
      <c r="Y317" s="2" t="n">
        <f aca="false">IF(AND(OR(Query_Interface!$B$5="All",$D317=Query_Interface!$B$5),OR(Query_Interface!$B$6="All",$F317=Query_Interface!$B$6),OR(Query_Interface!$B$7="All",$H317=Query_Interface!$B$7),OR(Query_Interface!$B$8="All",$N317=Query_Interface!$B$8),OR(Query_Interface!$B$9="All",$L317=Query_Interface!$B$9),OR(Query_Interface!$B$10="All",$R317=Query_Interface!$B$10),OR(Query_Interface!$B$11="All",$T317=Query_Interface!$B$11),OR(Query_Interface!$B$12="All",$Q317=Query_Interface!$B$12)),1,0)</f>
        <v>1</v>
      </c>
      <c r="Z317" s="2" t="n">
        <f aca="false">IF($Y317=1,COUNTIF($Y$2:$Y317,1),"")</f>
        <v>316</v>
      </c>
    </row>
    <row r="318" customFormat="false" ht="46.25" hidden="false" customHeight="false" outlineLevel="0" collapsed="false">
      <c r="A318" s="2" t="s">
        <v>614</v>
      </c>
      <c r="B318" s="2" t="n">
        <v>250</v>
      </c>
      <c r="C318" s="2" t="s">
        <v>686</v>
      </c>
      <c r="D318" s="2" t="s">
        <v>34</v>
      </c>
      <c r="E318" s="2" t="s">
        <v>873</v>
      </c>
      <c r="F318" s="2" t="s">
        <v>35</v>
      </c>
      <c r="G318" s="2" t="s">
        <v>912</v>
      </c>
      <c r="H318" s="2" t="s">
        <v>56</v>
      </c>
      <c r="I318" s="2" t="s">
        <v>913</v>
      </c>
      <c r="J318" s="2" t="s">
        <v>239</v>
      </c>
      <c r="K318" s="2" t="s">
        <v>934</v>
      </c>
      <c r="L318" s="2" t="s">
        <v>45</v>
      </c>
      <c r="M318" s="2" t="s">
        <v>715</v>
      </c>
      <c r="N318" s="2" t="s">
        <v>96</v>
      </c>
      <c r="O318" s="2" t="n">
        <v>1</v>
      </c>
      <c r="P318" s="2" t="n">
        <v>1</v>
      </c>
      <c r="Q318" s="2" t="s">
        <v>61</v>
      </c>
      <c r="R318" s="2" t="s">
        <v>39</v>
      </c>
      <c r="S318" s="2" t="s">
        <v>215</v>
      </c>
      <c r="T318" s="2" t="s">
        <v>64</v>
      </c>
      <c r="U318" s="2" t="s">
        <v>461</v>
      </c>
      <c r="V318" s="2" t="n">
        <v>4</v>
      </c>
      <c r="W318" s="2" t="s">
        <v>462</v>
      </c>
      <c r="X318" s="2" t="s">
        <v>915</v>
      </c>
      <c r="Y318" s="2" t="n">
        <f aca="false">IF(AND(OR(Query_Interface!$B$5="All",$D318=Query_Interface!$B$5),OR(Query_Interface!$B$6="All",$F318=Query_Interface!$B$6),OR(Query_Interface!$B$7="All",$H318=Query_Interface!$B$7),OR(Query_Interface!$B$8="All",$N318=Query_Interface!$B$8),OR(Query_Interface!$B$9="All",$L318=Query_Interface!$B$9),OR(Query_Interface!$B$10="All",$R318=Query_Interface!$B$10),OR(Query_Interface!$B$11="All",$T318=Query_Interface!$B$11),OR(Query_Interface!$B$12="All",$Q318=Query_Interface!$B$12)),1,0)</f>
        <v>1</v>
      </c>
      <c r="Z318" s="2" t="n">
        <f aca="false">IF($Y318=1,COUNTIF($Y$2:$Y318,1),"")</f>
        <v>317</v>
      </c>
    </row>
    <row r="319" customFormat="false" ht="46.25" hidden="false" customHeight="false" outlineLevel="0" collapsed="false">
      <c r="A319" s="2" t="s">
        <v>615</v>
      </c>
      <c r="B319" s="2" t="n">
        <v>251</v>
      </c>
      <c r="C319" s="2" t="s">
        <v>686</v>
      </c>
      <c r="D319" s="2" t="s">
        <v>34</v>
      </c>
      <c r="E319" s="2" t="s">
        <v>873</v>
      </c>
      <c r="F319" s="2" t="s">
        <v>35</v>
      </c>
      <c r="G319" s="2" t="s">
        <v>912</v>
      </c>
      <c r="H319" s="2" t="s">
        <v>56</v>
      </c>
      <c r="I319" s="2" t="s">
        <v>913</v>
      </c>
      <c r="J319" s="2" t="s">
        <v>489</v>
      </c>
      <c r="K319" s="2" t="s">
        <v>935</v>
      </c>
      <c r="L319" s="2" t="s">
        <v>45</v>
      </c>
      <c r="M319" s="2" t="s">
        <v>713</v>
      </c>
      <c r="N319" s="2" t="s">
        <v>94</v>
      </c>
      <c r="O319" s="2" t="n">
        <v>1</v>
      </c>
      <c r="P319" s="2" t="n">
        <v>1</v>
      </c>
      <c r="Q319" s="2" t="s">
        <v>61</v>
      </c>
      <c r="R319" s="2" t="s">
        <v>46</v>
      </c>
      <c r="S319" s="2" t="s">
        <v>230</v>
      </c>
      <c r="T319" s="2" t="s">
        <v>64</v>
      </c>
      <c r="U319" s="2" t="s">
        <v>461</v>
      </c>
      <c r="V319" s="2" t="n">
        <v>3</v>
      </c>
      <c r="W319" s="2" t="s">
        <v>462</v>
      </c>
      <c r="X319" s="2" t="s">
        <v>915</v>
      </c>
      <c r="Y319" s="2" t="n">
        <f aca="false">IF(AND(OR(Query_Interface!$B$5="All",$D319=Query_Interface!$B$5),OR(Query_Interface!$B$6="All",$F319=Query_Interface!$B$6),OR(Query_Interface!$B$7="All",$H319=Query_Interface!$B$7),OR(Query_Interface!$B$8="All",$N319=Query_Interface!$B$8),OR(Query_Interface!$B$9="All",$L319=Query_Interface!$B$9),OR(Query_Interface!$B$10="All",$R319=Query_Interface!$B$10),OR(Query_Interface!$B$11="All",$T319=Query_Interface!$B$11),OR(Query_Interface!$B$12="All",$Q319=Query_Interface!$B$12)),1,0)</f>
        <v>1</v>
      </c>
      <c r="Z319" s="2" t="n">
        <f aca="false">IF($Y319=1,COUNTIF($Y$2:$Y319,1),"")</f>
        <v>318</v>
      </c>
    </row>
    <row r="320" customFormat="false" ht="46.25" hidden="false" customHeight="false" outlineLevel="0" collapsed="false">
      <c r="A320" s="2" t="s">
        <v>616</v>
      </c>
      <c r="B320" s="2" t="n">
        <v>252</v>
      </c>
      <c r="C320" s="2" t="s">
        <v>686</v>
      </c>
      <c r="D320" s="2" t="s">
        <v>34</v>
      </c>
      <c r="E320" s="2" t="s">
        <v>873</v>
      </c>
      <c r="F320" s="2" t="s">
        <v>35</v>
      </c>
      <c r="G320" s="2" t="s">
        <v>912</v>
      </c>
      <c r="H320" s="2" t="s">
        <v>56</v>
      </c>
      <c r="I320" s="2" t="s">
        <v>913</v>
      </c>
      <c r="J320" s="2" t="s">
        <v>484</v>
      </c>
      <c r="K320" s="2" t="s">
        <v>930</v>
      </c>
      <c r="L320" s="2" t="s">
        <v>58</v>
      </c>
      <c r="M320" s="2" t="s">
        <v>750</v>
      </c>
      <c r="N320" s="2" t="s">
        <v>91</v>
      </c>
      <c r="O320" s="2" t="n">
        <v>1</v>
      </c>
      <c r="P320" s="2" t="n">
        <v>1</v>
      </c>
      <c r="Q320" s="2" t="s">
        <v>61</v>
      </c>
      <c r="R320" s="2" t="s">
        <v>39</v>
      </c>
      <c r="S320" s="2" t="s">
        <v>215</v>
      </c>
      <c r="T320" s="2" t="s">
        <v>64</v>
      </c>
      <c r="U320" s="2" t="s">
        <v>461</v>
      </c>
      <c r="V320" s="2" t="n">
        <v>3</v>
      </c>
      <c r="W320" s="2" t="s">
        <v>462</v>
      </c>
      <c r="X320" s="2" t="s">
        <v>915</v>
      </c>
      <c r="Y320" s="2" t="n">
        <f aca="false">IF(AND(OR(Query_Interface!$B$5="All",$D320=Query_Interface!$B$5),OR(Query_Interface!$B$6="All",$F320=Query_Interface!$B$6),OR(Query_Interface!$B$7="All",$H320=Query_Interface!$B$7),OR(Query_Interface!$B$8="All",$N320=Query_Interface!$B$8),OR(Query_Interface!$B$9="All",$L320=Query_Interface!$B$9),OR(Query_Interface!$B$10="All",$R320=Query_Interface!$B$10),OR(Query_Interface!$B$11="All",$T320=Query_Interface!$B$11),OR(Query_Interface!$B$12="All",$Q320=Query_Interface!$B$12)),1,0)</f>
        <v>1</v>
      </c>
      <c r="Z320" s="2" t="n">
        <f aca="false">IF($Y320=1,COUNTIF($Y$2:$Y320,1),"")</f>
        <v>319</v>
      </c>
    </row>
    <row r="321" customFormat="false" ht="46.25" hidden="false" customHeight="false" outlineLevel="0" collapsed="false">
      <c r="A321" s="2" t="s">
        <v>617</v>
      </c>
      <c r="B321" s="2" t="n">
        <v>253</v>
      </c>
      <c r="C321" s="2" t="s">
        <v>686</v>
      </c>
      <c r="D321" s="2" t="s">
        <v>34</v>
      </c>
      <c r="E321" s="2" t="s">
        <v>873</v>
      </c>
      <c r="F321" s="2" t="s">
        <v>35</v>
      </c>
      <c r="G321" s="2" t="s">
        <v>912</v>
      </c>
      <c r="H321" s="2" t="s">
        <v>56</v>
      </c>
      <c r="I321" s="2" t="s">
        <v>913</v>
      </c>
      <c r="J321" s="2" t="s">
        <v>618</v>
      </c>
      <c r="K321" s="2" t="s">
        <v>1001</v>
      </c>
      <c r="L321" s="2" t="s">
        <v>58</v>
      </c>
      <c r="M321" s="2" t="s">
        <v>792</v>
      </c>
      <c r="N321" s="2" t="s">
        <v>95</v>
      </c>
      <c r="O321" s="2" t="n">
        <v>1</v>
      </c>
      <c r="P321" s="2" t="n">
        <v>2</v>
      </c>
      <c r="Q321" s="2" t="s">
        <v>41</v>
      </c>
      <c r="R321" s="2" t="s">
        <v>59</v>
      </c>
      <c r="S321" s="2" t="s">
        <v>211</v>
      </c>
      <c r="T321" s="2" t="s">
        <v>67</v>
      </c>
      <c r="U321" s="2" t="s">
        <v>448</v>
      </c>
      <c r="V321" s="2" t="n">
        <v>3</v>
      </c>
      <c r="W321" s="2" t="s">
        <v>462</v>
      </c>
      <c r="X321" s="2" t="s">
        <v>915</v>
      </c>
      <c r="Y321" s="2" t="n">
        <f aca="false">IF(AND(OR(Query_Interface!$B$5="All",$D321=Query_Interface!$B$5),OR(Query_Interface!$B$6="All",$F321=Query_Interface!$B$6),OR(Query_Interface!$B$7="All",$H321=Query_Interface!$B$7),OR(Query_Interface!$B$8="All",$N321=Query_Interface!$B$8),OR(Query_Interface!$B$9="All",$L321=Query_Interface!$B$9),OR(Query_Interface!$B$10="All",$R321=Query_Interface!$B$10),OR(Query_Interface!$B$11="All",$T321=Query_Interface!$B$11),OR(Query_Interface!$B$12="All",$Q321=Query_Interface!$B$12)),1,0)</f>
        <v>1</v>
      </c>
      <c r="Z321" s="2" t="n">
        <f aca="false">IF($Y321=1,COUNTIF($Y$2:$Y321,1),"")</f>
        <v>320</v>
      </c>
    </row>
    <row r="322" customFormat="false" ht="46.25" hidden="false" customHeight="false" outlineLevel="0" collapsed="false">
      <c r="A322" s="2" t="s">
        <v>617</v>
      </c>
      <c r="B322" s="2" t="n">
        <v>253</v>
      </c>
      <c r="C322" s="2" t="s">
        <v>686</v>
      </c>
      <c r="D322" s="2" t="s">
        <v>34</v>
      </c>
      <c r="E322" s="2" t="s">
        <v>873</v>
      </c>
      <c r="F322" s="2" t="s">
        <v>35</v>
      </c>
      <c r="G322" s="2" t="s">
        <v>912</v>
      </c>
      <c r="H322" s="2" t="s">
        <v>56</v>
      </c>
      <c r="I322" s="2" t="s">
        <v>913</v>
      </c>
      <c r="J322" s="2" t="s">
        <v>618</v>
      </c>
      <c r="K322" s="2" t="s">
        <v>1001</v>
      </c>
      <c r="L322" s="2" t="s">
        <v>58</v>
      </c>
      <c r="M322" s="2" t="s">
        <v>748</v>
      </c>
      <c r="N322" s="2" t="s">
        <v>132</v>
      </c>
      <c r="O322" s="2" t="n">
        <v>2</v>
      </c>
      <c r="P322" s="2" t="n">
        <v>2</v>
      </c>
      <c r="Q322" s="2" t="s">
        <v>41</v>
      </c>
      <c r="R322" s="2" t="s">
        <v>59</v>
      </c>
      <c r="S322" s="2" t="s">
        <v>211</v>
      </c>
      <c r="T322" s="2" t="s">
        <v>67</v>
      </c>
      <c r="U322" s="2" t="s">
        <v>448</v>
      </c>
      <c r="V322" s="2" t="n">
        <v>3</v>
      </c>
      <c r="W322" s="2" t="s">
        <v>462</v>
      </c>
      <c r="X322" s="2" t="s">
        <v>915</v>
      </c>
      <c r="Y322" s="2" t="n">
        <f aca="false">IF(AND(OR(Query_Interface!$B$5="All",$D322=Query_Interface!$B$5),OR(Query_Interface!$B$6="All",$F322=Query_Interface!$B$6),OR(Query_Interface!$B$7="All",$H322=Query_Interface!$B$7),OR(Query_Interface!$B$8="All",$N322=Query_Interface!$B$8),OR(Query_Interface!$B$9="All",$L322=Query_Interface!$B$9),OR(Query_Interface!$B$10="All",$R322=Query_Interface!$B$10),OR(Query_Interface!$B$11="All",$T322=Query_Interface!$B$11),OR(Query_Interface!$B$12="All",$Q322=Query_Interface!$B$12)),1,0)</f>
        <v>1</v>
      </c>
      <c r="Z322" s="2" t="n">
        <f aca="false">IF($Y322=1,COUNTIF($Y$2:$Y322,1),"")</f>
        <v>321</v>
      </c>
    </row>
    <row r="323" customFormat="false" ht="46.25" hidden="false" customHeight="false" outlineLevel="0" collapsed="false">
      <c r="A323" s="2" t="s">
        <v>619</v>
      </c>
      <c r="B323" s="2" t="n">
        <v>254</v>
      </c>
      <c r="C323" s="2" t="s">
        <v>686</v>
      </c>
      <c r="D323" s="2" t="s">
        <v>34</v>
      </c>
      <c r="E323" s="2" t="s">
        <v>873</v>
      </c>
      <c r="F323" s="2" t="s">
        <v>35</v>
      </c>
      <c r="G323" s="2" t="s">
        <v>912</v>
      </c>
      <c r="H323" s="2" t="s">
        <v>56</v>
      </c>
      <c r="I323" s="2" t="s">
        <v>913</v>
      </c>
      <c r="J323" s="2" t="s">
        <v>513</v>
      </c>
      <c r="K323" s="2" t="s">
        <v>952</v>
      </c>
      <c r="L323" s="2" t="s">
        <v>58</v>
      </c>
      <c r="M323" s="2" t="s">
        <v>758</v>
      </c>
      <c r="N323" s="2" t="s">
        <v>84</v>
      </c>
      <c r="O323" s="2" t="n">
        <v>1</v>
      </c>
      <c r="P323" s="2" t="n">
        <v>1</v>
      </c>
      <c r="Q323" s="2" t="s">
        <v>61</v>
      </c>
      <c r="R323" s="2" t="s">
        <v>53</v>
      </c>
      <c r="S323" s="2" t="s">
        <v>233</v>
      </c>
      <c r="T323" s="2" t="s">
        <v>67</v>
      </c>
      <c r="U323" s="2" t="s">
        <v>448</v>
      </c>
      <c r="V323" s="2" t="n">
        <v>4</v>
      </c>
      <c r="W323" s="2" t="s">
        <v>462</v>
      </c>
      <c r="X323" s="2" t="s">
        <v>915</v>
      </c>
      <c r="Y323" s="2" t="n">
        <f aca="false">IF(AND(OR(Query_Interface!$B$5="All",$D323=Query_Interface!$B$5),OR(Query_Interface!$B$6="All",$F323=Query_Interface!$B$6),OR(Query_Interface!$B$7="All",$H323=Query_Interface!$B$7),OR(Query_Interface!$B$8="All",$N323=Query_Interface!$B$8),OR(Query_Interface!$B$9="All",$L323=Query_Interface!$B$9),OR(Query_Interface!$B$10="All",$R323=Query_Interface!$B$10),OR(Query_Interface!$B$11="All",$T323=Query_Interface!$B$11),OR(Query_Interface!$B$12="All",$Q323=Query_Interface!$B$12)),1,0)</f>
        <v>1</v>
      </c>
      <c r="Z323" s="2" t="n">
        <f aca="false">IF($Y323=1,COUNTIF($Y$2:$Y323,1),"")</f>
        <v>322</v>
      </c>
    </row>
    <row r="324" customFormat="false" ht="46.25" hidden="false" customHeight="false" outlineLevel="0" collapsed="false">
      <c r="A324" s="2" t="s">
        <v>620</v>
      </c>
      <c r="B324" s="2" t="n">
        <v>255</v>
      </c>
      <c r="C324" s="2" t="s">
        <v>686</v>
      </c>
      <c r="D324" s="2" t="s">
        <v>34</v>
      </c>
      <c r="E324" s="2" t="s">
        <v>873</v>
      </c>
      <c r="F324" s="2" t="s">
        <v>35</v>
      </c>
      <c r="G324" s="2" t="s">
        <v>912</v>
      </c>
      <c r="H324" s="2" t="s">
        <v>56</v>
      </c>
      <c r="I324" s="2" t="s">
        <v>913</v>
      </c>
      <c r="J324" s="2" t="s">
        <v>519</v>
      </c>
      <c r="K324" s="2" t="s">
        <v>956</v>
      </c>
      <c r="L324" s="2" t="s">
        <v>58</v>
      </c>
      <c r="M324" s="2" t="s">
        <v>898</v>
      </c>
      <c r="N324" s="2" t="s">
        <v>62</v>
      </c>
      <c r="O324" s="2" t="n">
        <v>1</v>
      </c>
      <c r="P324" s="2" t="n">
        <v>3</v>
      </c>
      <c r="Q324" s="2" t="s">
        <v>41</v>
      </c>
      <c r="R324" s="2" t="s">
        <v>59</v>
      </c>
      <c r="S324" s="2" t="s">
        <v>211</v>
      </c>
      <c r="T324" s="2" t="s">
        <v>67</v>
      </c>
      <c r="U324" s="2" t="s">
        <v>461</v>
      </c>
      <c r="V324" s="2" t="n">
        <v>3</v>
      </c>
      <c r="W324" s="2" t="s">
        <v>462</v>
      </c>
      <c r="X324" s="2" t="s">
        <v>915</v>
      </c>
      <c r="Y324" s="2" t="n">
        <f aca="false">IF(AND(OR(Query_Interface!$B$5="All",$D324=Query_Interface!$B$5),OR(Query_Interface!$B$6="All",$F324=Query_Interface!$B$6),OR(Query_Interface!$B$7="All",$H324=Query_Interface!$B$7),OR(Query_Interface!$B$8="All",$N324=Query_Interface!$B$8),OR(Query_Interface!$B$9="All",$L324=Query_Interface!$B$9),OR(Query_Interface!$B$10="All",$R324=Query_Interface!$B$10),OR(Query_Interface!$B$11="All",$T324=Query_Interface!$B$11),OR(Query_Interface!$B$12="All",$Q324=Query_Interface!$B$12)),1,0)</f>
        <v>1</v>
      </c>
      <c r="Z324" s="2" t="n">
        <f aca="false">IF($Y324=1,COUNTIF($Y$2:$Y324,1),"")</f>
        <v>323</v>
      </c>
    </row>
    <row r="325" customFormat="false" ht="46.25" hidden="false" customHeight="false" outlineLevel="0" collapsed="false">
      <c r="A325" s="2" t="s">
        <v>620</v>
      </c>
      <c r="B325" s="2" t="n">
        <v>255</v>
      </c>
      <c r="C325" s="2" t="s">
        <v>686</v>
      </c>
      <c r="D325" s="2" t="s">
        <v>34</v>
      </c>
      <c r="E325" s="2" t="s">
        <v>873</v>
      </c>
      <c r="F325" s="2" t="s">
        <v>35</v>
      </c>
      <c r="G325" s="2" t="s">
        <v>912</v>
      </c>
      <c r="H325" s="2" t="s">
        <v>56</v>
      </c>
      <c r="I325" s="2" t="s">
        <v>913</v>
      </c>
      <c r="J325" s="2" t="s">
        <v>519</v>
      </c>
      <c r="K325" s="2" t="s">
        <v>956</v>
      </c>
      <c r="L325" s="2" t="s">
        <v>58</v>
      </c>
      <c r="M325" s="2" t="s">
        <v>734</v>
      </c>
      <c r="N325" s="2" t="s">
        <v>87</v>
      </c>
      <c r="O325" s="2" t="n">
        <v>2</v>
      </c>
      <c r="P325" s="2" t="n">
        <v>3</v>
      </c>
      <c r="Q325" s="2" t="s">
        <v>41</v>
      </c>
      <c r="R325" s="2" t="s">
        <v>59</v>
      </c>
      <c r="S325" s="2" t="s">
        <v>211</v>
      </c>
      <c r="T325" s="2" t="s">
        <v>67</v>
      </c>
      <c r="U325" s="2" t="s">
        <v>461</v>
      </c>
      <c r="V325" s="2" t="n">
        <v>3</v>
      </c>
      <c r="W325" s="2" t="s">
        <v>462</v>
      </c>
      <c r="X325" s="2" t="s">
        <v>915</v>
      </c>
      <c r="Y325" s="2" t="n">
        <f aca="false">IF(AND(OR(Query_Interface!$B$5="All",$D325=Query_Interface!$B$5),OR(Query_Interface!$B$6="All",$F325=Query_Interface!$B$6),OR(Query_Interface!$B$7="All",$H325=Query_Interface!$B$7),OR(Query_Interface!$B$8="All",$N325=Query_Interface!$B$8),OR(Query_Interface!$B$9="All",$L325=Query_Interface!$B$9),OR(Query_Interface!$B$10="All",$R325=Query_Interface!$B$10),OR(Query_Interface!$B$11="All",$T325=Query_Interface!$B$11),OR(Query_Interface!$B$12="All",$Q325=Query_Interface!$B$12)),1,0)</f>
        <v>1</v>
      </c>
      <c r="Z325" s="2" t="n">
        <f aca="false">IF($Y325=1,COUNTIF($Y$2:$Y325,1),"")</f>
        <v>324</v>
      </c>
    </row>
    <row r="326" customFormat="false" ht="46.25" hidden="false" customHeight="false" outlineLevel="0" collapsed="false">
      <c r="A326" s="2" t="s">
        <v>620</v>
      </c>
      <c r="B326" s="2" t="n">
        <v>255</v>
      </c>
      <c r="C326" s="2" t="s">
        <v>686</v>
      </c>
      <c r="D326" s="2" t="s">
        <v>34</v>
      </c>
      <c r="E326" s="2" t="s">
        <v>873</v>
      </c>
      <c r="F326" s="2" t="s">
        <v>35</v>
      </c>
      <c r="G326" s="2" t="s">
        <v>912</v>
      </c>
      <c r="H326" s="2" t="s">
        <v>56</v>
      </c>
      <c r="I326" s="2" t="s">
        <v>913</v>
      </c>
      <c r="J326" s="2" t="s">
        <v>519</v>
      </c>
      <c r="K326" s="2" t="s">
        <v>956</v>
      </c>
      <c r="L326" s="2" t="s">
        <v>58</v>
      </c>
      <c r="M326" s="2" t="s">
        <v>884</v>
      </c>
      <c r="N326" s="2" t="s">
        <v>148</v>
      </c>
      <c r="O326" s="2" t="n">
        <v>3</v>
      </c>
      <c r="P326" s="2" t="n">
        <v>3</v>
      </c>
      <c r="Q326" s="2" t="s">
        <v>41</v>
      </c>
      <c r="R326" s="2" t="s">
        <v>59</v>
      </c>
      <c r="S326" s="2" t="s">
        <v>211</v>
      </c>
      <c r="T326" s="2" t="s">
        <v>67</v>
      </c>
      <c r="U326" s="2" t="s">
        <v>461</v>
      </c>
      <c r="V326" s="2" t="n">
        <v>3</v>
      </c>
      <c r="W326" s="2" t="s">
        <v>462</v>
      </c>
      <c r="X326" s="2" t="s">
        <v>915</v>
      </c>
      <c r="Y326" s="2" t="n">
        <f aca="false">IF(AND(OR(Query_Interface!$B$5="All",$D326=Query_Interface!$B$5),OR(Query_Interface!$B$6="All",$F326=Query_Interface!$B$6),OR(Query_Interface!$B$7="All",$H326=Query_Interface!$B$7),OR(Query_Interface!$B$8="All",$N326=Query_Interface!$B$8),OR(Query_Interface!$B$9="All",$L326=Query_Interface!$B$9),OR(Query_Interface!$B$10="All",$R326=Query_Interface!$B$10),OR(Query_Interface!$B$11="All",$T326=Query_Interface!$B$11),OR(Query_Interface!$B$12="All",$Q326=Query_Interface!$B$12)),1,0)</f>
        <v>1</v>
      </c>
      <c r="Z326" s="2" t="n">
        <f aca="false">IF($Y326=1,COUNTIF($Y$2:$Y326,1),"")</f>
        <v>325</v>
      </c>
    </row>
    <row r="327" customFormat="false" ht="46.25" hidden="false" customHeight="false" outlineLevel="0" collapsed="false">
      <c r="A327" s="2" t="s">
        <v>621</v>
      </c>
      <c r="B327" s="2" t="n">
        <v>256</v>
      </c>
      <c r="C327" s="2" t="s">
        <v>686</v>
      </c>
      <c r="D327" s="2" t="s">
        <v>34</v>
      </c>
      <c r="E327" s="2" t="s">
        <v>873</v>
      </c>
      <c r="F327" s="2" t="s">
        <v>35</v>
      </c>
      <c r="G327" s="2" t="s">
        <v>912</v>
      </c>
      <c r="H327" s="2" t="s">
        <v>56</v>
      </c>
      <c r="I327" s="2" t="s">
        <v>913</v>
      </c>
      <c r="J327" s="2" t="s">
        <v>536</v>
      </c>
      <c r="K327" s="2" t="s">
        <v>968</v>
      </c>
      <c r="L327" s="2" t="s">
        <v>69</v>
      </c>
      <c r="M327" s="2" t="s">
        <v>772</v>
      </c>
      <c r="N327" s="2" t="s">
        <v>118</v>
      </c>
      <c r="O327" s="2" t="n">
        <v>1</v>
      </c>
      <c r="P327" s="2" t="n">
        <v>1</v>
      </c>
      <c r="Q327" s="2" t="s">
        <v>61</v>
      </c>
      <c r="R327" s="2" t="s">
        <v>39</v>
      </c>
      <c r="S327" s="2" t="s">
        <v>215</v>
      </c>
      <c r="T327" s="2" t="s">
        <v>67</v>
      </c>
      <c r="U327" s="2" t="s">
        <v>461</v>
      </c>
      <c r="V327" s="2" t="n">
        <v>4</v>
      </c>
      <c r="W327" s="2" t="s">
        <v>462</v>
      </c>
      <c r="X327" s="2" t="s">
        <v>915</v>
      </c>
      <c r="Y327" s="2" t="n">
        <f aca="false">IF(AND(OR(Query_Interface!$B$5="All",$D327=Query_Interface!$B$5),OR(Query_Interface!$B$6="All",$F327=Query_Interface!$B$6),OR(Query_Interface!$B$7="All",$H327=Query_Interface!$B$7),OR(Query_Interface!$B$8="All",$N327=Query_Interface!$B$8),OR(Query_Interface!$B$9="All",$L327=Query_Interface!$B$9),OR(Query_Interface!$B$10="All",$R327=Query_Interface!$B$10),OR(Query_Interface!$B$11="All",$T327=Query_Interface!$B$11),OR(Query_Interface!$B$12="All",$Q327=Query_Interface!$B$12)),1,0)</f>
        <v>1</v>
      </c>
      <c r="Z327" s="2" t="n">
        <f aca="false">IF($Y327=1,COUNTIF($Y$2:$Y327,1),"")</f>
        <v>326</v>
      </c>
    </row>
    <row r="328" customFormat="false" ht="46.25" hidden="false" customHeight="false" outlineLevel="0" collapsed="false">
      <c r="A328" s="2" t="s">
        <v>622</v>
      </c>
      <c r="B328" s="2" t="n">
        <v>257</v>
      </c>
      <c r="C328" s="2" t="s">
        <v>686</v>
      </c>
      <c r="D328" s="2" t="s">
        <v>34</v>
      </c>
      <c r="E328" s="2" t="s">
        <v>873</v>
      </c>
      <c r="F328" s="2" t="s">
        <v>35</v>
      </c>
      <c r="G328" s="2" t="s">
        <v>912</v>
      </c>
      <c r="H328" s="2" t="s">
        <v>56</v>
      </c>
      <c r="I328" s="2" t="s">
        <v>913</v>
      </c>
      <c r="J328" s="2" t="s">
        <v>623</v>
      </c>
      <c r="K328" s="2" t="s">
        <v>1002</v>
      </c>
      <c r="L328" s="2" t="s">
        <v>69</v>
      </c>
      <c r="M328" s="2" t="s">
        <v>702</v>
      </c>
      <c r="N328" s="2" t="s">
        <v>106</v>
      </c>
      <c r="O328" s="2" t="n">
        <v>1</v>
      </c>
      <c r="P328" s="2" t="n">
        <v>1</v>
      </c>
      <c r="Q328" s="2" t="s">
        <v>61</v>
      </c>
      <c r="R328" s="2" t="s">
        <v>39</v>
      </c>
      <c r="S328" s="2" t="s">
        <v>215</v>
      </c>
      <c r="T328" s="2" t="s">
        <v>67</v>
      </c>
      <c r="U328" s="2" t="s">
        <v>461</v>
      </c>
      <c r="V328" s="2" t="n">
        <v>3</v>
      </c>
      <c r="W328" s="2" t="s">
        <v>462</v>
      </c>
      <c r="X328" s="2" t="s">
        <v>915</v>
      </c>
      <c r="Y328" s="2" t="n">
        <f aca="false">IF(AND(OR(Query_Interface!$B$5="All",$D328=Query_Interface!$B$5),OR(Query_Interface!$B$6="All",$F328=Query_Interface!$B$6),OR(Query_Interface!$B$7="All",$H328=Query_Interface!$B$7),OR(Query_Interface!$B$8="All",$N328=Query_Interface!$B$8),OR(Query_Interface!$B$9="All",$L328=Query_Interface!$B$9),OR(Query_Interface!$B$10="All",$R328=Query_Interface!$B$10),OR(Query_Interface!$B$11="All",$T328=Query_Interface!$B$11),OR(Query_Interface!$B$12="All",$Q328=Query_Interface!$B$12)),1,0)</f>
        <v>1</v>
      </c>
      <c r="Z328" s="2" t="n">
        <f aca="false">IF($Y328=1,COUNTIF($Y$2:$Y328,1),"")</f>
        <v>327</v>
      </c>
    </row>
    <row r="329" customFormat="false" ht="46.25" hidden="false" customHeight="false" outlineLevel="0" collapsed="false">
      <c r="A329" s="2" t="s">
        <v>624</v>
      </c>
      <c r="B329" s="2" t="n">
        <v>258</v>
      </c>
      <c r="C329" s="2" t="s">
        <v>686</v>
      </c>
      <c r="D329" s="2" t="s">
        <v>34</v>
      </c>
      <c r="E329" s="2" t="s">
        <v>873</v>
      </c>
      <c r="F329" s="2" t="s">
        <v>35</v>
      </c>
      <c r="G329" s="2" t="s">
        <v>912</v>
      </c>
      <c r="H329" s="2" t="s">
        <v>56</v>
      </c>
      <c r="I329" s="2" t="s">
        <v>913</v>
      </c>
      <c r="J329" s="2" t="s">
        <v>505</v>
      </c>
      <c r="K329" s="2" t="s">
        <v>947</v>
      </c>
      <c r="L329" s="2" t="s">
        <v>69</v>
      </c>
      <c r="M329" s="2" t="s">
        <v>880</v>
      </c>
      <c r="N329" s="2" t="s">
        <v>107</v>
      </c>
      <c r="O329" s="2" t="n">
        <v>1</v>
      </c>
      <c r="P329" s="2" t="n">
        <v>1</v>
      </c>
      <c r="Q329" s="2" t="s">
        <v>61</v>
      </c>
      <c r="R329" s="2" t="s">
        <v>53</v>
      </c>
      <c r="S329" s="2" t="s">
        <v>233</v>
      </c>
      <c r="T329" s="2" t="s">
        <v>67</v>
      </c>
      <c r="U329" s="2" t="s">
        <v>495</v>
      </c>
      <c r="V329" s="2" t="n">
        <v>2</v>
      </c>
      <c r="W329" s="2" t="s">
        <v>462</v>
      </c>
      <c r="X329" s="2" t="s">
        <v>915</v>
      </c>
      <c r="Y329" s="2" t="n">
        <f aca="false">IF(AND(OR(Query_Interface!$B$5="All",$D329=Query_Interface!$B$5),OR(Query_Interface!$B$6="All",$F329=Query_Interface!$B$6),OR(Query_Interface!$B$7="All",$H329=Query_Interface!$B$7),OR(Query_Interface!$B$8="All",$N329=Query_Interface!$B$8),OR(Query_Interface!$B$9="All",$L329=Query_Interface!$B$9),OR(Query_Interface!$B$10="All",$R329=Query_Interface!$B$10),OR(Query_Interface!$B$11="All",$T329=Query_Interface!$B$11),OR(Query_Interface!$B$12="All",$Q329=Query_Interface!$B$12)),1,0)</f>
        <v>1</v>
      </c>
      <c r="Z329" s="2" t="n">
        <f aca="false">IF($Y329=1,COUNTIF($Y$2:$Y329,1),"")</f>
        <v>328</v>
      </c>
    </row>
    <row r="330" customFormat="false" ht="46.25" hidden="false" customHeight="false" outlineLevel="0" collapsed="false">
      <c r="A330" s="2" t="s">
        <v>625</v>
      </c>
      <c r="B330" s="2" t="n">
        <v>259</v>
      </c>
      <c r="C330" s="2" t="s">
        <v>686</v>
      </c>
      <c r="D330" s="2" t="s">
        <v>34</v>
      </c>
      <c r="E330" s="2" t="s">
        <v>873</v>
      </c>
      <c r="F330" s="2" t="s">
        <v>35</v>
      </c>
      <c r="G330" s="2" t="s">
        <v>912</v>
      </c>
      <c r="H330" s="2" t="s">
        <v>56</v>
      </c>
      <c r="I330" s="2" t="s">
        <v>913</v>
      </c>
      <c r="J330" s="2" t="s">
        <v>534</v>
      </c>
      <c r="K330" s="2" t="s">
        <v>966</v>
      </c>
      <c r="L330" s="2" t="s">
        <v>69</v>
      </c>
      <c r="M330" s="2" t="s">
        <v>967</v>
      </c>
      <c r="N330" s="2" t="s">
        <v>117</v>
      </c>
      <c r="O330" s="2" t="n">
        <v>1</v>
      </c>
      <c r="P330" s="2" t="n">
        <v>1</v>
      </c>
      <c r="Q330" s="2" t="s">
        <v>61</v>
      </c>
      <c r="R330" s="2" t="s">
        <v>39</v>
      </c>
      <c r="S330" s="2" t="s">
        <v>215</v>
      </c>
      <c r="T330" s="2" t="s">
        <v>67</v>
      </c>
      <c r="U330" s="2" t="s">
        <v>461</v>
      </c>
      <c r="V330" s="2" t="n">
        <v>4</v>
      </c>
      <c r="W330" s="2" t="s">
        <v>462</v>
      </c>
      <c r="X330" s="2" t="s">
        <v>915</v>
      </c>
      <c r="Y330" s="2" t="n">
        <f aca="false">IF(AND(OR(Query_Interface!$B$5="All",$D330=Query_Interface!$B$5),OR(Query_Interface!$B$6="All",$F330=Query_Interface!$B$6),OR(Query_Interface!$B$7="All",$H330=Query_Interface!$B$7),OR(Query_Interface!$B$8="All",$N330=Query_Interface!$B$8),OR(Query_Interface!$B$9="All",$L330=Query_Interface!$B$9),OR(Query_Interface!$B$10="All",$R330=Query_Interface!$B$10),OR(Query_Interface!$B$11="All",$T330=Query_Interface!$B$11),OR(Query_Interface!$B$12="All",$Q330=Query_Interface!$B$12)),1,0)</f>
        <v>1</v>
      </c>
      <c r="Z330" s="2" t="n">
        <f aca="false">IF($Y330=1,COUNTIF($Y$2:$Y330,1),"")</f>
        <v>329</v>
      </c>
    </row>
    <row r="331" customFormat="false" ht="46.25" hidden="false" customHeight="false" outlineLevel="0" collapsed="false">
      <c r="A331" s="2" t="s">
        <v>626</v>
      </c>
      <c r="B331" s="2" t="n">
        <v>260</v>
      </c>
      <c r="C331" s="2" t="s">
        <v>686</v>
      </c>
      <c r="D331" s="2" t="s">
        <v>34</v>
      </c>
      <c r="E331" s="2" t="s">
        <v>873</v>
      </c>
      <c r="F331" s="2" t="s">
        <v>35</v>
      </c>
      <c r="G331" s="2" t="s">
        <v>912</v>
      </c>
      <c r="H331" s="2" t="s">
        <v>56</v>
      </c>
      <c r="I331" s="2" t="s">
        <v>913</v>
      </c>
      <c r="J331" s="2" t="s">
        <v>472</v>
      </c>
      <c r="K331" s="2" t="s">
        <v>923</v>
      </c>
      <c r="L331" s="2" t="s">
        <v>69</v>
      </c>
      <c r="M331" s="2" t="s">
        <v>702</v>
      </c>
      <c r="N331" s="2" t="s">
        <v>106</v>
      </c>
      <c r="O331" s="2" t="n">
        <v>1</v>
      </c>
      <c r="P331" s="2" t="n">
        <v>1</v>
      </c>
      <c r="Q331" s="2" t="s">
        <v>61</v>
      </c>
      <c r="R331" s="2" t="s">
        <v>39</v>
      </c>
      <c r="S331" s="2" t="s">
        <v>215</v>
      </c>
      <c r="T331" s="2" t="s">
        <v>67</v>
      </c>
      <c r="U331" s="2" t="s">
        <v>461</v>
      </c>
      <c r="V331" s="2" t="n">
        <v>3</v>
      </c>
      <c r="W331" s="2" t="s">
        <v>462</v>
      </c>
      <c r="X331" s="2" t="s">
        <v>915</v>
      </c>
      <c r="Y331" s="2" t="n">
        <f aca="false">IF(AND(OR(Query_Interface!$B$5="All",$D331=Query_Interface!$B$5),OR(Query_Interface!$B$6="All",$F331=Query_Interface!$B$6),OR(Query_Interface!$B$7="All",$H331=Query_Interface!$B$7),OR(Query_Interface!$B$8="All",$N331=Query_Interface!$B$8),OR(Query_Interface!$B$9="All",$L331=Query_Interface!$B$9),OR(Query_Interface!$B$10="All",$R331=Query_Interface!$B$10),OR(Query_Interface!$B$11="All",$T331=Query_Interface!$B$11),OR(Query_Interface!$B$12="All",$Q331=Query_Interface!$B$12)),1,0)</f>
        <v>1</v>
      </c>
      <c r="Z331" s="2" t="n">
        <f aca="false">IF($Y331=1,COUNTIF($Y$2:$Y331,1),"")</f>
        <v>330</v>
      </c>
    </row>
    <row r="332" customFormat="false" ht="46.25" hidden="false" customHeight="false" outlineLevel="0" collapsed="false">
      <c r="A332" s="2" t="s">
        <v>627</v>
      </c>
      <c r="B332" s="2" t="n">
        <v>261</v>
      </c>
      <c r="C332" s="2" t="s">
        <v>686</v>
      </c>
      <c r="D332" s="2" t="s">
        <v>34</v>
      </c>
      <c r="E332" s="2" t="s">
        <v>873</v>
      </c>
      <c r="F332" s="2" t="s">
        <v>35</v>
      </c>
      <c r="G332" s="2" t="s">
        <v>912</v>
      </c>
      <c r="H332" s="2" t="s">
        <v>56</v>
      </c>
      <c r="I332" s="2" t="s">
        <v>913</v>
      </c>
      <c r="J332" s="2" t="s">
        <v>287</v>
      </c>
      <c r="K332" s="2" t="s">
        <v>972</v>
      </c>
      <c r="L332" s="2" t="s">
        <v>69</v>
      </c>
      <c r="M332" s="2" t="s">
        <v>764</v>
      </c>
      <c r="N332" s="2" t="s">
        <v>115</v>
      </c>
      <c r="O332" s="2" t="n">
        <v>1</v>
      </c>
      <c r="P332" s="2" t="n">
        <v>1</v>
      </c>
      <c r="Q332" s="2" t="s">
        <v>61</v>
      </c>
      <c r="R332" s="2" t="s">
        <v>59</v>
      </c>
      <c r="S332" s="2" t="s">
        <v>211</v>
      </c>
      <c r="T332" s="2" t="s">
        <v>67</v>
      </c>
      <c r="U332" s="2" t="s">
        <v>461</v>
      </c>
      <c r="V332" s="2" t="n">
        <v>3</v>
      </c>
      <c r="W332" s="2" t="s">
        <v>462</v>
      </c>
      <c r="X332" s="2" t="s">
        <v>915</v>
      </c>
      <c r="Y332" s="2" t="n">
        <f aca="false">IF(AND(OR(Query_Interface!$B$5="All",$D332=Query_Interface!$B$5),OR(Query_Interface!$B$6="All",$F332=Query_Interface!$B$6),OR(Query_Interface!$B$7="All",$H332=Query_Interface!$B$7),OR(Query_Interface!$B$8="All",$N332=Query_Interface!$B$8),OR(Query_Interface!$B$9="All",$L332=Query_Interface!$B$9),OR(Query_Interface!$B$10="All",$R332=Query_Interface!$B$10),OR(Query_Interface!$B$11="All",$T332=Query_Interface!$B$11),OR(Query_Interface!$B$12="All",$Q332=Query_Interface!$B$12)),1,0)</f>
        <v>1</v>
      </c>
      <c r="Z332" s="2" t="n">
        <f aca="false">IF($Y332=1,COUNTIF($Y$2:$Y332,1),"")</f>
        <v>331</v>
      </c>
    </row>
    <row r="333" customFormat="false" ht="46.25" hidden="false" customHeight="false" outlineLevel="0" collapsed="false">
      <c r="A333" s="2" t="s">
        <v>628</v>
      </c>
      <c r="B333" s="2" t="n">
        <v>262</v>
      </c>
      <c r="C333" s="2" t="s">
        <v>686</v>
      </c>
      <c r="D333" s="2" t="s">
        <v>34</v>
      </c>
      <c r="E333" s="2" t="s">
        <v>873</v>
      </c>
      <c r="F333" s="2" t="s">
        <v>35</v>
      </c>
      <c r="G333" s="2" t="s">
        <v>912</v>
      </c>
      <c r="H333" s="2" t="s">
        <v>56</v>
      </c>
      <c r="I333" s="2" t="s">
        <v>913</v>
      </c>
      <c r="J333" s="2" t="s">
        <v>515</v>
      </c>
      <c r="K333" s="2" t="s">
        <v>953</v>
      </c>
      <c r="L333" s="2" t="s">
        <v>69</v>
      </c>
      <c r="M333" s="2" t="s">
        <v>802</v>
      </c>
      <c r="N333" s="2" t="s">
        <v>109</v>
      </c>
      <c r="O333" s="2" t="n">
        <v>1</v>
      </c>
      <c r="P333" s="2" t="n">
        <v>1</v>
      </c>
      <c r="Q333" s="2" t="s">
        <v>61</v>
      </c>
      <c r="R333" s="2" t="s">
        <v>59</v>
      </c>
      <c r="S333" s="2" t="s">
        <v>211</v>
      </c>
      <c r="T333" s="2" t="s">
        <v>67</v>
      </c>
      <c r="U333" s="2" t="s">
        <v>461</v>
      </c>
      <c r="V333" s="2" t="n">
        <v>4</v>
      </c>
      <c r="W333" s="2" t="s">
        <v>462</v>
      </c>
      <c r="X333" s="2" t="s">
        <v>915</v>
      </c>
      <c r="Y333" s="2" t="n">
        <f aca="false">IF(AND(OR(Query_Interface!$B$5="All",$D333=Query_Interface!$B$5),OR(Query_Interface!$B$6="All",$F333=Query_Interface!$B$6),OR(Query_Interface!$B$7="All",$H333=Query_Interface!$B$7),OR(Query_Interface!$B$8="All",$N333=Query_Interface!$B$8),OR(Query_Interface!$B$9="All",$L333=Query_Interface!$B$9),OR(Query_Interface!$B$10="All",$R333=Query_Interface!$B$10),OR(Query_Interface!$B$11="All",$T333=Query_Interface!$B$11),OR(Query_Interface!$B$12="All",$Q333=Query_Interface!$B$12)),1,0)</f>
        <v>1</v>
      </c>
      <c r="Z333" s="2" t="n">
        <f aca="false">IF($Y333=1,COUNTIF($Y$2:$Y333,1),"")</f>
        <v>332</v>
      </c>
    </row>
    <row r="334" customFormat="false" ht="46.25" hidden="false" customHeight="false" outlineLevel="0" collapsed="false">
      <c r="A334" s="2" t="s">
        <v>629</v>
      </c>
      <c r="B334" s="2" t="n">
        <v>263</v>
      </c>
      <c r="C334" s="2" t="s">
        <v>686</v>
      </c>
      <c r="D334" s="2" t="s">
        <v>34</v>
      </c>
      <c r="E334" s="2" t="s">
        <v>873</v>
      </c>
      <c r="F334" s="2" t="s">
        <v>35</v>
      </c>
      <c r="G334" s="2" t="s">
        <v>912</v>
      </c>
      <c r="H334" s="2" t="s">
        <v>56</v>
      </c>
      <c r="I334" s="2" t="s">
        <v>913</v>
      </c>
      <c r="J334" s="2" t="s">
        <v>507</v>
      </c>
      <c r="K334" s="2" t="s">
        <v>948</v>
      </c>
      <c r="L334" s="2" t="s">
        <v>69</v>
      </c>
      <c r="M334" s="2" t="s">
        <v>825</v>
      </c>
      <c r="N334" s="2" t="s">
        <v>110</v>
      </c>
      <c r="O334" s="2" t="n">
        <v>1</v>
      </c>
      <c r="P334" s="2" t="n">
        <v>1</v>
      </c>
      <c r="Q334" s="2" t="s">
        <v>61</v>
      </c>
      <c r="R334" s="2" t="s">
        <v>53</v>
      </c>
      <c r="S334" s="2" t="s">
        <v>233</v>
      </c>
      <c r="T334" s="2" t="s">
        <v>67</v>
      </c>
      <c r="U334" s="2" t="s">
        <v>495</v>
      </c>
      <c r="V334" s="2" t="n">
        <v>2</v>
      </c>
      <c r="W334" s="2" t="s">
        <v>462</v>
      </c>
      <c r="X334" s="2" t="s">
        <v>915</v>
      </c>
      <c r="Y334" s="2" t="n">
        <f aca="false">IF(AND(OR(Query_Interface!$B$5="All",$D334=Query_Interface!$B$5),OR(Query_Interface!$B$6="All",$F334=Query_Interface!$B$6),OR(Query_Interface!$B$7="All",$H334=Query_Interface!$B$7),OR(Query_Interface!$B$8="All",$N334=Query_Interface!$B$8),OR(Query_Interface!$B$9="All",$L334=Query_Interface!$B$9),OR(Query_Interface!$B$10="All",$R334=Query_Interface!$B$10),OR(Query_Interface!$B$11="All",$T334=Query_Interface!$B$11),OR(Query_Interface!$B$12="All",$Q334=Query_Interface!$B$12)),1,0)</f>
        <v>1</v>
      </c>
      <c r="Z334" s="2" t="n">
        <f aca="false">IF($Y334=1,COUNTIF($Y$2:$Y334,1),"")</f>
        <v>333</v>
      </c>
    </row>
    <row r="335" customFormat="false" ht="46.25" hidden="false" customHeight="false" outlineLevel="0" collapsed="false">
      <c r="A335" s="2" t="s">
        <v>630</v>
      </c>
      <c r="B335" s="2" t="n">
        <v>264</v>
      </c>
      <c r="C335" s="2" t="s">
        <v>686</v>
      </c>
      <c r="D335" s="2" t="s">
        <v>34</v>
      </c>
      <c r="E335" s="2" t="s">
        <v>873</v>
      </c>
      <c r="F335" s="2" t="s">
        <v>35</v>
      </c>
      <c r="G335" s="2" t="s">
        <v>912</v>
      </c>
      <c r="H335" s="2" t="s">
        <v>56</v>
      </c>
      <c r="I335" s="2" t="s">
        <v>913</v>
      </c>
      <c r="J335" s="2" t="s">
        <v>374</v>
      </c>
      <c r="K335" s="2" t="s">
        <v>1003</v>
      </c>
      <c r="L335" s="2" t="s">
        <v>69</v>
      </c>
      <c r="M335" s="2" t="s">
        <v>754</v>
      </c>
      <c r="N335" s="2" t="s">
        <v>124</v>
      </c>
      <c r="O335" s="2" t="n">
        <v>1</v>
      </c>
      <c r="P335" s="2" t="n">
        <v>1</v>
      </c>
      <c r="Q335" s="2" t="s">
        <v>61</v>
      </c>
      <c r="R335" s="2" t="s">
        <v>59</v>
      </c>
      <c r="S335" s="2" t="s">
        <v>211</v>
      </c>
      <c r="T335" s="2" t="s">
        <v>67</v>
      </c>
      <c r="U335" s="2" t="s">
        <v>461</v>
      </c>
      <c r="V335" s="2" t="n">
        <v>3</v>
      </c>
      <c r="W335" s="2" t="s">
        <v>462</v>
      </c>
      <c r="X335" s="2" t="s">
        <v>915</v>
      </c>
      <c r="Y335" s="2" t="n">
        <f aca="false">IF(AND(OR(Query_Interface!$B$5="All",$D335=Query_Interface!$B$5),OR(Query_Interface!$B$6="All",$F335=Query_Interface!$B$6),OR(Query_Interface!$B$7="All",$H335=Query_Interface!$B$7),OR(Query_Interface!$B$8="All",$N335=Query_Interface!$B$8),OR(Query_Interface!$B$9="All",$L335=Query_Interface!$B$9),OR(Query_Interface!$B$10="All",$R335=Query_Interface!$B$10),OR(Query_Interface!$B$11="All",$T335=Query_Interface!$B$11),OR(Query_Interface!$B$12="All",$Q335=Query_Interface!$B$12)),1,0)</f>
        <v>1</v>
      </c>
      <c r="Z335" s="2" t="n">
        <f aca="false">IF($Y335=1,COUNTIF($Y$2:$Y335,1),"")</f>
        <v>334</v>
      </c>
    </row>
    <row r="336" customFormat="false" ht="46.25" hidden="false" customHeight="false" outlineLevel="0" collapsed="false">
      <c r="A336" s="2" t="s">
        <v>631</v>
      </c>
      <c r="B336" s="2" t="n">
        <v>265</v>
      </c>
      <c r="C336" s="2" t="s">
        <v>686</v>
      </c>
      <c r="D336" s="2" t="s">
        <v>34</v>
      </c>
      <c r="E336" s="2" t="s">
        <v>873</v>
      </c>
      <c r="F336" s="2" t="s">
        <v>35</v>
      </c>
      <c r="G336" s="2" t="s">
        <v>912</v>
      </c>
      <c r="H336" s="2" t="s">
        <v>56</v>
      </c>
      <c r="I336" s="2" t="s">
        <v>913</v>
      </c>
      <c r="J336" s="2" t="s">
        <v>275</v>
      </c>
      <c r="K336" s="2" t="s">
        <v>954</v>
      </c>
      <c r="L336" s="2" t="s">
        <v>69</v>
      </c>
      <c r="M336" s="2" t="s">
        <v>752</v>
      </c>
      <c r="N336" s="2" t="s">
        <v>113</v>
      </c>
      <c r="O336" s="2" t="n">
        <v>1</v>
      </c>
      <c r="P336" s="2" t="n">
        <v>2</v>
      </c>
      <c r="Q336" s="2" t="s">
        <v>41</v>
      </c>
      <c r="R336" s="2" t="s">
        <v>59</v>
      </c>
      <c r="S336" s="2" t="s">
        <v>211</v>
      </c>
      <c r="T336" s="2" t="s">
        <v>67</v>
      </c>
      <c r="U336" s="2" t="s">
        <v>448</v>
      </c>
      <c r="V336" s="2" t="n">
        <v>3</v>
      </c>
      <c r="W336" s="2" t="s">
        <v>462</v>
      </c>
      <c r="X336" s="2" t="s">
        <v>915</v>
      </c>
      <c r="Y336" s="2" t="n">
        <f aca="false">IF(AND(OR(Query_Interface!$B$5="All",$D336=Query_Interface!$B$5),OR(Query_Interface!$B$6="All",$F336=Query_Interface!$B$6),OR(Query_Interface!$B$7="All",$H336=Query_Interface!$B$7),OR(Query_Interface!$B$8="All",$N336=Query_Interface!$B$8),OR(Query_Interface!$B$9="All",$L336=Query_Interface!$B$9),OR(Query_Interface!$B$10="All",$R336=Query_Interface!$B$10),OR(Query_Interface!$B$11="All",$T336=Query_Interface!$B$11),OR(Query_Interface!$B$12="All",$Q336=Query_Interface!$B$12)),1,0)</f>
        <v>1</v>
      </c>
      <c r="Z336" s="2" t="n">
        <f aca="false">IF($Y336=1,COUNTIF($Y$2:$Y336,1),"")</f>
        <v>335</v>
      </c>
    </row>
    <row r="337" customFormat="false" ht="46.25" hidden="false" customHeight="false" outlineLevel="0" collapsed="false">
      <c r="A337" s="2" t="s">
        <v>631</v>
      </c>
      <c r="B337" s="2" t="n">
        <v>265</v>
      </c>
      <c r="C337" s="2" t="s">
        <v>686</v>
      </c>
      <c r="D337" s="2" t="s">
        <v>34</v>
      </c>
      <c r="E337" s="2" t="s">
        <v>873</v>
      </c>
      <c r="F337" s="2" t="s">
        <v>35</v>
      </c>
      <c r="G337" s="2" t="s">
        <v>912</v>
      </c>
      <c r="H337" s="2" t="s">
        <v>56</v>
      </c>
      <c r="I337" s="2" t="s">
        <v>913</v>
      </c>
      <c r="J337" s="2" t="s">
        <v>275</v>
      </c>
      <c r="K337" s="2" t="s">
        <v>954</v>
      </c>
      <c r="L337" s="2" t="s">
        <v>69</v>
      </c>
      <c r="M337" s="2" t="s">
        <v>808</v>
      </c>
      <c r="N337" s="2" t="s">
        <v>126</v>
      </c>
      <c r="O337" s="2" t="n">
        <v>2</v>
      </c>
      <c r="P337" s="2" t="n">
        <v>2</v>
      </c>
      <c r="Q337" s="2" t="s">
        <v>41</v>
      </c>
      <c r="R337" s="2" t="s">
        <v>59</v>
      </c>
      <c r="S337" s="2" t="s">
        <v>211</v>
      </c>
      <c r="T337" s="2" t="s">
        <v>67</v>
      </c>
      <c r="U337" s="2" t="s">
        <v>448</v>
      </c>
      <c r="V337" s="2" t="n">
        <v>3</v>
      </c>
      <c r="W337" s="2" t="s">
        <v>462</v>
      </c>
      <c r="X337" s="2" t="s">
        <v>915</v>
      </c>
      <c r="Y337" s="2" t="n">
        <f aca="false">IF(AND(OR(Query_Interface!$B$5="All",$D337=Query_Interface!$B$5),OR(Query_Interface!$B$6="All",$F337=Query_Interface!$B$6),OR(Query_Interface!$B$7="All",$H337=Query_Interface!$B$7),OR(Query_Interface!$B$8="All",$N337=Query_Interface!$B$8),OR(Query_Interface!$B$9="All",$L337=Query_Interface!$B$9),OR(Query_Interface!$B$10="All",$R337=Query_Interface!$B$10),OR(Query_Interface!$B$11="All",$T337=Query_Interface!$B$11),OR(Query_Interface!$B$12="All",$Q337=Query_Interface!$B$12)),1,0)</f>
        <v>1</v>
      </c>
      <c r="Z337" s="2" t="n">
        <f aca="false">IF($Y337=1,COUNTIF($Y$2:$Y337,1),"")</f>
        <v>336</v>
      </c>
    </row>
    <row r="338" customFormat="false" ht="46.25" hidden="false" customHeight="false" outlineLevel="0" collapsed="false">
      <c r="A338" s="2" t="s">
        <v>632</v>
      </c>
      <c r="B338" s="2" t="n">
        <v>266</v>
      </c>
      <c r="C338" s="2" t="s">
        <v>686</v>
      </c>
      <c r="D338" s="2" t="s">
        <v>34</v>
      </c>
      <c r="E338" s="2" t="s">
        <v>873</v>
      </c>
      <c r="F338" s="2" t="s">
        <v>35</v>
      </c>
      <c r="G338" s="2" t="s">
        <v>912</v>
      </c>
      <c r="H338" s="2" t="s">
        <v>56</v>
      </c>
      <c r="I338" s="2" t="s">
        <v>913</v>
      </c>
      <c r="J338" s="2" t="s">
        <v>377</v>
      </c>
      <c r="K338" s="2" t="s">
        <v>957</v>
      </c>
      <c r="L338" s="2" t="s">
        <v>69</v>
      </c>
      <c r="M338" s="2" t="s">
        <v>852</v>
      </c>
      <c r="N338" s="2" t="s">
        <v>114</v>
      </c>
      <c r="O338" s="2" t="n">
        <v>1</v>
      </c>
      <c r="P338" s="2" t="n">
        <v>1</v>
      </c>
      <c r="Q338" s="2" t="s">
        <v>61</v>
      </c>
      <c r="R338" s="2" t="s">
        <v>59</v>
      </c>
      <c r="S338" s="2" t="s">
        <v>211</v>
      </c>
      <c r="T338" s="2" t="s">
        <v>67</v>
      </c>
      <c r="U338" s="2" t="s">
        <v>448</v>
      </c>
      <c r="V338" s="2" t="n">
        <v>4</v>
      </c>
      <c r="W338" s="2" t="s">
        <v>462</v>
      </c>
      <c r="X338" s="2" t="s">
        <v>915</v>
      </c>
      <c r="Y338" s="2" t="n">
        <f aca="false">IF(AND(OR(Query_Interface!$B$5="All",$D338=Query_Interface!$B$5),OR(Query_Interface!$B$6="All",$F338=Query_Interface!$B$6),OR(Query_Interface!$B$7="All",$H338=Query_Interface!$B$7),OR(Query_Interface!$B$8="All",$N338=Query_Interface!$B$8),OR(Query_Interface!$B$9="All",$L338=Query_Interface!$B$9),OR(Query_Interface!$B$10="All",$R338=Query_Interface!$B$10),OR(Query_Interface!$B$11="All",$T338=Query_Interface!$B$11),OR(Query_Interface!$B$12="All",$Q338=Query_Interface!$B$12)),1,0)</f>
        <v>1</v>
      </c>
      <c r="Z338" s="2" t="n">
        <f aca="false">IF($Y338=1,COUNTIF($Y$2:$Y338,1),"")</f>
        <v>337</v>
      </c>
    </row>
    <row r="339" customFormat="false" ht="46.25" hidden="false" customHeight="false" outlineLevel="0" collapsed="false">
      <c r="A339" s="2" t="s">
        <v>633</v>
      </c>
      <c r="B339" s="2" t="n">
        <v>267</v>
      </c>
      <c r="C339" s="2" t="s">
        <v>686</v>
      </c>
      <c r="D339" s="2" t="s">
        <v>34</v>
      </c>
      <c r="E339" s="2" t="s">
        <v>873</v>
      </c>
      <c r="F339" s="2" t="s">
        <v>35</v>
      </c>
      <c r="G339" s="2" t="s">
        <v>912</v>
      </c>
      <c r="H339" s="2" t="s">
        <v>56</v>
      </c>
      <c r="I339" s="2" t="s">
        <v>913</v>
      </c>
      <c r="J339" s="2" t="s">
        <v>544</v>
      </c>
      <c r="K339" s="2" t="s">
        <v>974</v>
      </c>
      <c r="L339" s="2" t="s">
        <v>71</v>
      </c>
      <c r="M339" s="2" t="s">
        <v>762</v>
      </c>
      <c r="N339" s="2" t="s">
        <v>108</v>
      </c>
      <c r="O339" s="2" t="n">
        <v>1</v>
      </c>
      <c r="P339" s="2" t="n">
        <v>1</v>
      </c>
      <c r="Q339" s="2" t="s">
        <v>61</v>
      </c>
      <c r="R339" s="2" t="s">
        <v>59</v>
      </c>
      <c r="S339" s="2" t="s">
        <v>211</v>
      </c>
      <c r="T339" s="2" t="s">
        <v>67</v>
      </c>
      <c r="U339" s="2" t="s">
        <v>461</v>
      </c>
      <c r="V339" s="2" t="n">
        <v>3</v>
      </c>
      <c r="W339" s="2" t="s">
        <v>462</v>
      </c>
      <c r="X339" s="2" t="s">
        <v>915</v>
      </c>
      <c r="Y339" s="2" t="n">
        <f aca="false">IF(AND(OR(Query_Interface!$B$5="All",$D339=Query_Interface!$B$5),OR(Query_Interface!$B$6="All",$F339=Query_Interface!$B$6),OR(Query_Interface!$B$7="All",$H339=Query_Interface!$B$7),OR(Query_Interface!$B$8="All",$N339=Query_Interface!$B$8),OR(Query_Interface!$B$9="All",$L339=Query_Interface!$B$9),OR(Query_Interface!$B$10="All",$R339=Query_Interface!$B$10),OR(Query_Interface!$B$11="All",$T339=Query_Interface!$B$11),OR(Query_Interface!$B$12="All",$Q339=Query_Interface!$B$12)),1,0)</f>
        <v>1</v>
      </c>
      <c r="Z339" s="2" t="n">
        <f aca="false">IF($Y339=1,COUNTIF($Y$2:$Y339,1),"")</f>
        <v>338</v>
      </c>
    </row>
    <row r="340" customFormat="false" ht="46.25" hidden="false" customHeight="false" outlineLevel="0" collapsed="false">
      <c r="A340" s="2" t="s">
        <v>634</v>
      </c>
      <c r="B340" s="2" t="n">
        <v>268</v>
      </c>
      <c r="C340" s="2" t="s">
        <v>686</v>
      </c>
      <c r="D340" s="2" t="s">
        <v>34</v>
      </c>
      <c r="E340" s="2" t="s">
        <v>873</v>
      </c>
      <c r="F340" s="2" t="s">
        <v>35</v>
      </c>
      <c r="G340" s="2" t="s">
        <v>912</v>
      </c>
      <c r="H340" s="2" t="s">
        <v>56</v>
      </c>
      <c r="I340" s="2" t="s">
        <v>913</v>
      </c>
      <c r="J340" s="2" t="s">
        <v>502</v>
      </c>
      <c r="K340" s="2" t="s">
        <v>945</v>
      </c>
      <c r="L340" s="2" t="s">
        <v>69</v>
      </c>
      <c r="M340" s="2" t="s">
        <v>780</v>
      </c>
      <c r="N340" s="2" t="s">
        <v>105</v>
      </c>
      <c r="O340" s="2" t="n">
        <v>1</v>
      </c>
      <c r="P340" s="2" t="n">
        <v>1</v>
      </c>
      <c r="Q340" s="2" t="s">
        <v>61</v>
      </c>
      <c r="R340" s="2" t="s">
        <v>46</v>
      </c>
      <c r="S340" s="2" t="s">
        <v>230</v>
      </c>
      <c r="T340" s="2" t="s">
        <v>64</v>
      </c>
      <c r="U340" s="2" t="s">
        <v>461</v>
      </c>
      <c r="V340" s="2" t="n">
        <v>1</v>
      </c>
      <c r="W340" s="2" t="s">
        <v>462</v>
      </c>
      <c r="X340" s="2" t="s">
        <v>915</v>
      </c>
      <c r="Y340" s="2" t="n">
        <f aca="false">IF(AND(OR(Query_Interface!$B$5="All",$D340=Query_Interface!$B$5),OR(Query_Interface!$B$6="All",$F340=Query_Interface!$B$6),OR(Query_Interface!$B$7="All",$H340=Query_Interface!$B$7),OR(Query_Interface!$B$8="All",$N340=Query_Interface!$B$8),OR(Query_Interface!$B$9="All",$L340=Query_Interface!$B$9),OR(Query_Interface!$B$10="All",$R340=Query_Interface!$B$10),OR(Query_Interface!$B$11="All",$T340=Query_Interface!$B$11),OR(Query_Interface!$B$12="All",$Q340=Query_Interface!$B$12)),1,0)</f>
        <v>1</v>
      </c>
      <c r="Z340" s="2" t="n">
        <f aca="false">IF($Y340=1,COUNTIF($Y$2:$Y340,1),"")</f>
        <v>339</v>
      </c>
    </row>
    <row r="341" customFormat="false" ht="46.25" hidden="false" customHeight="false" outlineLevel="0" collapsed="false">
      <c r="A341" s="2" t="s">
        <v>635</v>
      </c>
      <c r="B341" s="2" t="n">
        <v>269</v>
      </c>
      <c r="C341" s="2" t="s">
        <v>686</v>
      </c>
      <c r="D341" s="2" t="s">
        <v>34</v>
      </c>
      <c r="E341" s="2" t="s">
        <v>873</v>
      </c>
      <c r="F341" s="2" t="s">
        <v>35</v>
      </c>
      <c r="G341" s="2" t="s">
        <v>912</v>
      </c>
      <c r="H341" s="2" t="s">
        <v>56</v>
      </c>
      <c r="I341" s="2" t="s">
        <v>913</v>
      </c>
      <c r="J341" s="2" t="s">
        <v>636</v>
      </c>
      <c r="K341" s="2" t="s">
        <v>1004</v>
      </c>
      <c r="L341" s="2" t="s">
        <v>69</v>
      </c>
      <c r="M341" s="2" t="s">
        <v>698</v>
      </c>
      <c r="N341" s="2" t="s">
        <v>104</v>
      </c>
      <c r="O341" s="2" t="n">
        <v>1</v>
      </c>
      <c r="P341" s="2" t="n">
        <v>1</v>
      </c>
      <c r="Q341" s="2" t="s">
        <v>61</v>
      </c>
      <c r="R341" s="2" t="s">
        <v>39</v>
      </c>
      <c r="S341" s="2" t="s">
        <v>215</v>
      </c>
      <c r="T341" s="2" t="s">
        <v>64</v>
      </c>
      <c r="U341" s="2" t="s">
        <v>461</v>
      </c>
      <c r="V341" s="2" t="n">
        <v>1</v>
      </c>
      <c r="W341" s="2" t="s">
        <v>462</v>
      </c>
      <c r="X341" s="2" t="s">
        <v>915</v>
      </c>
      <c r="Y341" s="2" t="n">
        <f aca="false">IF(AND(OR(Query_Interface!$B$5="All",$D341=Query_Interface!$B$5),OR(Query_Interface!$B$6="All",$F341=Query_Interface!$B$6),OR(Query_Interface!$B$7="All",$H341=Query_Interface!$B$7),OR(Query_Interface!$B$8="All",$N341=Query_Interface!$B$8),OR(Query_Interface!$B$9="All",$L341=Query_Interface!$B$9),OR(Query_Interface!$B$10="All",$R341=Query_Interface!$B$10),OR(Query_Interface!$B$11="All",$T341=Query_Interface!$B$11),OR(Query_Interface!$B$12="All",$Q341=Query_Interface!$B$12)),1,0)</f>
        <v>1</v>
      </c>
      <c r="Z341" s="2" t="n">
        <f aca="false">IF($Y341=1,COUNTIF($Y$2:$Y341,1),"")</f>
        <v>340</v>
      </c>
    </row>
    <row r="342" customFormat="false" ht="46.25" hidden="false" customHeight="false" outlineLevel="0" collapsed="false">
      <c r="A342" s="2" t="s">
        <v>637</v>
      </c>
      <c r="B342" s="2" t="n">
        <v>270</v>
      </c>
      <c r="C342" s="2" t="s">
        <v>686</v>
      </c>
      <c r="D342" s="2" t="s">
        <v>34</v>
      </c>
      <c r="E342" s="2" t="s">
        <v>873</v>
      </c>
      <c r="F342" s="2" t="s">
        <v>35</v>
      </c>
      <c r="G342" s="2" t="s">
        <v>912</v>
      </c>
      <c r="H342" s="2" t="s">
        <v>56</v>
      </c>
      <c r="I342" s="2" t="s">
        <v>913</v>
      </c>
      <c r="J342" s="2" t="s">
        <v>542</v>
      </c>
      <c r="K342" s="2" t="s">
        <v>973</v>
      </c>
      <c r="L342" s="2" t="s">
        <v>66</v>
      </c>
      <c r="M342" s="2" t="s">
        <v>852</v>
      </c>
      <c r="N342" s="2" t="s">
        <v>114</v>
      </c>
      <c r="O342" s="2" t="n">
        <v>1</v>
      </c>
      <c r="P342" s="2" t="n">
        <v>1</v>
      </c>
      <c r="Q342" s="2" t="s">
        <v>61</v>
      </c>
      <c r="R342" s="2" t="s">
        <v>59</v>
      </c>
      <c r="S342" s="2" t="s">
        <v>211</v>
      </c>
      <c r="T342" s="2" t="s">
        <v>67</v>
      </c>
      <c r="U342" s="2" t="s">
        <v>461</v>
      </c>
      <c r="V342" s="2" t="n">
        <v>4</v>
      </c>
      <c r="W342" s="2" t="s">
        <v>462</v>
      </c>
      <c r="X342" s="2" t="s">
        <v>915</v>
      </c>
      <c r="Y342" s="2" t="n">
        <f aca="false">IF(AND(OR(Query_Interface!$B$5="All",$D342=Query_Interface!$B$5),OR(Query_Interface!$B$6="All",$F342=Query_Interface!$B$6),OR(Query_Interface!$B$7="All",$H342=Query_Interface!$B$7),OR(Query_Interface!$B$8="All",$N342=Query_Interface!$B$8),OR(Query_Interface!$B$9="All",$L342=Query_Interface!$B$9),OR(Query_Interface!$B$10="All",$R342=Query_Interface!$B$10),OR(Query_Interface!$B$11="All",$T342=Query_Interface!$B$11),OR(Query_Interface!$B$12="All",$Q342=Query_Interface!$B$12)),1,0)</f>
        <v>1</v>
      </c>
      <c r="Z342" s="2" t="n">
        <f aca="false">IF($Y342=1,COUNTIF($Y$2:$Y342,1),"")</f>
        <v>341</v>
      </c>
    </row>
    <row r="343" customFormat="false" ht="46.25" hidden="false" customHeight="false" outlineLevel="0" collapsed="false">
      <c r="A343" s="2" t="s">
        <v>638</v>
      </c>
      <c r="B343" s="2" t="n">
        <v>271</v>
      </c>
      <c r="C343" s="2" t="s">
        <v>686</v>
      </c>
      <c r="D343" s="2" t="s">
        <v>34</v>
      </c>
      <c r="E343" s="2" t="s">
        <v>873</v>
      </c>
      <c r="F343" s="2" t="s">
        <v>35</v>
      </c>
      <c r="G343" s="2" t="s">
        <v>912</v>
      </c>
      <c r="H343" s="2" t="s">
        <v>56</v>
      </c>
      <c r="I343" s="2" t="s">
        <v>913</v>
      </c>
      <c r="J343" s="2" t="s">
        <v>639</v>
      </c>
      <c r="K343" s="2" t="s">
        <v>1005</v>
      </c>
      <c r="L343" s="2" t="s">
        <v>71</v>
      </c>
      <c r="M343" s="2" t="s">
        <v>698</v>
      </c>
      <c r="N343" s="2" t="s">
        <v>104</v>
      </c>
      <c r="O343" s="2" t="n">
        <v>1</v>
      </c>
      <c r="P343" s="2" t="n">
        <v>1</v>
      </c>
      <c r="Q343" s="2" t="s">
        <v>61</v>
      </c>
      <c r="R343" s="2" t="s">
        <v>39</v>
      </c>
      <c r="S343" s="2" t="s">
        <v>215</v>
      </c>
      <c r="T343" s="2" t="s">
        <v>64</v>
      </c>
      <c r="U343" s="2" t="s">
        <v>461</v>
      </c>
      <c r="V343" s="2" t="n">
        <v>1</v>
      </c>
      <c r="W343" s="2" t="s">
        <v>462</v>
      </c>
      <c r="X343" s="2" t="s">
        <v>915</v>
      </c>
      <c r="Y343" s="2" t="n">
        <f aca="false">IF(AND(OR(Query_Interface!$B$5="All",$D343=Query_Interface!$B$5),OR(Query_Interface!$B$6="All",$F343=Query_Interface!$B$6),OR(Query_Interface!$B$7="All",$H343=Query_Interface!$B$7),OR(Query_Interface!$B$8="All",$N343=Query_Interface!$B$8),OR(Query_Interface!$B$9="All",$L343=Query_Interface!$B$9),OR(Query_Interface!$B$10="All",$R343=Query_Interface!$B$10),OR(Query_Interface!$B$11="All",$T343=Query_Interface!$B$11),OR(Query_Interface!$B$12="All",$Q343=Query_Interface!$B$12)),1,0)</f>
        <v>1</v>
      </c>
      <c r="Z343" s="2" t="n">
        <f aca="false">IF($Y343=1,COUNTIF($Y$2:$Y343,1),"")</f>
        <v>342</v>
      </c>
    </row>
    <row r="344" customFormat="false" ht="46.25" hidden="false" customHeight="false" outlineLevel="0" collapsed="false">
      <c r="A344" s="2" t="s">
        <v>640</v>
      </c>
      <c r="B344" s="2" t="n">
        <v>272</v>
      </c>
      <c r="C344" s="2" t="s">
        <v>686</v>
      </c>
      <c r="D344" s="2" t="s">
        <v>34</v>
      </c>
      <c r="E344" s="2" t="s">
        <v>873</v>
      </c>
      <c r="F344" s="2" t="s">
        <v>35</v>
      </c>
      <c r="G344" s="2" t="s">
        <v>912</v>
      </c>
      <c r="H344" s="2" t="s">
        <v>56</v>
      </c>
      <c r="I344" s="2" t="s">
        <v>913</v>
      </c>
      <c r="J344" s="2" t="s">
        <v>641</v>
      </c>
      <c r="K344" s="2" t="s">
        <v>1006</v>
      </c>
      <c r="L344" s="2" t="s">
        <v>52</v>
      </c>
      <c r="M344" s="2" t="s">
        <v>768</v>
      </c>
      <c r="N344" s="2" t="s">
        <v>90</v>
      </c>
      <c r="O344" s="2" t="n">
        <v>1</v>
      </c>
      <c r="P344" s="2" t="n">
        <v>1</v>
      </c>
      <c r="Q344" s="2" t="s">
        <v>61</v>
      </c>
      <c r="R344" s="2" t="s">
        <v>59</v>
      </c>
      <c r="S344" s="2" t="s">
        <v>211</v>
      </c>
      <c r="T344" s="2" t="s">
        <v>64</v>
      </c>
      <c r="U344" s="2" t="s">
        <v>461</v>
      </c>
      <c r="V344" s="2" t="n">
        <v>1</v>
      </c>
      <c r="W344" s="2" t="s">
        <v>462</v>
      </c>
      <c r="X344" s="2" t="s">
        <v>915</v>
      </c>
      <c r="Y344" s="2" t="n">
        <f aca="false">IF(AND(OR(Query_Interface!$B$5="All",$D344=Query_Interface!$B$5),OR(Query_Interface!$B$6="All",$F344=Query_Interface!$B$6),OR(Query_Interface!$B$7="All",$H344=Query_Interface!$B$7),OR(Query_Interface!$B$8="All",$N344=Query_Interface!$B$8),OR(Query_Interface!$B$9="All",$L344=Query_Interface!$B$9),OR(Query_Interface!$B$10="All",$R344=Query_Interface!$B$10),OR(Query_Interface!$B$11="All",$T344=Query_Interface!$B$11),OR(Query_Interface!$B$12="All",$Q344=Query_Interface!$B$12)),1,0)</f>
        <v>1</v>
      </c>
      <c r="Z344" s="2" t="n">
        <f aca="false">IF($Y344=1,COUNTIF($Y$2:$Y344,1),"")</f>
        <v>343</v>
      </c>
    </row>
    <row r="345" customFormat="false" ht="46.25" hidden="false" customHeight="false" outlineLevel="0" collapsed="false">
      <c r="A345" s="2" t="s">
        <v>642</v>
      </c>
      <c r="B345" s="2" t="n">
        <v>273</v>
      </c>
      <c r="C345" s="2" t="s">
        <v>686</v>
      </c>
      <c r="D345" s="2" t="s">
        <v>34</v>
      </c>
      <c r="E345" s="2" t="s">
        <v>873</v>
      </c>
      <c r="F345" s="2" t="s">
        <v>35</v>
      </c>
      <c r="G345" s="2" t="s">
        <v>912</v>
      </c>
      <c r="H345" s="2" t="s">
        <v>56</v>
      </c>
      <c r="I345" s="2" t="s">
        <v>913</v>
      </c>
      <c r="J345" s="2" t="s">
        <v>291</v>
      </c>
      <c r="K345" s="2" t="s">
        <v>976</v>
      </c>
      <c r="L345" s="2" t="s">
        <v>52</v>
      </c>
      <c r="M345" s="2" t="s">
        <v>768</v>
      </c>
      <c r="N345" s="2" t="s">
        <v>90</v>
      </c>
      <c r="O345" s="2" t="n">
        <v>1</v>
      </c>
      <c r="P345" s="2" t="n">
        <v>1</v>
      </c>
      <c r="Q345" s="2" t="s">
        <v>61</v>
      </c>
      <c r="R345" s="2" t="s">
        <v>46</v>
      </c>
      <c r="S345" s="2" t="s">
        <v>230</v>
      </c>
      <c r="T345" s="2" t="s">
        <v>64</v>
      </c>
      <c r="U345" s="2" t="s">
        <v>461</v>
      </c>
      <c r="V345" s="2" t="n">
        <v>1</v>
      </c>
      <c r="W345" s="2" t="s">
        <v>462</v>
      </c>
      <c r="X345" s="2" t="s">
        <v>915</v>
      </c>
      <c r="Y345" s="2" t="n">
        <f aca="false">IF(AND(OR(Query_Interface!$B$5="All",$D345=Query_Interface!$B$5),OR(Query_Interface!$B$6="All",$F345=Query_Interface!$B$6),OR(Query_Interface!$B$7="All",$H345=Query_Interface!$B$7),OR(Query_Interface!$B$8="All",$N345=Query_Interface!$B$8),OR(Query_Interface!$B$9="All",$L345=Query_Interface!$B$9),OR(Query_Interface!$B$10="All",$R345=Query_Interface!$B$10),OR(Query_Interface!$B$11="All",$T345=Query_Interface!$B$11),OR(Query_Interface!$B$12="All",$Q345=Query_Interface!$B$12)),1,0)</f>
        <v>1</v>
      </c>
      <c r="Z345" s="2" t="n">
        <f aca="false">IF($Y345=1,COUNTIF($Y$2:$Y345,1),"")</f>
        <v>344</v>
      </c>
    </row>
    <row r="346" customFormat="false" ht="46.25" hidden="false" customHeight="false" outlineLevel="0" collapsed="false">
      <c r="A346" s="2" t="s">
        <v>643</v>
      </c>
      <c r="B346" s="2" t="n">
        <v>274</v>
      </c>
      <c r="C346" s="2" t="s">
        <v>686</v>
      </c>
      <c r="D346" s="2" t="s">
        <v>34</v>
      </c>
      <c r="E346" s="2" t="s">
        <v>873</v>
      </c>
      <c r="F346" s="2" t="s">
        <v>35</v>
      </c>
      <c r="G346" s="2" t="s">
        <v>912</v>
      </c>
      <c r="H346" s="2" t="s">
        <v>56</v>
      </c>
      <c r="I346" s="2" t="s">
        <v>913</v>
      </c>
      <c r="J346" s="2" t="s">
        <v>339</v>
      </c>
      <c r="K346" s="2" t="s">
        <v>920</v>
      </c>
      <c r="L346" s="2" t="s">
        <v>52</v>
      </c>
      <c r="M346" s="2" t="s">
        <v>768</v>
      </c>
      <c r="N346" s="2" t="s">
        <v>90</v>
      </c>
      <c r="O346" s="2" t="n">
        <v>1</v>
      </c>
      <c r="P346" s="2" t="n">
        <v>1</v>
      </c>
      <c r="Q346" s="2" t="s">
        <v>61</v>
      </c>
      <c r="R346" s="2" t="s">
        <v>46</v>
      </c>
      <c r="S346" s="2" t="s">
        <v>230</v>
      </c>
      <c r="T346" s="2" t="s">
        <v>64</v>
      </c>
      <c r="U346" s="2" t="s">
        <v>461</v>
      </c>
      <c r="V346" s="2" t="n">
        <v>1</v>
      </c>
      <c r="W346" s="2" t="s">
        <v>462</v>
      </c>
      <c r="X346" s="2" t="s">
        <v>915</v>
      </c>
      <c r="Y346" s="2" t="n">
        <f aca="false">IF(AND(OR(Query_Interface!$B$5="All",$D346=Query_Interface!$B$5),OR(Query_Interface!$B$6="All",$F346=Query_Interface!$B$6),OR(Query_Interface!$B$7="All",$H346=Query_Interface!$B$7),OR(Query_Interface!$B$8="All",$N346=Query_Interface!$B$8),OR(Query_Interface!$B$9="All",$L346=Query_Interface!$B$9),OR(Query_Interface!$B$10="All",$R346=Query_Interface!$B$10),OR(Query_Interface!$B$11="All",$T346=Query_Interface!$B$11),OR(Query_Interface!$B$12="All",$Q346=Query_Interface!$B$12)),1,0)</f>
        <v>1</v>
      </c>
      <c r="Z346" s="2" t="n">
        <f aca="false">IF($Y346=1,COUNTIF($Y$2:$Y346,1),"")</f>
        <v>345</v>
      </c>
    </row>
    <row r="347" customFormat="false" ht="46.25" hidden="false" customHeight="false" outlineLevel="0" collapsed="false">
      <c r="A347" s="2" t="s">
        <v>644</v>
      </c>
      <c r="B347" s="2" t="n">
        <v>275</v>
      </c>
      <c r="C347" s="2" t="s">
        <v>686</v>
      </c>
      <c r="D347" s="2" t="s">
        <v>34</v>
      </c>
      <c r="E347" s="2" t="s">
        <v>873</v>
      </c>
      <c r="F347" s="2" t="s">
        <v>35</v>
      </c>
      <c r="G347" s="2" t="s">
        <v>912</v>
      </c>
      <c r="H347" s="2" t="s">
        <v>56</v>
      </c>
      <c r="I347" s="2" t="s">
        <v>913</v>
      </c>
      <c r="J347" s="2" t="s">
        <v>645</v>
      </c>
      <c r="K347" s="2" t="s">
        <v>1007</v>
      </c>
      <c r="L347" s="2" t="s">
        <v>38</v>
      </c>
      <c r="M347" s="2" t="s">
        <v>938</v>
      </c>
      <c r="N347" s="2" t="s">
        <v>83</v>
      </c>
      <c r="O347" s="2" t="n">
        <v>1</v>
      </c>
      <c r="P347" s="2" t="n">
        <v>2</v>
      </c>
      <c r="Q347" s="2" t="s">
        <v>41</v>
      </c>
      <c r="R347" s="2" t="s">
        <v>59</v>
      </c>
      <c r="S347" s="2" t="s">
        <v>211</v>
      </c>
      <c r="T347" s="2" t="s">
        <v>67</v>
      </c>
      <c r="U347" s="2" t="s">
        <v>461</v>
      </c>
      <c r="V347" s="2" t="n">
        <v>1</v>
      </c>
      <c r="W347" s="2" t="s">
        <v>462</v>
      </c>
      <c r="X347" s="2" t="s">
        <v>915</v>
      </c>
      <c r="Y347" s="2" t="n">
        <f aca="false">IF(AND(OR(Query_Interface!$B$5="All",$D347=Query_Interface!$B$5),OR(Query_Interface!$B$6="All",$F347=Query_Interface!$B$6),OR(Query_Interface!$B$7="All",$H347=Query_Interface!$B$7),OR(Query_Interface!$B$8="All",$N347=Query_Interface!$B$8),OR(Query_Interface!$B$9="All",$L347=Query_Interface!$B$9),OR(Query_Interface!$B$10="All",$R347=Query_Interface!$B$10),OR(Query_Interface!$B$11="All",$T347=Query_Interface!$B$11),OR(Query_Interface!$B$12="All",$Q347=Query_Interface!$B$12)),1,0)</f>
        <v>1</v>
      </c>
      <c r="Z347" s="2" t="n">
        <f aca="false">IF($Y347=1,COUNTIF($Y$2:$Y347,1),"")</f>
        <v>346</v>
      </c>
    </row>
    <row r="348" customFormat="false" ht="46.25" hidden="false" customHeight="false" outlineLevel="0" collapsed="false">
      <c r="A348" s="2" t="s">
        <v>644</v>
      </c>
      <c r="B348" s="2" t="n">
        <v>275</v>
      </c>
      <c r="C348" s="2" t="s">
        <v>686</v>
      </c>
      <c r="D348" s="2" t="s">
        <v>34</v>
      </c>
      <c r="E348" s="2" t="s">
        <v>873</v>
      </c>
      <c r="F348" s="2" t="s">
        <v>35</v>
      </c>
      <c r="G348" s="2" t="s">
        <v>912</v>
      </c>
      <c r="H348" s="2" t="s">
        <v>56</v>
      </c>
      <c r="I348" s="2" t="s">
        <v>913</v>
      </c>
      <c r="J348" s="2" t="s">
        <v>645</v>
      </c>
      <c r="K348" s="2" t="s">
        <v>1007</v>
      </c>
      <c r="L348" s="2" t="s">
        <v>38</v>
      </c>
      <c r="M348" s="2" t="s">
        <v>724</v>
      </c>
      <c r="N348" s="2" t="s">
        <v>142</v>
      </c>
      <c r="O348" s="2" t="n">
        <v>2</v>
      </c>
      <c r="P348" s="2" t="n">
        <v>2</v>
      </c>
      <c r="Q348" s="2" t="s">
        <v>41</v>
      </c>
      <c r="R348" s="2" t="s">
        <v>59</v>
      </c>
      <c r="S348" s="2" t="s">
        <v>211</v>
      </c>
      <c r="T348" s="2" t="s">
        <v>67</v>
      </c>
      <c r="U348" s="2" t="s">
        <v>461</v>
      </c>
      <c r="V348" s="2" t="n">
        <v>1</v>
      </c>
      <c r="W348" s="2" t="s">
        <v>462</v>
      </c>
      <c r="X348" s="2" t="s">
        <v>915</v>
      </c>
      <c r="Y348" s="2" t="n">
        <f aca="false">IF(AND(OR(Query_Interface!$B$5="All",$D348=Query_Interface!$B$5),OR(Query_Interface!$B$6="All",$F348=Query_Interface!$B$6),OR(Query_Interface!$B$7="All",$H348=Query_Interface!$B$7),OR(Query_Interface!$B$8="All",$N348=Query_Interface!$B$8),OR(Query_Interface!$B$9="All",$L348=Query_Interface!$B$9),OR(Query_Interface!$B$10="All",$R348=Query_Interface!$B$10),OR(Query_Interface!$B$11="All",$T348=Query_Interface!$B$11),OR(Query_Interface!$B$12="All",$Q348=Query_Interface!$B$12)),1,0)</f>
        <v>1</v>
      </c>
      <c r="Z348" s="2" t="n">
        <f aca="false">IF($Y348=1,COUNTIF($Y$2:$Y348,1),"")</f>
        <v>347</v>
      </c>
    </row>
    <row r="349" customFormat="false" ht="46.25" hidden="false" customHeight="false" outlineLevel="0" collapsed="false">
      <c r="A349" s="2" t="s">
        <v>646</v>
      </c>
      <c r="B349" s="2" t="n">
        <v>276</v>
      </c>
      <c r="C349" s="2" t="s">
        <v>686</v>
      </c>
      <c r="D349" s="2" t="s">
        <v>34</v>
      </c>
      <c r="E349" s="2" t="s">
        <v>873</v>
      </c>
      <c r="F349" s="2" t="s">
        <v>35</v>
      </c>
      <c r="G349" s="2" t="s">
        <v>912</v>
      </c>
      <c r="H349" s="2" t="s">
        <v>56</v>
      </c>
      <c r="I349" s="2" t="s">
        <v>913</v>
      </c>
      <c r="J349" s="2" t="s">
        <v>647</v>
      </c>
      <c r="K349" s="2" t="s">
        <v>1008</v>
      </c>
      <c r="L349" s="2" t="s">
        <v>38</v>
      </c>
      <c r="M349" s="2" t="s">
        <v>1009</v>
      </c>
      <c r="N349" s="2" t="s">
        <v>81</v>
      </c>
      <c r="O349" s="2" t="n">
        <v>1</v>
      </c>
      <c r="P349" s="2" t="n">
        <v>1</v>
      </c>
      <c r="Q349" s="2" t="s">
        <v>61</v>
      </c>
      <c r="R349" s="2" t="s">
        <v>39</v>
      </c>
      <c r="S349" s="2" t="s">
        <v>215</v>
      </c>
      <c r="T349" s="2" t="s">
        <v>64</v>
      </c>
      <c r="U349" s="2" t="s">
        <v>461</v>
      </c>
      <c r="V349" s="2" t="n">
        <v>2</v>
      </c>
      <c r="W349" s="2" t="s">
        <v>462</v>
      </c>
      <c r="X349" s="2" t="s">
        <v>915</v>
      </c>
      <c r="Y349" s="2" t="n">
        <f aca="false">IF(AND(OR(Query_Interface!$B$5="All",$D349=Query_Interface!$B$5),OR(Query_Interface!$B$6="All",$F349=Query_Interface!$B$6),OR(Query_Interface!$B$7="All",$H349=Query_Interface!$B$7),OR(Query_Interface!$B$8="All",$N349=Query_Interface!$B$8),OR(Query_Interface!$B$9="All",$L349=Query_Interface!$B$9),OR(Query_Interface!$B$10="All",$R349=Query_Interface!$B$10),OR(Query_Interface!$B$11="All",$T349=Query_Interface!$B$11),OR(Query_Interface!$B$12="All",$Q349=Query_Interface!$B$12)),1,0)</f>
        <v>1</v>
      </c>
      <c r="Z349" s="2" t="n">
        <f aca="false">IF($Y349=1,COUNTIF($Y$2:$Y349,1),"")</f>
        <v>348</v>
      </c>
    </row>
    <row r="350" customFormat="false" ht="46.25" hidden="false" customHeight="false" outlineLevel="0" collapsed="false">
      <c r="A350" s="2" t="s">
        <v>648</v>
      </c>
      <c r="B350" s="2" t="n">
        <v>277</v>
      </c>
      <c r="C350" s="2" t="s">
        <v>686</v>
      </c>
      <c r="D350" s="2" t="s">
        <v>34</v>
      </c>
      <c r="E350" s="2" t="s">
        <v>873</v>
      </c>
      <c r="F350" s="2" t="s">
        <v>35</v>
      </c>
      <c r="G350" s="2" t="s">
        <v>912</v>
      </c>
      <c r="H350" s="2" t="s">
        <v>56</v>
      </c>
      <c r="I350" s="2" t="s">
        <v>913</v>
      </c>
      <c r="J350" s="2" t="s">
        <v>649</v>
      </c>
      <c r="K350" s="2" t="s">
        <v>1010</v>
      </c>
      <c r="L350" s="2" t="s">
        <v>38</v>
      </c>
      <c r="M350" s="2" t="s">
        <v>722</v>
      </c>
      <c r="N350" s="2" t="s">
        <v>72</v>
      </c>
      <c r="O350" s="2" t="n">
        <v>1</v>
      </c>
      <c r="P350" s="2" t="n">
        <v>2</v>
      </c>
      <c r="Q350" s="2" t="s">
        <v>41</v>
      </c>
      <c r="R350" s="2" t="s">
        <v>46</v>
      </c>
      <c r="S350" s="2" t="s">
        <v>230</v>
      </c>
      <c r="T350" s="2" t="s">
        <v>67</v>
      </c>
      <c r="U350" s="2" t="s">
        <v>461</v>
      </c>
      <c r="V350" s="2" t="n">
        <v>1</v>
      </c>
      <c r="W350" s="2" t="s">
        <v>462</v>
      </c>
      <c r="X350" s="2" t="s">
        <v>915</v>
      </c>
      <c r="Y350" s="2" t="n">
        <f aca="false">IF(AND(OR(Query_Interface!$B$5="All",$D350=Query_Interface!$B$5),OR(Query_Interface!$B$6="All",$F350=Query_Interface!$B$6),OR(Query_Interface!$B$7="All",$H350=Query_Interface!$B$7),OR(Query_Interface!$B$8="All",$N350=Query_Interface!$B$8),OR(Query_Interface!$B$9="All",$L350=Query_Interface!$B$9),OR(Query_Interface!$B$10="All",$R350=Query_Interface!$B$10),OR(Query_Interface!$B$11="All",$T350=Query_Interface!$B$11),OR(Query_Interface!$B$12="All",$Q350=Query_Interface!$B$12)),1,0)</f>
        <v>1</v>
      </c>
      <c r="Z350" s="2" t="n">
        <f aca="false">IF($Y350=1,COUNTIF($Y$2:$Y350,1),"")</f>
        <v>349</v>
      </c>
    </row>
    <row r="351" customFormat="false" ht="46.25" hidden="false" customHeight="false" outlineLevel="0" collapsed="false">
      <c r="A351" s="2" t="s">
        <v>648</v>
      </c>
      <c r="B351" s="2" t="n">
        <v>277</v>
      </c>
      <c r="C351" s="2" t="s">
        <v>686</v>
      </c>
      <c r="D351" s="2" t="s">
        <v>34</v>
      </c>
      <c r="E351" s="2" t="s">
        <v>873</v>
      </c>
      <c r="F351" s="2" t="s">
        <v>35</v>
      </c>
      <c r="G351" s="2" t="s">
        <v>912</v>
      </c>
      <c r="H351" s="2" t="s">
        <v>56</v>
      </c>
      <c r="I351" s="2" t="s">
        <v>913</v>
      </c>
      <c r="J351" s="2" t="s">
        <v>649</v>
      </c>
      <c r="K351" s="2" t="s">
        <v>1010</v>
      </c>
      <c r="L351" s="2" t="s">
        <v>38</v>
      </c>
      <c r="M351" s="2" t="s">
        <v>734</v>
      </c>
      <c r="N351" s="2" t="s">
        <v>87</v>
      </c>
      <c r="O351" s="2" t="n">
        <v>2</v>
      </c>
      <c r="P351" s="2" t="n">
        <v>2</v>
      </c>
      <c r="Q351" s="2" t="s">
        <v>41</v>
      </c>
      <c r="R351" s="2" t="s">
        <v>46</v>
      </c>
      <c r="S351" s="2" t="s">
        <v>230</v>
      </c>
      <c r="T351" s="2" t="s">
        <v>67</v>
      </c>
      <c r="U351" s="2" t="s">
        <v>461</v>
      </c>
      <c r="V351" s="2" t="n">
        <v>1</v>
      </c>
      <c r="W351" s="2" t="s">
        <v>462</v>
      </c>
      <c r="X351" s="2" t="s">
        <v>915</v>
      </c>
      <c r="Y351" s="2" t="n">
        <f aca="false">IF(AND(OR(Query_Interface!$B$5="All",$D351=Query_Interface!$B$5),OR(Query_Interface!$B$6="All",$F351=Query_Interface!$B$6),OR(Query_Interface!$B$7="All",$H351=Query_Interface!$B$7),OR(Query_Interface!$B$8="All",$N351=Query_Interface!$B$8),OR(Query_Interface!$B$9="All",$L351=Query_Interface!$B$9),OR(Query_Interface!$B$10="All",$R351=Query_Interface!$B$10),OR(Query_Interface!$B$11="All",$T351=Query_Interface!$B$11),OR(Query_Interface!$B$12="All",$Q351=Query_Interface!$B$12)),1,0)</f>
        <v>1</v>
      </c>
      <c r="Z351" s="2" t="n">
        <f aca="false">IF($Y351=1,COUNTIF($Y$2:$Y351,1),"")</f>
        <v>350</v>
      </c>
    </row>
    <row r="352" customFormat="false" ht="46.25" hidden="false" customHeight="false" outlineLevel="0" collapsed="false">
      <c r="A352" s="2" t="s">
        <v>650</v>
      </c>
      <c r="B352" s="2" t="n">
        <v>278</v>
      </c>
      <c r="C352" s="2" t="s">
        <v>686</v>
      </c>
      <c r="D352" s="2" t="s">
        <v>34</v>
      </c>
      <c r="E352" s="2" t="s">
        <v>873</v>
      </c>
      <c r="F352" s="2" t="s">
        <v>35</v>
      </c>
      <c r="G352" s="2" t="s">
        <v>912</v>
      </c>
      <c r="H352" s="2" t="s">
        <v>56</v>
      </c>
      <c r="I352" s="2" t="s">
        <v>913</v>
      </c>
      <c r="J352" s="2" t="s">
        <v>259</v>
      </c>
      <c r="K352" s="2" t="s">
        <v>943</v>
      </c>
      <c r="L352" s="2" t="s">
        <v>38</v>
      </c>
      <c r="M352" s="2" t="s">
        <v>734</v>
      </c>
      <c r="N352" s="2" t="s">
        <v>87</v>
      </c>
      <c r="O352" s="2" t="n">
        <v>1</v>
      </c>
      <c r="P352" s="2" t="n">
        <v>1</v>
      </c>
      <c r="Q352" s="2" t="s">
        <v>61</v>
      </c>
      <c r="R352" s="2" t="s">
        <v>39</v>
      </c>
      <c r="S352" s="2" t="s">
        <v>215</v>
      </c>
      <c r="T352" s="2" t="s">
        <v>64</v>
      </c>
      <c r="U352" s="2" t="s">
        <v>461</v>
      </c>
      <c r="V352" s="2" t="n">
        <v>1</v>
      </c>
      <c r="W352" s="2" t="s">
        <v>462</v>
      </c>
      <c r="X352" s="2" t="s">
        <v>915</v>
      </c>
      <c r="Y352" s="2" t="n">
        <f aca="false">IF(AND(OR(Query_Interface!$B$5="All",$D352=Query_Interface!$B$5),OR(Query_Interface!$B$6="All",$F352=Query_Interface!$B$6),OR(Query_Interface!$B$7="All",$H352=Query_Interface!$B$7),OR(Query_Interface!$B$8="All",$N352=Query_Interface!$B$8),OR(Query_Interface!$B$9="All",$L352=Query_Interface!$B$9),OR(Query_Interface!$B$10="All",$R352=Query_Interface!$B$10),OR(Query_Interface!$B$11="All",$T352=Query_Interface!$B$11),OR(Query_Interface!$B$12="All",$Q352=Query_Interface!$B$12)),1,0)</f>
        <v>1</v>
      </c>
      <c r="Z352" s="2" t="n">
        <f aca="false">IF($Y352=1,COUNTIF($Y$2:$Y352,1),"")</f>
        <v>351</v>
      </c>
    </row>
    <row r="353" customFormat="false" ht="46.25" hidden="false" customHeight="false" outlineLevel="0" collapsed="false">
      <c r="A353" s="2" t="s">
        <v>651</v>
      </c>
      <c r="B353" s="2" t="n">
        <v>279</v>
      </c>
      <c r="C353" s="2" t="s">
        <v>686</v>
      </c>
      <c r="D353" s="2" t="s">
        <v>34</v>
      </c>
      <c r="E353" s="2" t="s">
        <v>873</v>
      </c>
      <c r="F353" s="2" t="s">
        <v>35</v>
      </c>
      <c r="G353" s="2" t="s">
        <v>912</v>
      </c>
      <c r="H353" s="2" t="s">
        <v>56</v>
      </c>
      <c r="I353" s="2" t="s">
        <v>913</v>
      </c>
      <c r="J353" s="2" t="s">
        <v>265</v>
      </c>
      <c r="K353" s="2" t="s">
        <v>946</v>
      </c>
      <c r="L353" s="2" t="s">
        <v>38</v>
      </c>
      <c r="M353" s="2" t="s">
        <v>740</v>
      </c>
      <c r="N353" s="2" t="s">
        <v>82</v>
      </c>
      <c r="O353" s="2" t="n">
        <v>1</v>
      </c>
      <c r="P353" s="2" t="n">
        <v>1</v>
      </c>
      <c r="Q353" s="2" t="s">
        <v>61</v>
      </c>
      <c r="R353" s="2" t="s">
        <v>39</v>
      </c>
      <c r="S353" s="2" t="s">
        <v>215</v>
      </c>
      <c r="T353" s="2" t="s">
        <v>64</v>
      </c>
      <c r="U353" s="2" t="s">
        <v>461</v>
      </c>
      <c r="V353" s="2" t="n">
        <v>1</v>
      </c>
      <c r="W353" s="2" t="s">
        <v>462</v>
      </c>
      <c r="X353" s="2" t="s">
        <v>915</v>
      </c>
      <c r="Y353" s="2" t="n">
        <f aca="false">IF(AND(OR(Query_Interface!$B$5="All",$D353=Query_Interface!$B$5),OR(Query_Interface!$B$6="All",$F353=Query_Interface!$B$6),OR(Query_Interface!$B$7="All",$H353=Query_Interface!$B$7),OR(Query_Interface!$B$8="All",$N353=Query_Interface!$B$8),OR(Query_Interface!$B$9="All",$L353=Query_Interface!$B$9),OR(Query_Interface!$B$10="All",$R353=Query_Interface!$B$10),OR(Query_Interface!$B$11="All",$T353=Query_Interface!$B$11),OR(Query_Interface!$B$12="All",$Q353=Query_Interface!$B$12)),1,0)</f>
        <v>1</v>
      </c>
      <c r="Z353" s="2" t="n">
        <f aca="false">IF($Y353=1,COUNTIF($Y$2:$Y353,1),"")</f>
        <v>352</v>
      </c>
    </row>
  </sheetData>
  <autoFilter ref="A1:X3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35"/>
  </cols>
  <sheetData>
    <row r="1" customFormat="false" ht="15" hidden="false" customHeight="false" outlineLevel="0" collapsed="false">
      <c r="A1" s="3" t="s">
        <v>1011</v>
      </c>
      <c r="B1" s="3" t="s">
        <v>1012</v>
      </c>
      <c r="C1" s="3" t="s">
        <v>1013</v>
      </c>
      <c r="D1" s="3" t="s">
        <v>1014</v>
      </c>
    </row>
    <row r="2" customFormat="false" ht="15" hidden="false" customHeight="false" outlineLevel="0" collapsed="false">
      <c r="A2" s="2" t="s">
        <v>1015</v>
      </c>
      <c r="B2" s="2" t="s">
        <v>1016</v>
      </c>
      <c r="C2" s="2" t="s">
        <v>23</v>
      </c>
      <c r="D2" s="2" t="s">
        <v>1017</v>
      </c>
    </row>
    <row r="3" customFormat="false" ht="23.85" hidden="false" customHeight="false" outlineLevel="0" collapsed="false">
      <c r="A3" s="2" t="s">
        <v>1018</v>
      </c>
      <c r="B3" s="2" t="s">
        <v>1016</v>
      </c>
      <c r="C3" s="2" t="s">
        <v>8</v>
      </c>
      <c r="D3" s="2" t="s">
        <v>1019</v>
      </c>
    </row>
    <row r="4" customFormat="false" ht="23.85" hidden="false" customHeight="false" outlineLevel="0" collapsed="false">
      <c r="A4" s="2" t="s">
        <v>1020</v>
      </c>
      <c r="B4" s="2" t="s">
        <v>1016</v>
      </c>
      <c r="C4" s="2" t="s">
        <v>24</v>
      </c>
      <c r="D4" s="2" t="s">
        <v>1021</v>
      </c>
    </row>
    <row r="5" customFormat="false" ht="15" hidden="false" customHeight="false" outlineLevel="0" collapsed="false">
      <c r="A5" s="2" t="s">
        <v>1022</v>
      </c>
      <c r="B5" s="2" t="s">
        <v>1016</v>
      </c>
      <c r="C5" s="2" t="s">
        <v>26</v>
      </c>
      <c r="D5" s="2" t="s">
        <v>1023</v>
      </c>
    </row>
    <row r="6" customFormat="false" ht="35.05" hidden="false" customHeight="false" outlineLevel="0" collapsed="false">
      <c r="A6" s="2" t="s">
        <v>1024</v>
      </c>
      <c r="B6" s="2" t="s">
        <v>1016</v>
      </c>
      <c r="C6" s="2" t="s">
        <v>27</v>
      </c>
      <c r="D6" s="2" t="s">
        <v>1025</v>
      </c>
    </row>
    <row r="7" customFormat="false" ht="23.85" hidden="false" customHeight="false" outlineLevel="0" collapsed="false">
      <c r="A7" s="2" t="s">
        <v>1026</v>
      </c>
      <c r="B7" s="2" t="s">
        <v>1016</v>
      </c>
      <c r="C7" s="2" t="s">
        <v>1027</v>
      </c>
      <c r="D7" s="2" t="s">
        <v>1028</v>
      </c>
    </row>
    <row r="8" customFormat="false" ht="15" hidden="false" customHeight="false" outlineLevel="0" collapsed="false">
      <c r="A8" s="2" t="s">
        <v>1029</v>
      </c>
      <c r="B8" s="2" t="s">
        <v>1016</v>
      </c>
      <c r="C8" s="2" t="s">
        <v>1030</v>
      </c>
      <c r="D8" s="2" t="s">
        <v>1031</v>
      </c>
    </row>
    <row r="9" customFormat="false" ht="23.85" hidden="false" customHeight="false" outlineLevel="0" collapsed="false">
      <c r="A9" s="2" t="s">
        <v>1032</v>
      </c>
      <c r="B9" s="2" t="s">
        <v>1033</v>
      </c>
      <c r="C9" s="2" t="s">
        <v>1034</v>
      </c>
      <c r="D9" s="2" t="s">
        <v>1035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38"/>
  </cols>
  <sheetData>
    <row r="1" customFormat="false" ht="15" hidden="false" customHeight="false" outlineLevel="0" collapsed="false">
      <c r="A1" s="3" t="s">
        <v>1036</v>
      </c>
      <c r="B1" s="3" t="s">
        <v>1037</v>
      </c>
      <c r="C1" s="3" t="s">
        <v>1038</v>
      </c>
      <c r="D1" s="3" t="s">
        <v>1039</v>
      </c>
    </row>
    <row r="2" customFormat="false" ht="68.65" hidden="false" customHeight="false" outlineLevel="0" collapsed="false">
      <c r="A2" s="2" t="s">
        <v>1040</v>
      </c>
      <c r="B2" s="2" t="s">
        <v>1041</v>
      </c>
      <c r="C2" s="2" t="s">
        <v>1042</v>
      </c>
      <c r="D2" s="2" t="s">
        <v>1043</v>
      </c>
    </row>
    <row r="3" customFormat="false" ht="57.45" hidden="false" customHeight="false" outlineLevel="0" collapsed="false">
      <c r="A3" s="2" t="s">
        <v>1044</v>
      </c>
      <c r="B3" s="2" t="s">
        <v>1045</v>
      </c>
      <c r="C3" s="2" t="s">
        <v>1042</v>
      </c>
      <c r="D3" s="2" t="s">
        <v>1046</v>
      </c>
    </row>
    <row r="4" customFormat="false" ht="57.45" hidden="false" customHeight="false" outlineLevel="0" collapsed="false">
      <c r="A4" s="2" t="s">
        <v>1047</v>
      </c>
      <c r="B4" s="2" t="s">
        <v>1042</v>
      </c>
      <c r="C4" s="2" t="s">
        <v>1048</v>
      </c>
      <c r="D4" s="2"/>
    </row>
    <row r="5" customFormat="false" ht="23.85" hidden="false" customHeight="false" outlineLevel="0" collapsed="false">
      <c r="A5" s="2" t="s">
        <v>1049</v>
      </c>
      <c r="B5" s="2" t="s">
        <v>1050</v>
      </c>
      <c r="C5" s="2" t="s">
        <v>1051</v>
      </c>
      <c r="D5" s="2" t="s">
        <v>1052</v>
      </c>
    </row>
    <row r="6" customFormat="false" ht="57.45" hidden="false" customHeight="false" outlineLevel="0" collapsed="false">
      <c r="A6" s="2" t="s">
        <v>1053</v>
      </c>
      <c r="B6" s="2" t="s">
        <v>1054</v>
      </c>
      <c r="C6" s="2" t="s">
        <v>1042</v>
      </c>
      <c r="D6" s="2" t="s">
        <v>1055</v>
      </c>
    </row>
    <row r="7" customFormat="false" ht="68.65" hidden="false" customHeight="false" outlineLevel="0" collapsed="false">
      <c r="A7" s="2" t="s">
        <v>1056</v>
      </c>
      <c r="B7" s="2" t="s">
        <v>1042</v>
      </c>
      <c r="C7" s="2" t="s">
        <v>1057</v>
      </c>
      <c r="D7" s="2"/>
    </row>
    <row r="8" customFormat="false" ht="35.05" hidden="false" customHeight="false" outlineLevel="0" collapsed="false">
      <c r="A8" s="2" t="s">
        <v>1058</v>
      </c>
      <c r="B8" s="2" t="s">
        <v>1042</v>
      </c>
      <c r="C8" s="2" t="s">
        <v>1059</v>
      </c>
      <c r="D8" s="2" t="s">
        <v>1060</v>
      </c>
    </row>
    <row r="9" customFormat="false" ht="15" hidden="false" customHeight="false" outlineLevel="0" collapsed="false">
      <c r="A9" s="0" t="s">
        <v>1061</v>
      </c>
      <c r="B9" s="0" t="s">
        <v>1042</v>
      </c>
      <c r="C9" s="0" t="s">
        <v>1062</v>
      </c>
      <c r="D9" s="0" t="s">
        <v>1063</v>
      </c>
    </row>
    <row r="10" customFormat="false" ht="15" hidden="false" customHeight="false" outlineLevel="0" collapsed="false">
      <c r="A10" s="0" t="s">
        <v>1064</v>
      </c>
      <c r="B10" s="0" t="s">
        <v>1065</v>
      </c>
      <c r="C10" s="0" t="s">
        <v>1042</v>
      </c>
      <c r="D10" s="0" t="s">
        <v>1066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35"/>
  </cols>
  <sheetData>
    <row r="1" customFormat="false" ht="15" hidden="false" customHeight="false" outlineLevel="0" collapsed="false">
      <c r="A1" s="3" t="s">
        <v>1067</v>
      </c>
      <c r="B1" s="3" t="s">
        <v>1068</v>
      </c>
      <c r="C1" s="3" t="s">
        <v>1069</v>
      </c>
      <c r="D1" s="3" t="s">
        <v>1070</v>
      </c>
    </row>
    <row r="2" customFormat="false" ht="23.85" hidden="false" customHeight="false" outlineLevel="0" collapsed="false">
      <c r="A2" s="2" t="s">
        <v>5</v>
      </c>
      <c r="B2" s="2" t="s">
        <v>1071</v>
      </c>
      <c r="C2" s="2" t="s">
        <v>1072</v>
      </c>
      <c r="D2" s="2" t="s">
        <v>1073</v>
      </c>
    </row>
    <row r="3" customFormat="false" ht="23.85" hidden="false" customHeight="false" outlineLevel="0" collapsed="false">
      <c r="A3" s="2" t="s">
        <v>8</v>
      </c>
      <c r="B3" s="2" t="s">
        <v>1074</v>
      </c>
      <c r="C3" s="2" t="s">
        <v>1075</v>
      </c>
      <c r="D3" s="2" t="s">
        <v>35</v>
      </c>
    </row>
    <row r="4" customFormat="false" ht="35.05" hidden="false" customHeight="false" outlineLevel="0" collapsed="false">
      <c r="A4" s="2" t="s">
        <v>1076</v>
      </c>
      <c r="B4" s="2" t="s">
        <v>1077</v>
      </c>
      <c r="C4" s="2" t="s">
        <v>1078</v>
      </c>
      <c r="D4" s="2" t="s">
        <v>1079</v>
      </c>
    </row>
    <row r="5" customFormat="false" ht="35.05" hidden="false" customHeight="false" outlineLevel="0" collapsed="false">
      <c r="A5" s="2" t="s">
        <v>1080</v>
      </c>
      <c r="B5" s="2" t="s">
        <v>1081</v>
      </c>
      <c r="C5" s="2" t="s">
        <v>1082</v>
      </c>
      <c r="D5" s="2" t="s">
        <v>1083</v>
      </c>
    </row>
    <row r="6" customFormat="false" ht="23.85" hidden="false" customHeight="false" outlineLevel="0" collapsed="false">
      <c r="A6" s="2" t="s">
        <v>1084</v>
      </c>
      <c r="B6" s="2" t="s">
        <v>1085</v>
      </c>
      <c r="C6" s="2" t="s">
        <v>1086</v>
      </c>
      <c r="D6" s="2" t="s">
        <v>108</v>
      </c>
    </row>
    <row r="7" customFormat="false" ht="23.85" hidden="false" customHeight="false" outlineLevel="0" collapsed="false">
      <c r="A7" s="2" t="s">
        <v>1087</v>
      </c>
      <c r="B7" s="2" t="s">
        <v>1088</v>
      </c>
      <c r="C7" s="2" t="s">
        <v>1089</v>
      </c>
      <c r="D7" s="2" t="s">
        <v>1090</v>
      </c>
    </row>
    <row r="8" customFormat="false" ht="35.05" hidden="false" customHeight="false" outlineLevel="0" collapsed="false">
      <c r="A8" s="2" t="s">
        <v>1091</v>
      </c>
      <c r="B8" s="2" t="s">
        <v>1092</v>
      </c>
      <c r="C8" s="2" t="s">
        <v>1093</v>
      </c>
      <c r="D8" s="2" t="s">
        <v>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3" t="s">
        <v>677</v>
      </c>
      <c r="B1" s="3" t="s">
        <v>23</v>
      </c>
      <c r="C1" s="3" t="s">
        <v>1095</v>
      </c>
      <c r="D1" s="3" t="s">
        <v>1096</v>
      </c>
      <c r="E1" s="3" t="s">
        <v>1097</v>
      </c>
      <c r="F1" s="3" t="s">
        <v>1014</v>
      </c>
    </row>
    <row r="2" customFormat="false" ht="23.85" hidden="false" customHeight="false" outlineLevel="0" collapsed="false">
      <c r="A2" s="2" t="s">
        <v>686</v>
      </c>
      <c r="B2" s="2" t="s">
        <v>34</v>
      </c>
      <c r="C2" s="2" t="s">
        <v>1098</v>
      </c>
      <c r="D2" s="2" t="s">
        <v>1099</v>
      </c>
      <c r="E2" s="2" t="s">
        <v>1100</v>
      </c>
      <c r="F2" s="2" t="s">
        <v>1101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3"/>
    <col collapsed="false" customWidth="true" hidden="false" outlineLevel="0" max="4" min="4" style="0" width="19"/>
    <col collapsed="false" customWidth="true" hidden="false" outlineLevel="0" max="5" min="5" style="0" width="29"/>
  </cols>
  <sheetData>
    <row r="1" customFormat="false" ht="15" hidden="false" customHeight="false" outlineLevel="0" collapsed="false">
      <c r="A1" s="3" t="s">
        <v>678</v>
      </c>
      <c r="B1" s="3" t="s">
        <v>8</v>
      </c>
      <c r="C1" s="3" t="s">
        <v>1102</v>
      </c>
      <c r="D1" s="3" t="s">
        <v>1103</v>
      </c>
      <c r="E1" s="3" t="s">
        <v>1104</v>
      </c>
    </row>
    <row r="2" customFormat="false" ht="15" hidden="false" customHeight="false" outlineLevel="0" collapsed="false">
      <c r="A2" s="2" t="s">
        <v>687</v>
      </c>
      <c r="B2" s="2" t="s">
        <v>49</v>
      </c>
      <c r="C2" s="2" t="s">
        <v>1105</v>
      </c>
      <c r="D2" s="2" t="s">
        <v>1106</v>
      </c>
      <c r="E2" s="2" t="s">
        <v>1107</v>
      </c>
    </row>
    <row r="3" customFormat="false" ht="15" hidden="false" customHeight="false" outlineLevel="0" collapsed="false">
      <c r="A3" s="2" t="s">
        <v>810</v>
      </c>
      <c r="B3" s="2" t="s">
        <v>42</v>
      </c>
      <c r="C3" s="2" t="s">
        <v>1108</v>
      </c>
      <c r="D3" s="2" t="s">
        <v>1109</v>
      </c>
      <c r="E3" s="2" t="s">
        <v>1110</v>
      </c>
    </row>
    <row r="4" customFormat="false" ht="15" hidden="false" customHeight="false" outlineLevel="0" collapsed="false">
      <c r="A4" s="2" t="s">
        <v>873</v>
      </c>
      <c r="B4" s="2" t="s">
        <v>35</v>
      </c>
      <c r="C4" s="2" t="s">
        <v>1111</v>
      </c>
      <c r="D4" s="2" t="s">
        <v>1109</v>
      </c>
      <c r="E4" s="2" t="s">
        <v>1112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2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29"/>
    <col collapsed="false" customWidth="true" hidden="false" outlineLevel="0" max="8" min="8" style="0" width="24"/>
    <col collapsed="false" customWidth="true" hidden="false" outlineLevel="0" max="9" min="9" style="0" width="2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21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35"/>
    <col collapsed="false" customWidth="true" hidden="false" outlineLevel="0" max="16" min="16" style="0" width="31"/>
  </cols>
  <sheetData>
    <row r="1" customFormat="false" ht="15" hidden="false" customHeight="false" outlineLevel="0" collapsed="false">
      <c r="A1" s="3" t="s">
        <v>679</v>
      </c>
      <c r="B1" s="3" t="s">
        <v>677</v>
      </c>
      <c r="C1" s="3" t="s">
        <v>23</v>
      </c>
      <c r="D1" s="3" t="s">
        <v>678</v>
      </c>
      <c r="E1" s="3" t="s">
        <v>8</v>
      </c>
      <c r="F1" s="3" t="s">
        <v>24</v>
      </c>
      <c r="G1" s="3" t="s">
        <v>1113</v>
      </c>
      <c r="H1" s="3" t="s">
        <v>1114</v>
      </c>
      <c r="I1" s="3" t="s">
        <v>680</v>
      </c>
      <c r="J1" s="3" t="s">
        <v>1115</v>
      </c>
      <c r="K1" s="3" t="s">
        <v>1116</v>
      </c>
      <c r="L1" s="3" t="s">
        <v>1117</v>
      </c>
      <c r="M1" s="3" t="s">
        <v>1118</v>
      </c>
      <c r="N1" s="3" t="s">
        <v>1119</v>
      </c>
      <c r="O1" s="3" t="s">
        <v>1120</v>
      </c>
      <c r="P1" s="3" t="s">
        <v>1014</v>
      </c>
    </row>
    <row r="2" customFormat="false" ht="23.85" hidden="false" customHeight="false" outlineLevel="0" collapsed="false">
      <c r="A2" s="2" t="s">
        <v>688</v>
      </c>
      <c r="B2" s="2" t="s">
        <v>686</v>
      </c>
      <c r="C2" s="2" t="s">
        <v>34</v>
      </c>
      <c r="D2" s="2" t="s">
        <v>687</v>
      </c>
      <c r="E2" s="2" t="s">
        <v>49</v>
      </c>
      <c r="F2" s="2" t="s">
        <v>36</v>
      </c>
      <c r="G2" s="2" t="s">
        <v>1121</v>
      </c>
      <c r="H2" s="2" t="s">
        <v>36</v>
      </c>
      <c r="I2" s="2" t="s">
        <v>689</v>
      </c>
      <c r="J2" s="2"/>
      <c r="K2" s="2"/>
      <c r="L2" s="2"/>
      <c r="M2" s="2"/>
      <c r="N2" s="2"/>
      <c r="O2" s="2" t="s">
        <v>1122</v>
      </c>
      <c r="P2" s="2" t="s">
        <v>1123</v>
      </c>
    </row>
    <row r="3" customFormat="false" ht="15" hidden="false" customHeight="false" outlineLevel="0" collapsed="false">
      <c r="A3" s="2" t="s">
        <v>811</v>
      </c>
      <c r="B3" s="2" t="s">
        <v>686</v>
      </c>
      <c r="C3" s="2" t="s">
        <v>34</v>
      </c>
      <c r="D3" s="2" t="s">
        <v>810</v>
      </c>
      <c r="E3" s="2" t="s">
        <v>42</v>
      </c>
      <c r="F3" s="2" t="s">
        <v>43</v>
      </c>
      <c r="G3" s="2" t="s">
        <v>1124</v>
      </c>
      <c r="H3" s="2" t="s">
        <v>43</v>
      </c>
      <c r="I3" s="2" t="s">
        <v>812</v>
      </c>
      <c r="J3" s="2"/>
      <c r="K3" s="2" t="s">
        <v>1125</v>
      </c>
      <c r="L3" s="2"/>
      <c r="M3" s="2"/>
      <c r="N3" s="2"/>
      <c r="O3" s="2" t="s">
        <v>1126</v>
      </c>
      <c r="P3" s="2" t="s">
        <v>1123</v>
      </c>
    </row>
    <row r="4" customFormat="false" ht="15" hidden="false" customHeight="false" outlineLevel="0" collapsed="false">
      <c r="A4" s="2" t="s">
        <v>874</v>
      </c>
      <c r="B4" s="2" t="s">
        <v>686</v>
      </c>
      <c r="C4" s="2" t="s">
        <v>34</v>
      </c>
      <c r="D4" s="2" t="s">
        <v>873</v>
      </c>
      <c r="E4" s="2" t="s">
        <v>35</v>
      </c>
      <c r="F4" s="2" t="s">
        <v>50</v>
      </c>
      <c r="G4" s="2" t="s">
        <v>1127</v>
      </c>
      <c r="H4" s="2" t="s">
        <v>50</v>
      </c>
      <c r="I4" s="2" t="s">
        <v>875</v>
      </c>
      <c r="J4" s="2"/>
      <c r="K4" s="2"/>
      <c r="L4" s="2"/>
      <c r="M4" s="2"/>
      <c r="N4" s="2"/>
      <c r="O4" s="2" t="s">
        <v>1128</v>
      </c>
      <c r="P4" s="2" t="s">
        <v>1123</v>
      </c>
    </row>
    <row r="5" customFormat="false" ht="23.85" hidden="false" customHeight="false" outlineLevel="0" collapsed="false">
      <c r="A5" s="2" t="s">
        <v>912</v>
      </c>
      <c r="B5" s="2" t="s">
        <v>686</v>
      </c>
      <c r="C5" s="2" t="s">
        <v>34</v>
      </c>
      <c r="D5" s="2" t="s">
        <v>873</v>
      </c>
      <c r="E5" s="2" t="s">
        <v>35</v>
      </c>
      <c r="F5" s="2" t="s">
        <v>56</v>
      </c>
      <c r="G5" s="2" t="s">
        <v>1129</v>
      </c>
      <c r="H5" s="2" t="s">
        <v>56</v>
      </c>
      <c r="I5" s="2" t="s">
        <v>913</v>
      </c>
      <c r="J5" s="2"/>
      <c r="K5" s="2"/>
      <c r="L5" s="2"/>
      <c r="M5" s="2"/>
      <c r="N5" s="2"/>
      <c r="O5" s="2" t="s">
        <v>1130</v>
      </c>
      <c r="P5" s="2" t="s">
        <v>1123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5" min="4" style="0" width="29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3" t="s">
        <v>1131</v>
      </c>
      <c r="B1" s="3" t="s">
        <v>679</v>
      </c>
      <c r="C1" s="3" t="s">
        <v>1132</v>
      </c>
      <c r="D1" s="3" t="s">
        <v>1133</v>
      </c>
      <c r="E1" s="3" t="s">
        <v>1134</v>
      </c>
      <c r="F1" s="3" t="s">
        <v>1135</v>
      </c>
      <c r="G1" s="3" t="s">
        <v>1136</v>
      </c>
      <c r="H1" s="3" t="s">
        <v>1014</v>
      </c>
    </row>
    <row r="2" customFormat="false" ht="23.85" hidden="false" customHeight="false" outlineLevel="0" collapsed="false">
      <c r="A2" s="2" t="s">
        <v>1137</v>
      </c>
      <c r="B2" s="2" t="s">
        <v>688</v>
      </c>
      <c r="C2" s="2" t="s">
        <v>1115</v>
      </c>
      <c r="D2" s="2" t="s">
        <v>1138</v>
      </c>
      <c r="E2" s="2" t="s">
        <v>1139</v>
      </c>
      <c r="F2" s="2" t="s">
        <v>1140</v>
      </c>
      <c r="G2" s="2" t="s">
        <v>9</v>
      </c>
      <c r="H2" s="2" t="s">
        <v>1141</v>
      </c>
    </row>
    <row r="3" customFormat="false" ht="23.85" hidden="false" customHeight="false" outlineLevel="0" collapsed="false">
      <c r="A3" s="2" t="s">
        <v>1142</v>
      </c>
      <c r="B3" s="2" t="s">
        <v>1143</v>
      </c>
      <c r="C3" s="2" t="s">
        <v>1144</v>
      </c>
      <c r="D3" s="2" t="s">
        <v>1145</v>
      </c>
      <c r="E3" s="2" t="s">
        <v>1146</v>
      </c>
      <c r="F3" s="2" t="s">
        <v>1147</v>
      </c>
      <c r="G3" s="2" t="s">
        <v>9</v>
      </c>
      <c r="H3" s="2" t="s">
        <v>1148</v>
      </c>
    </row>
    <row r="4" customFormat="false" ht="23.85" hidden="false" customHeight="false" outlineLevel="0" collapsed="false">
      <c r="A4" s="2" t="s">
        <v>1149</v>
      </c>
      <c r="B4" s="2" t="s">
        <v>1150</v>
      </c>
      <c r="C4" s="2" t="s">
        <v>1116</v>
      </c>
      <c r="D4" s="2" t="s">
        <v>1151</v>
      </c>
      <c r="E4" s="2" t="s">
        <v>1152</v>
      </c>
      <c r="F4" s="2" t="s">
        <v>1153</v>
      </c>
      <c r="G4" s="2" t="s">
        <v>9</v>
      </c>
      <c r="H4" s="2" t="s">
        <v>1154</v>
      </c>
    </row>
    <row r="5" customFormat="false" ht="15" hidden="false" customHeight="false" outlineLevel="0" collapsed="false">
      <c r="A5" s="2" t="s">
        <v>1155</v>
      </c>
      <c r="B5" s="2" t="s">
        <v>1156</v>
      </c>
      <c r="C5" s="2" t="s">
        <v>1157</v>
      </c>
      <c r="D5" s="2" t="s">
        <v>1158</v>
      </c>
      <c r="E5" s="2" t="s">
        <v>1159</v>
      </c>
      <c r="F5" s="2" t="s">
        <v>1140</v>
      </c>
      <c r="G5" s="2" t="s">
        <v>9</v>
      </c>
      <c r="H5" s="2" t="s">
        <v>1160</v>
      </c>
    </row>
    <row r="6" customFormat="false" ht="23.85" hidden="false" customHeight="false" outlineLevel="0" collapsed="false">
      <c r="A6" s="2" t="s">
        <v>1161</v>
      </c>
      <c r="B6" s="2" t="s">
        <v>1162</v>
      </c>
      <c r="C6" s="2" t="s">
        <v>1163</v>
      </c>
      <c r="D6" s="2" t="s">
        <v>1164</v>
      </c>
      <c r="E6" s="2" t="s">
        <v>1165</v>
      </c>
      <c r="F6" s="2" t="s">
        <v>1140</v>
      </c>
      <c r="G6" s="2" t="s">
        <v>9</v>
      </c>
      <c r="H6" s="2" t="s">
        <v>1166</v>
      </c>
    </row>
    <row r="7" customFormat="false" ht="15" hidden="false" customHeight="false" outlineLevel="0" collapsed="false">
      <c r="A7" s="2" t="s">
        <v>1167</v>
      </c>
      <c r="B7" s="2" t="s">
        <v>874</v>
      </c>
      <c r="C7" s="2" t="s">
        <v>1168</v>
      </c>
      <c r="D7" s="2" t="s">
        <v>1169</v>
      </c>
      <c r="E7" s="2" t="s">
        <v>1170</v>
      </c>
      <c r="F7" s="2" t="s">
        <v>1171</v>
      </c>
      <c r="G7" s="2" t="s">
        <v>9</v>
      </c>
      <c r="H7" s="2" t="s">
        <v>1172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31"/>
    <col collapsed="false" customWidth="true" hidden="false" outlineLevel="0" max="6" min="5" style="0" width="23"/>
    <col collapsed="false" customWidth="true" hidden="false" outlineLevel="0" max="7" min="7" style="0" width="19"/>
    <col collapsed="false" customWidth="true" hidden="false" outlineLevel="0" max="8" min="8" style="0" width="25"/>
    <col collapsed="false" customWidth="true" hidden="false" outlineLevel="0" max="9" min="9" style="0" width="35"/>
  </cols>
  <sheetData>
    <row r="1" customFormat="false" ht="15" hidden="false" customHeight="false" outlineLevel="0" collapsed="false">
      <c r="A1" s="3" t="s">
        <v>1131</v>
      </c>
      <c r="B1" s="3" t="s">
        <v>677</v>
      </c>
      <c r="C1" s="3" t="s">
        <v>679</v>
      </c>
      <c r="D1" s="3" t="s">
        <v>1132</v>
      </c>
      <c r="E1" s="3" t="s">
        <v>1173</v>
      </c>
      <c r="F1" s="3" t="s">
        <v>1134</v>
      </c>
      <c r="G1" s="3" t="s">
        <v>1136</v>
      </c>
      <c r="H1" s="3" t="s">
        <v>1174</v>
      </c>
      <c r="I1" s="3" t="s">
        <v>1014</v>
      </c>
    </row>
    <row r="2" customFormat="false" ht="23.85" hidden="false" customHeight="false" outlineLevel="0" collapsed="false">
      <c r="A2" s="2" t="s">
        <v>1175</v>
      </c>
      <c r="B2" s="2" t="s">
        <v>686</v>
      </c>
      <c r="C2" s="2" t="s">
        <v>688</v>
      </c>
      <c r="D2" s="2" t="s">
        <v>1176</v>
      </c>
      <c r="E2" s="2" t="s">
        <v>56</v>
      </c>
      <c r="F2" s="2" t="s">
        <v>1129</v>
      </c>
      <c r="G2" s="2" t="s">
        <v>9</v>
      </c>
      <c r="H2" s="2" t="s">
        <v>1177</v>
      </c>
      <c r="I2" s="2" t="s">
        <v>1178</v>
      </c>
    </row>
    <row r="3" customFormat="false" ht="23.85" hidden="false" customHeight="false" outlineLevel="0" collapsed="false">
      <c r="A3" s="2" t="s">
        <v>1179</v>
      </c>
      <c r="B3" s="2" t="s">
        <v>686</v>
      </c>
      <c r="C3" s="2" t="s">
        <v>874</v>
      </c>
      <c r="D3" s="2" t="s">
        <v>1180</v>
      </c>
      <c r="E3" s="2" t="s">
        <v>61</v>
      </c>
      <c r="F3" s="2" t="s">
        <v>1181</v>
      </c>
      <c r="G3" s="2" t="s">
        <v>9</v>
      </c>
      <c r="H3" s="2" t="s">
        <v>1177</v>
      </c>
      <c r="I3" s="2" t="s">
        <v>1182</v>
      </c>
    </row>
    <row r="4" customFormat="false" ht="23.85" hidden="false" customHeight="false" outlineLevel="0" collapsed="false">
      <c r="A4" s="2" t="s">
        <v>1183</v>
      </c>
      <c r="B4" s="2" t="s">
        <v>1184</v>
      </c>
      <c r="C4" s="2" t="s">
        <v>1143</v>
      </c>
      <c r="D4" s="2" t="s">
        <v>1185</v>
      </c>
      <c r="E4" s="2" t="s">
        <v>61</v>
      </c>
      <c r="F4" s="2" t="s">
        <v>1181</v>
      </c>
      <c r="G4" s="2" t="s">
        <v>9</v>
      </c>
      <c r="H4" s="2" t="s">
        <v>1177</v>
      </c>
      <c r="I4" s="2" t="s">
        <v>1186</v>
      </c>
    </row>
    <row r="5" customFormat="false" ht="15" hidden="false" customHeight="false" outlineLevel="0" collapsed="false">
      <c r="A5" s="2" t="s">
        <v>1187</v>
      </c>
      <c r="B5" s="2" t="s">
        <v>1184</v>
      </c>
      <c r="C5" s="2" t="s">
        <v>1150</v>
      </c>
      <c r="D5" s="2" t="s">
        <v>1188</v>
      </c>
      <c r="E5" s="2" t="s">
        <v>61</v>
      </c>
      <c r="F5" s="2" t="s">
        <v>1181</v>
      </c>
      <c r="G5" s="2" t="s">
        <v>9</v>
      </c>
      <c r="H5" s="2" t="s">
        <v>1177</v>
      </c>
      <c r="I5" s="2" t="s">
        <v>1189</v>
      </c>
    </row>
    <row r="6" customFormat="false" ht="23.85" hidden="false" customHeight="false" outlineLevel="0" collapsed="false">
      <c r="A6" s="2" t="s">
        <v>1190</v>
      </c>
      <c r="B6" s="2" t="s">
        <v>1184</v>
      </c>
      <c r="C6" s="2" t="s">
        <v>1162</v>
      </c>
      <c r="D6" s="2" t="s">
        <v>1191</v>
      </c>
      <c r="E6" s="2" t="s">
        <v>61</v>
      </c>
      <c r="F6" s="2" t="s">
        <v>1181</v>
      </c>
      <c r="G6" s="2" t="s">
        <v>9</v>
      </c>
      <c r="H6" s="2" t="s">
        <v>1177</v>
      </c>
      <c r="I6" s="2" t="s">
        <v>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3" min="3" style="0" width="31"/>
    <col collapsed="false" customWidth="true" hidden="false" outlineLevel="0" max="5" min="4" style="0" width="35"/>
  </cols>
  <sheetData>
    <row r="1" customFormat="false" ht="15" hidden="false" customHeight="false" outlineLevel="0" collapsed="false">
      <c r="A1" s="3" t="s">
        <v>1132</v>
      </c>
      <c r="B1" s="3" t="s">
        <v>1193</v>
      </c>
      <c r="C1" s="3" t="s">
        <v>1194</v>
      </c>
      <c r="D1" s="3" t="s">
        <v>1195</v>
      </c>
      <c r="E1" s="3" t="s">
        <v>1069</v>
      </c>
    </row>
    <row r="2" customFormat="false" ht="23.85" hidden="false" customHeight="false" outlineLevel="0" collapsed="false">
      <c r="A2" s="2" t="s">
        <v>1115</v>
      </c>
      <c r="B2" s="2" t="s">
        <v>1196</v>
      </c>
      <c r="C2" s="2" t="s">
        <v>1197</v>
      </c>
      <c r="D2" s="2" t="s">
        <v>1198</v>
      </c>
      <c r="E2" s="2" t="s">
        <v>1199</v>
      </c>
    </row>
    <row r="3" customFormat="false" ht="23.85" hidden="false" customHeight="false" outlineLevel="0" collapsed="false">
      <c r="A3" s="2" t="s">
        <v>1116</v>
      </c>
      <c r="B3" s="2" t="s">
        <v>1200</v>
      </c>
      <c r="C3" s="2" t="s">
        <v>1197</v>
      </c>
      <c r="D3" s="2" t="s">
        <v>1201</v>
      </c>
      <c r="E3" s="2" t="s">
        <v>1202</v>
      </c>
    </row>
    <row r="4" customFormat="false" ht="23.85" hidden="false" customHeight="false" outlineLevel="0" collapsed="false">
      <c r="A4" s="2" t="s">
        <v>1144</v>
      </c>
      <c r="B4" s="2" t="s">
        <v>1203</v>
      </c>
      <c r="C4" s="2" t="s">
        <v>9</v>
      </c>
      <c r="D4" s="2" t="s">
        <v>1204</v>
      </c>
      <c r="E4" s="2" t="s">
        <v>1205</v>
      </c>
    </row>
    <row r="5" customFormat="false" ht="23.85" hidden="false" customHeight="false" outlineLevel="0" collapsed="false">
      <c r="A5" s="2" t="s">
        <v>1157</v>
      </c>
      <c r="B5" s="2" t="s">
        <v>1206</v>
      </c>
      <c r="C5" s="2" t="s">
        <v>1197</v>
      </c>
      <c r="D5" s="2" t="s">
        <v>1207</v>
      </c>
      <c r="E5" s="2" t="s">
        <v>1208</v>
      </c>
    </row>
    <row r="6" customFormat="false" ht="23.85" hidden="false" customHeight="false" outlineLevel="0" collapsed="false">
      <c r="A6" s="2" t="s">
        <v>1209</v>
      </c>
      <c r="B6" s="2" t="s">
        <v>1210</v>
      </c>
      <c r="C6" s="2" t="s">
        <v>9</v>
      </c>
      <c r="D6" s="2" t="s">
        <v>1211</v>
      </c>
      <c r="E6" s="2" t="s">
        <v>1212</v>
      </c>
    </row>
    <row r="7" customFormat="false" ht="23.85" hidden="false" customHeight="false" outlineLevel="0" collapsed="false">
      <c r="A7" s="2" t="s">
        <v>1213</v>
      </c>
      <c r="B7" s="2" t="s">
        <v>1214</v>
      </c>
      <c r="C7" s="2" t="s">
        <v>1215</v>
      </c>
      <c r="D7" s="2" t="s">
        <v>1216</v>
      </c>
      <c r="E7" s="2" t="s">
        <v>1217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9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21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27"/>
    <col collapsed="false" customWidth="true" hidden="false" outlineLevel="0" max="13" min="13" style="0" width="20"/>
    <col collapsed="false" customWidth="true" hidden="false" outlineLevel="0" max="14" min="14" style="0" width="19"/>
    <col collapsed="false" customWidth="true" hidden="false" outlineLevel="0" max="15" min="15" style="0" width="24"/>
    <col collapsed="false" customWidth="true" hidden="false" outlineLevel="0" max="16" min="16" style="0" width="38"/>
    <col collapsed="false" customWidth="true" hidden="false" outlineLevel="0" max="17" min="17" style="0" width="15"/>
    <col collapsed="false" customWidth="true" hidden="false" outlineLevel="0" max="18" min="18" style="0" width="16"/>
    <col collapsed="false" customWidth="true" hidden="false" outlineLevel="0" max="19" min="19" style="0" width="15"/>
    <col collapsed="false" customWidth="true" hidden="false" outlineLevel="0" max="20" min="20" style="0" width="16"/>
    <col collapsed="false" customWidth="true" hidden="false" outlineLevel="0" max="22" min="21" style="0" width="14"/>
    <col collapsed="false" customWidth="true" hidden="false" outlineLevel="0" max="27" min="23" style="0" width="12"/>
    <col collapsed="false" customWidth="true" hidden="false" outlineLevel="0" max="28" min="28" style="0" width="14"/>
    <col collapsed="false" customWidth="true" hidden="false" outlineLevel="0" max="29" min="29" style="0" width="12"/>
    <col collapsed="false" customWidth="true" hidden="false" outlineLevel="0" max="30" min="30" style="0" width="15"/>
    <col collapsed="false" customWidth="true" hidden="false" outlineLevel="0" max="31" min="31" style="0" width="38"/>
    <col collapsed="false" customWidth="true" hidden="false" outlineLevel="0" max="32" min="32" style="0" width="21"/>
    <col collapsed="false" customWidth="true" hidden="false" outlineLevel="0" max="33" min="33" style="0" width="38"/>
    <col collapsed="false" customWidth="true" hidden="false" outlineLevel="0" max="34" min="34" style="0" width="12"/>
    <col collapsed="false" customWidth="true" hidden="false" outlineLevel="0" max="35" min="35" style="0" width="16"/>
    <col collapsed="false" customWidth="true" hidden="false" outlineLevel="0" max="36" min="36" style="0" width="13"/>
    <col collapsed="false" customWidth="true" hidden="false" outlineLevel="0" max="37" min="37" style="0" width="12"/>
    <col collapsed="false" customWidth="true" hidden="false" outlineLevel="0" max="38" min="38" style="0" width="19"/>
    <col collapsed="false" customWidth="true" hidden="false" outlineLevel="0" max="39" min="39" style="0" width="16"/>
    <col collapsed="false" customWidth="true" hidden="false" outlineLevel="0" max="40" min="40" style="0" width="20"/>
    <col collapsed="false" customWidth="true" hidden="false" outlineLevel="0" max="41" min="41" style="0" width="18"/>
    <col collapsed="false" customWidth="true" hidden="false" outlineLevel="0" max="42" min="42" style="0" width="13"/>
    <col collapsed="false" customWidth="true" hidden="false" outlineLevel="0" max="43" min="43" style="0" width="32"/>
    <col collapsed="false" customWidth="true" hidden="false" outlineLevel="0" max="44" min="44" style="0" width="23"/>
  </cols>
  <sheetData>
    <row r="1" customFormat="false" ht="28.35" hidden="false" customHeight="false" outlineLevel="0" collapsed="false">
      <c r="A1" s="3" t="s">
        <v>676</v>
      </c>
      <c r="B1" s="3" t="s">
        <v>1218</v>
      </c>
      <c r="C1" s="3" t="s">
        <v>677</v>
      </c>
      <c r="D1" s="3" t="s">
        <v>23</v>
      </c>
      <c r="E1" s="3" t="s">
        <v>1095</v>
      </c>
      <c r="F1" s="3" t="s">
        <v>1096</v>
      </c>
      <c r="G1" s="3" t="s">
        <v>678</v>
      </c>
      <c r="H1" s="3" t="s">
        <v>8</v>
      </c>
      <c r="I1" s="3" t="s">
        <v>1102</v>
      </c>
      <c r="J1" s="3" t="s">
        <v>679</v>
      </c>
      <c r="K1" s="3" t="s">
        <v>1219</v>
      </c>
      <c r="L1" s="3" t="s">
        <v>1113</v>
      </c>
      <c r="M1" s="3" t="s">
        <v>1114</v>
      </c>
      <c r="N1" s="3" t="s">
        <v>680</v>
      </c>
      <c r="O1" s="3" t="s">
        <v>25</v>
      </c>
      <c r="P1" s="3" t="s">
        <v>681</v>
      </c>
      <c r="Q1" s="3" t="s">
        <v>26</v>
      </c>
      <c r="R1" s="3" t="s">
        <v>1220</v>
      </c>
      <c r="S1" s="3" t="s">
        <v>28</v>
      </c>
      <c r="T1" s="3" t="s">
        <v>29</v>
      </c>
      <c r="U1" s="3" t="s">
        <v>12</v>
      </c>
      <c r="V1" s="3" t="s">
        <v>208</v>
      </c>
      <c r="W1" s="3" t="s">
        <v>13</v>
      </c>
      <c r="X1" s="3" t="s">
        <v>1030</v>
      </c>
      <c r="Y1" s="3" t="s">
        <v>1221</v>
      </c>
      <c r="Z1" s="3" t="s">
        <v>1222</v>
      </c>
      <c r="AA1" s="3" t="s">
        <v>1223</v>
      </c>
      <c r="AB1" s="3" t="s">
        <v>1224</v>
      </c>
      <c r="AC1" s="3" t="s">
        <v>1225</v>
      </c>
      <c r="AD1" s="3" t="s">
        <v>1226</v>
      </c>
      <c r="AE1" s="3" t="s">
        <v>33</v>
      </c>
      <c r="AF1" s="3" t="s">
        <v>32</v>
      </c>
      <c r="AG1" s="3" t="s">
        <v>1227</v>
      </c>
      <c r="AH1" s="3" t="s">
        <v>22</v>
      </c>
      <c r="AI1" s="3" t="s">
        <v>1228</v>
      </c>
      <c r="AJ1" s="3" t="s">
        <v>1229</v>
      </c>
      <c r="AK1" s="3" t="s">
        <v>1230</v>
      </c>
      <c r="AL1" s="3" t="s">
        <v>1231</v>
      </c>
      <c r="AM1" s="3" t="s">
        <v>1232</v>
      </c>
      <c r="AN1" s="3" t="s">
        <v>1233</v>
      </c>
      <c r="AO1" s="3" t="s">
        <v>31</v>
      </c>
      <c r="AP1" s="3" t="s">
        <v>30</v>
      </c>
      <c r="AQ1" s="3" t="s">
        <v>1234</v>
      </c>
      <c r="AR1" s="3" t="s">
        <v>1235</v>
      </c>
    </row>
    <row r="2" customFormat="false" ht="23.85" hidden="false" customHeight="false" outlineLevel="0" collapsed="false">
      <c r="A2" s="2" t="n">
        <v>1</v>
      </c>
      <c r="B2" s="2" t="s">
        <v>1236</v>
      </c>
      <c r="C2" s="2" t="s">
        <v>686</v>
      </c>
      <c r="D2" s="2" t="s">
        <v>34</v>
      </c>
      <c r="E2" s="2" t="s">
        <v>1098</v>
      </c>
      <c r="F2" s="2" t="s">
        <v>1099</v>
      </c>
      <c r="G2" s="2" t="s">
        <v>687</v>
      </c>
      <c r="H2" s="2" t="s">
        <v>49</v>
      </c>
      <c r="I2" s="2" t="s">
        <v>1105</v>
      </c>
      <c r="J2" s="2" t="s">
        <v>688</v>
      </c>
      <c r="K2" s="2" t="s">
        <v>36</v>
      </c>
      <c r="L2" s="2" t="s">
        <v>1121</v>
      </c>
      <c r="M2" s="2" t="s">
        <v>36</v>
      </c>
      <c r="N2" s="2" t="s">
        <v>689</v>
      </c>
      <c r="O2" s="2" t="s">
        <v>210</v>
      </c>
      <c r="P2" s="2" t="s">
        <v>690</v>
      </c>
      <c r="Q2" s="2" t="s">
        <v>69</v>
      </c>
      <c r="R2" s="2" t="s">
        <v>119</v>
      </c>
      <c r="S2" s="2" t="n">
        <v>1</v>
      </c>
      <c r="T2" s="2" t="s">
        <v>61</v>
      </c>
      <c r="U2" s="2"/>
      <c r="V2" s="2" t="s">
        <v>211</v>
      </c>
      <c r="W2" s="2" t="s">
        <v>54</v>
      </c>
      <c r="X2" s="2" t="n">
        <v>1045</v>
      </c>
      <c r="Y2" s="2" t="n">
        <v>68</v>
      </c>
      <c r="Z2" s="2" t="n">
        <v>2</v>
      </c>
      <c r="AA2" s="2" t="n">
        <v>6</v>
      </c>
      <c r="AB2" s="2" t="s">
        <v>1237</v>
      </c>
      <c r="AC2" s="2"/>
      <c r="AD2" s="2" t="s">
        <v>1238</v>
      </c>
      <c r="AE2" s="2" t="s">
        <v>692</v>
      </c>
      <c r="AF2" s="2" t="s">
        <v>212</v>
      </c>
      <c r="AG2" s="2" t="s">
        <v>1239</v>
      </c>
      <c r="AH2" s="2" t="s">
        <v>209</v>
      </c>
      <c r="AI2" s="2" t="s">
        <v>1240</v>
      </c>
      <c r="AJ2" s="2" t="s">
        <v>1241</v>
      </c>
      <c r="AK2" s="2" t="s">
        <v>1242</v>
      </c>
      <c r="AL2" s="2" t="s">
        <v>1243</v>
      </c>
      <c r="AM2" s="2"/>
      <c r="AN2" s="2"/>
      <c r="AO2" s="2"/>
      <c r="AP2" s="2"/>
      <c r="AQ2" s="2"/>
      <c r="AR2" s="2"/>
    </row>
    <row r="3" customFormat="false" ht="23.85" hidden="false" customHeight="false" outlineLevel="0" collapsed="false">
      <c r="A3" s="2" t="n">
        <v>2</v>
      </c>
      <c r="B3" s="2" t="s">
        <v>1244</v>
      </c>
      <c r="C3" s="2" t="s">
        <v>686</v>
      </c>
      <c r="D3" s="2" t="s">
        <v>34</v>
      </c>
      <c r="E3" s="2" t="s">
        <v>1098</v>
      </c>
      <c r="F3" s="2" t="s">
        <v>1099</v>
      </c>
      <c r="G3" s="2" t="s">
        <v>687</v>
      </c>
      <c r="H3" s="2" t="s">
        <v>49</v>
      </c>
      <c r="I3" s="2" t="s">
        <v>1105</v>
      </c>
      <c r="J3" s="2" t="s">
        <v>688</v>
      </c>
      <c r="K3" s="2" t="s">
        <v>36</v>
      </c>
      <c r="L3" s="2" t="s">
        <v>1121</v>
      </c>
      <c r="M3" s="2" t="s">
        <v>36</v>
      </c>
      <c r="N3" s="2" t="s">
        <v>689</v>
      </c>
      <c r="O3" s="2" t="s">
        <v>214</v>
      </c>
      <c r="P3" s="2" t="s">
        <v>693</v>
      </c>
      <c r="Q3" s="2" t="s">
        <v>75</v>
      </c>
      <c r="R3" s="2" t="s">
        <v>139</v>
      </c>
      <c r="S3" s="2" t="n">
        <v>1</v>
      </c>
      <c r="T3" s="2" t="s">
        <v>61</v>
      </c>
      <c r="U3" s="2"/>
      <c r="V3" s="2" t="s">
        <v>215</v>
      </c>
      <c r="W3" s="2" t="s">
        <v>40</v>
      </c>
      <c r="X3" s="2" t="n">
        <v>1684</v>
      </c>
      <c r="Y3" s="2" t="n">
        <v>255</v>
      </c>
      <c r="Z3" s="2" t="n">
        <v>232</v>
      </c>
      <c r="AA3" s="2" t="n">
        <v>0</v>
      </c>
      <c r="AB3" s="2" t="s">
        <v>1245</v>
      </c>
      <c r="AC3" s="2"/>
      <c r="AD3" s="2" t="s">
        <v>1238</v>
      </c>
      <c r="AE3" s="2" t="s">
        <v>692</v>
      </c>
      <c r="AF3" s="2" t="s">
        <v>212</v>
      </c>
      <c r="AG3" s="2" t="s">
        <v>1239</v>
      </c>
      <c r="AH3" s="2" t="s">
        <v>213</v>
      </c>
      <c r="AI3" s="2" t="s">
        <v>1246</v>
      </c>
      <c r="AJ3" s="2" t="s">
        <v>1247</v>
      </c>
      <c r="AK3" s="2" t="s">
        <v>1242</v>
      </c>
      <c r="AL3" s="2" t="s">
        <v>1243</v>
      </c>
      <c r="AM3" s="2"/>
      <c r="AN3" s="2"/>
      <c r="AO3" s="2"/>
      <c r="AP3" s="2"/>
      <c r="AQ3" s="2"/>
      <c r="AR3" s="2"/>
    </row>
    <row r="4" customFormat="false" ht="15" hidden="false" customHeight="false" outlineLevel="0" collapsed="false">
      <c r="A4" s="2" t="n">
        <v>3</v>
      </c>
      <c r="B4" s="2" t="s">
        <v>1248</v>
      </c>
      <c r="C4" s="2" t="s">
        <v>686</v>
      </c>
      <c r="D4" s="2" t="s">
        <v>34</v>
      </c>
      <c r="E4" s="2" t="s">
        <v>1098</v>
      </c>
      <c r="F4" s="2" t="s">
        <v>1099</v>
      </c>
      <c r="G4" s="2" t="s">
        <v>687</v>
      </c>
      <c r="H4" s="2" t="s">
        <v>49</v>
      </c>
      <c r="I4" s="2" t="s">
        <v>1105</v>
      </c>
      <c r="J4" s="2" t="s">
        <v>688</v>
      </c>
      <c r="K4" s="2" t="s">
        <v>36</v>
      </c>
      <c r="L4" s="2" t="s">
        <v>1121</v>
      </c>
      <c r="M4" s="2" t="s">
        <v>36</v>
      </c>
      <c r="N4" s="2" t="s">
        <v>689</v>
      </c>
      <c r="O4" s="2" t="s">
        <v>217</v>
      </c>
      <c r="P4" s="2" t="s">
        <v>695</v>
      </c>
      <c r="Q4" s="2" t="s">
        <v>69</v>
      </c>
      <c r="R4" s="2" t="s">
        <v>103</v>
      </c>
      <c r="S4" s="2" t="n">
        <v>1</v>
      </c>
      <c r="T4" s="2" t="s">
        <v>61</v>
      </c>
      <c r="U4" s="2"/>
      <c r="V4" s="2" t="s">
        <v>211</v>
      </c>
      <c r="W4" s="2" t="s">
        <v>40</v>
      </c>
      <c r="X4" s="2" t="n">
        <v>1784</v>
      </c>
      <c r="Y4" s="2" t="n">
        <v>197</v>
      </c>
      <c r="Z4" s="2" t="n">
        <v>0</v>
      </c>
      <c r="AA4" s="2" t="n">
        <v>15</v>
      </c>
      <c r="AB4" s="2" t="s">
        <v>1249</v>
      </c>
      <c r="AC4" s="2"/>
      <c r="AD4" s="2" t="s">
        <v>1238</v>
      </c>
      <c r="AE4" s="2" t="s">
        <v>692</v>
      </c>
      <c r="AF4" s="2" t="s">
        <v>212</v>
      </c>
      <c r="AG4" s="2" t="s">
        <v>1239</v>
      </c>
      <c r="AH4" s="2" t="s">
        <v>216</v>
      </c>
      <c r="AI4" s="2" t="s">
        <v>1250</v>
      </c>
      <c r="AJ4" s="2" t="s">
        <v>1251</v>
      </c>
      <c r="AK4" s="2" t="s">
        <v>1242</v>
      </c>
      <c r="AL4" s="2" t="s">
        <v>1243</v>
      </c>
      <c r="AM4" s="2"/>
      <c r="AN4" s="2"/>
      <c r="AO4" s="2"/>
      <c r="AP4" s="2"/>
      <c r="AQ4" s="2"/>
      <c r="AR4" s="2"/>
    </row>
    <row r="5" customFormat="false" ht="23.85" hidden="false" customHeight="false" outlineLevel="0" collapsed="false">
      <c r="A5" s="2" t="n">
        <v>4</v>
      </c>
      <c r="B5" s="2" t="s">
        <v>1252</v>
      </c>
      <c r="C5" s="2" t="s">
        <v>686</v>
      </c>
      <c r="D5" s="2" t="s">
        <v>34</v>
      </c>
      <c r="E5" s="2" t="s">
        <v>1098</v>
      </c>
      <c r="F5" s="2" t="s">
        <v>1099</v>
      </c>
      <c r="G5" s="2" t="s">
        <v>687</v>
      </c>
      <c r="H5" s="2" t="s">
        <v>49</v>
      </c>
      <c r="I5" s="2" t="s">
        <v>1105</v>
      </c>
      <c r="J5" s="2" t="s">
        <v>688</v>
      </c>
      <c r="K5" s="2" t="s">
        <v>36</v>
      </c>
      <c r="L5" s="2" t="s">
        <v>1121</v>
      </c>
      <c r="M5" s="2" t="s">
        <v>36</v>
      </c>
      <c r="N5" s="2" t="s">
        <v>689</v>
      </c>
      <c r="O5" s="2" t="s">
        <v>219</v>
      </c>
      <c r="P5" s="2" t="s">
        <v>697</v>
      </c>
      <c r="Q5" s="2" t="s">
        <v>66</v>
      </c>
      <c r="R5" s="2" t="s">
        <v>104</v>
      </c>
      <c r="S5" s="2" t="n">
        <v>1</v>
      </c>
      <c r="T5" s="2" t="s">
        <v>61</v>
      </c>
      <c r="U5" s="2"/>
      <c r="V5" s="2" t="s">
        <v>211</v>
      </c>
      <c r="W5" s="2" t="s">
        <v>47</v>
      </c>
      <c r="X5" s="2" t="n">
        <v>1181</v>
      </c>
      <c r="Y5" s="2" t="n">
        <v>82</v>
      </c>
      <c r="Z5" s="2" t="n">
        <v>42</v>
      </c>
      <c r="AA5" s="2" t="n">
        <v>31</v>
      </c>
      <c r="AB5" s="2" t="s">
        <v>1253</v>
      </c>
      <c r="AC5" s="2"/>
      <c r="AD5" s="2" t="s">
        <v>1238</v>
      </c>
      <c r="AE5" s="2" t="s">
        <v>692</v>
      </c>
      <c r="AF5" s="2" t="s">
        <v>212</v>
      </c>
      <c r="AG5" s="2" t="s">
        <v>1239</v>
      </c>
      <c r="AH5" s="2" t="s">
        <v>218</v>
      </c>
      <c r="AI5" s="2" t="s">
        <v>1254</v>
      </c>
      <c r="AJ5" s="2" t="s">
        <v>1255</v>
      </c>
      <c r="AK5" s="2" t="s">
        <v>1242</v>
      </c>
      <c r="AL5" s="2" t="s">
        <v>1243</v>
      </c>
      <c r="AM5" s="2"/>
      <c r="AN5" s="2"/>
      <c r="AO5" s="2"/>
      <c r="AP5" s="2"/>
      <c r="AQ5" s="2"/>
      <c r="AR5" s="2"/>
    </row>
    <row r="6" customFormat="false" ht="23.85" hidden="false" customHeight="false" outlineLevel="0" collapsed="false">
      <c r="A6" s="2" t="n">
        <v>5</v>
      </c>
      <c r="B6" s="2" t="s">
        <v>1256</v>
      </c>
      <c r="C6" s="2" t="s">
        <v>686</v>
      </c>
      <c r="D6" s="2" t="s">
        <v>34</v>
      </c>
      <c r="E6" s="2" t="s">
        <v>1098</v>
      </c>
      <c r="F6" s="2" t="s">
        <v>1099</v>
      </c>
      <c r="G6" s="2" t="s">
        <v>687</v>
      </c>
      <c r="H6" s="2" t="s">
        <v>49</v>
      </c>
      <c r="I6" s="2" t="s">
        <v>1105</v>
      </c>
      <c r="J6" s="2" t="s">
        <v>688</v>
      </c>
      <c r="K6" s="2" t="s">
        <v>36</v>
      </c>
      <c r="L6" s="2" t="s">
        <v>1121</v>
      </c>
      <c r="M6" s="2" t="s">
        <v>36</v>
      </c>
      <c r="N6" s="2" t="s">
        <v>689</v>
      </c>
      <c r="O6" s="2" t="s">
        <v>221</v>
      </c>
      <c r="P6" s="2" t="s">
        <v>699</v>
      </c>
      <c r="Q6" s="2" t="s">
        <v>75</v>
      </c>
      <c r="R6" s="2" t="s">
        <v>141</v>
      </c>
      <c r="S6" s="2" t="n">
        <v>1</v>
      </c>
      <c r="T6" s="2" t="s">
        <v>61</v>
      </c>
      <c r="U6" s="2"/>
      <c r="V6" s="2" t="s">
        <v>215</v>
      </c>
      <c r="W6" s="2" t="s">
        <v>40</v>
      </c>
      <c r="X6" s="2" t="n">
        <v>2166</v>
      </c>
      <c r="Y6" s="2" t="n">
        <v>255</v>
      </c>
      <c r="Z6" s="2" t="n">
        <v>222</v>
      </c>
      <c r="AA6" s="2" t="n">
        <v>0</v>
      </c>
      <c r="AB6" s="2" t="s">
        <v>1257</v>
      </c>
      <c r="AC6" s="2"/>
      <c r="AD6" s="2" t="s">
        <v>1238</v>
      </c>
      <c r="AE6" s="2" t="s">
        <v>692</v>
      </c>
      <c r="AF6" s="2" t="s">
        <v>212</v>
      </c>
      <c r="AG6" s="2" t="s">
        <v>1239</v>
      </c>
      <c r="AH6" s="2" t="s">
        <v>220</v>
      </c>
      <c r="AI6" s="2" t="s">
        <v>1258</v>
      </c>
      <c r="AJ6" s="2" t="s">
        <v>1259</v>
      </c>
      <c r="AK6" s="2" t="s">
        <v>1242</v>
      </c>
      <c r="AL6" s="2" t="s">
        <v>1243</v>
      </c>
      <c r="AM6" s="2"/>
      <c r="AN6" s="2"/>
      <c r="AO6" s="2"/>
      <c r="AP6" s="2"/>
      <c r="AQ6" s="2"/>
      <c r="AR6" s="2"/>
    </row>
    <row r="7" customFormat="false" ht="23.85" hidden="false" customHeight="false" outlineLevel="0" collapsed="false">
      <c r="A7" s="2" t="n">
        <v>6</v>
      </c>
      <c r="B7" s="2" t="s">
        <v>1260</v>
      </c>
      <c r="C7" s="2" t="s">
        <v>686</v>
      </c>
      <c r="D7" s="2" t="s">
        <v>34</v>
      </c>
      <c r="E7" s="2" t="s">
        <v>1098</v>
      </c>
      <c r="F7" s="2" t="s">
        <v>1099</v>
      </c>
      <c r="G7" s="2" t="s">
        <v>687</v>
      </c>
      <c r="H7" s="2" t="s">
        <v>49</v>
      </c>
      <c r="I7" s="2" t="s">
        <v>1105</v>
      </c>
      <c r="J7" s="2" t="s">
        <v>688</v>
      </c>
      <c r="K7" s="2" t="s">
        <v>36</v>
      </c>
      <c r="L7" s="2" t="s">
        <v>1121</v>
      </c>
      <c r="M7" s="2" t="s">
        <v>36</v>
      </c>
      <c r="N7" s="2" t="s">
        <v>689</v>
      </c>
      <c r="O7" s="2" t="s">
        <v>223</v>
      </c>
      <c r="P7" s="2" t="s">
        <v>701</v>
      </c>
      <c r="Q7" s="2" t="s">
        <v>69</v>
      </c>
      <c r="R7" s="2" t="s">
        <v>106</v>
      </c>
      <c r="S7" s="2" t="n">
        <v>1</v>
      </c>
      <c r="T7" s="2" t="s">
        <v>61</v>
      </c>
      <c r="U7" s="2"/>
      <c r="V7" s="2" t="s">
        <v>215</v>
      </c>
      <c r="W7" s="2" t="s">
        <v>40</v>
      </c>
      <c r="X7" s="2" t="n">
        <v>2199</v>
      </c>
      <c r="Y7" s="2" t="n">
        <v>204</v>
      </c>
      <c r="Z7" s="2" t="n">
        <v>12</v>
      </c>
      <c r="AA7" s="2" t="n">
        <v>22</v>
      </c>
      <c r="AB7" s="2" t="s">
        <v>1261</v>
      </c>
      <c r="AC7" s="2"/>
      <c r="AD7" s="2" t="s">
        <v>1238</v>
      </c>
      <c r="AE7" s="2" t="s">
        <v>692</v>
      </c>
      <c r="AF7" s="2" t="s">
        <v>212</v>
      </c>
      <c r="AG7" s="2" t="s">
        <v>1239</v>
      </c>
      <c r="AH7" s="2" t="s">
        <v>222</v>
      </c>
      <c r="AI7" s="2" t="s">
        <v>1262</v>
      </c>
      <c r="AJ7" s="2" t="s">
        <v>1263</v>
      </c>
      <c r="AK7" s="2" t="s">
        <v>1242</v>
      </c>
      <c r="AL7" s="2" t="s">
        <v>1243</v>
      </c>
      <c r="AM7" s="2"/>
      <c r="AN7" s="2"/>
      <c r="AO7" s="2"/>
      <c r="AP7" s="2"/>
      <c r="AQ7" s="2"/>
      <c r="AR7" s="2"/>
    </row>
    <row r="8" customFormat="false" ht="23.85" hidden="false" customHeight="false" outlineLevel="0" collapsed="false">
      <c r="A8" s="2" t="n">
        <v>7</v>
      </c>
      <c r="B8" s="2" t="s">
        <v>1264</v>
      </c>
      <c r="C8" s="2" t="s">
        <v>686</v>
      </c>
      <c r="D8" s="2" t="s">
        <v>34</v>
      </c>
      <c r="E8" s="2" t="s">
        <v>1098</v>
      </c>
      <c r="F8" s="2" t="s">
        <v>1099</v>
      </c>
      <c r="G8" s="2" t="s">
        <v>687</v>
      </c>
      <c r="H8" s="2" t="s">
        <v>49</v>
      </c>
      <c r="I8" s="2" t="s">
        <v>1105</v>
      </c>
      <c r="J8" s="2" t="s">
        <v>688</v>
      </c>
      <c r="K8" s="2" t="s">
        <v>36</v>
      </c>
      <c r="L8" s="2" t="s">
        <v>1121</v>
      </c>
      <c r="M8" s="2" t="s">
        <v>36</v>
      </c>
      <c r="N8" s="2" t="s">
        <v>689</v>
      </c>
      <c r="O8" s="2" t="s">
        <v>225</v>
      </c>
      <c r="P8" s="2" t="s">
        <v>703</v>
      </c>
      <c r="Q8" s="2" t="s">
        <v>75</v>
      </c>
      <c r="R8" s="2" t="s">
        <v>141</v>
      </c>
      <c r="S8" s="2" t="n">
        <v>1</v>
      </c>
      <c r="T8" s="2" t="s">
        <v>61</v>
      </c>
      <c r="U8" s="2"/>
      <c r="V8" s="2" t="s">
        <v>215</v>
      </c>
      <c r="W8" s="2" t="s">
        <v>40</v>
      </c>
      <c r="X8" s="2" t="n">
        <v>1640</v>
      </c>
      <c r="Y8" s="2" t="n">
        <v>255</v>
      </c>
      <c r="Z8" s="2" t="n">
        <v>164</v>
      </c>
      <c r="AA8" s="2" t="n">
        <v>0</v>
      </c>
      <c r="AB8" s="2" t="s">
        <v>1265</v>
      </c>
      <c r="AC8" s="2"/>
      <c r="AD8" s="2" t="s">
        <v>1238</v>
      </c>
      <c r="AE8" s="2" t="s">
        <v>692</v>
      </c>
      <c r="AF8" s="2" t="s">
        <v>212</v>
      </c>
      <c r="AG8" s="2" t="s">
        <v>1239</v>
      </c>
      <c r="AH8" s="2" t="s">
        <v>224</v>
      </c>
      <c r="AI8" s="2" t="s">
        <v>1266</v>
      </c>
      <c r="AJ8" s="2" t="s">
        <v>1267</v>
      </c>
      <c r="AK8" s="2" t="s">
        <v>1242</v>
      </c>
      <c r="AL8" s="2" t="s">
        <v>1243</v>
      </c>
      <c r="AM8" s="2"/>
      <c r="AN8" s="2"/>
      <c r="AO8" s="2"/>
      <c r="AP8" s="2"/>
      <c r="AQ8" s="2"/>
      <c r="AR8" s="2"/>
    </row>
    <row r="9" customFormat="false" ht="23.85" hidden="false" customHeight="false" outlineLevel="0" collapsed="false">
      <c r="A9" s="2" t="n">
        <v>8</v>
      </c>
      <c r="B9" s="2" t="s">
        <v>1268</v>
      </c>
      <c r="C9" s="2" t="s">
        <v>686</v>
      </c>
      <c r="D9" s="2" t="s">
        <v>34</v>
      </c>
      <c r="E9" s="2" t="s">
        <v>1098</v>
      </c>
      <c r="F9" s="2" t="s">
        <v>1099</v>
      </c>
      <c r="G9" s="2" t="s">
        <v>687</v>
      </c>
      <c r="H9" s="2" t="s">
        <v>49</v>
      </c>
      <c r="I9" s="2" t="s">
        <v>1105</v>
      </c>
      <c r="J9" s="2" t="s">
        <v>688</v>
      </c>
      <c r="K9" s="2" t="s">
        <v>36</v>
      </c>
      <c r="L9" s="2" t="s">
        <v>1121</v>
      </c>
      <c r="M9" s="2" t="s">
        <v>36</v>
      </c>
      <c r="N9" s="2" t="s">
        <v>689</v>
      </c>
      <c r="O9" s="2" t="s">
        <v>227</v>
      </c>
      <c r="P9" s="2" t="s">
        <v>704</v>
      </c>
      <c r="Q9" s="2" t="s">
        <v>75</v>
      </c>
      <c r="R9" s="2" t="s">
        <v>98</v>
      </c>
      <c r="S9" s="2" t="n">
        <v>2</v>
      </c>
      <c r="T9" s="2" t="s">
        <v>41</v>
      </c>
      <c r="U9" s="2"/>
      <c r="V9" s="2" t="s">
        <v>215</v>
      </c>
      <c r="W9" s="2" t="s">
        <v>40</v>
      </c>
      <c r="X9" s="2" t="n">
        <v>2171</v>
      </c>
      <c r="Y9" s="2" t="n">
        <v>255</v>
      </c>
      <c r="Z9" s="2" t="n">
        <v>127</v>
      </c>
      <c r="AA9" s="2" t="n">
        <v>15</v>
      </c>
      <c r="AB9" s="2" t="s">
        <v>1269</v>
      </c>
      <c r="AC9" s="2"/>
      <c r="AD9" s="2" t="s">
        <v>1238</v>
      </c>
      <c r="AE9" s="2" t="s">
        <v>692</v>
      </c>
      <c r="AF9" s="2" t="s">
        <v>212</v>
      </c>
      <c r="AG9" s="2" t="s">
        <v>1239</v>
      </c>
      <c r="AH9" s="2" t="s">
        <v>226</v>
      </c>
      <c r="AI9" s="2" t="s">
        <v>1270</v>
      </c>
      <c r="AJ9" s="2" t="s">
        <v>1271</v>
      </c>
      <c r="AK9" s="2" t="s">
        <v>1242</v>
      </c>
      <c r="AL9" s="2" t="s">
        <v>1243</v>
      </c>
      <c r="AM9" s="2"/>
      <c r="AN9" s="2"/>
      <c r="AO9" s="2"/>
      <c r="AP9" s="2"/>
      <c r="AQ9" s="2"/>
      <c r="AR9" s="2"/>
    </row>
    <row r="10" customFormat="false" ht="23.85" hidden="false" customHeight="false" outlineLevel="0" collapsed="false">
      <c r="A10" s="2" t="n">
        <v>9</v>
      </c>
      <c r="B10" s="2" t="s">
        <v>1272</v>
      </c>
      <c r="C10" s="2" t="s">
        <v>686</v>
      </c>
      <c r="D10" s="2" t="s">
        <v>34</v>
      </c>
      <c r="E10" s="2" t="s">
        <v>1098</v>
      </c>
      <c r="F10" s="2" t="s">
        <v>1099</v>
      </c>
      <c r="G10" s="2" t="s">
        <v>687</v>
      </c>
      <c r="H10" s="2" t="s">
        <v>49</v>
      </c>
      <c r="I10" s="2" t="s">
        <v>1105</v>
      </c>
      <c r="J10" s="2" t="s">
        <v>688</v>
      </c>
      <c r="K10" s="2" t="s">
        <v>36</v>
      </c>
      <c r="L10" s="2" t="s">
        <v>1121</v>
      </c>
      <c r="M10" s="2" t="s">
        <v>36</v>
      </c>
      <c r="N10" s="2" t="s">
        <v>689</v>
      </c>
      <c r="O10" s="2" t="s">
        <v>229</v>
      </c>
      <c r="P10" s="2" t="s">
        <v>706</v>
      </c>
      <c r="Q10" s="2" t="s">
        <v>45</v>
      </c>
      <c r="R10" s="2" t="s">
        <v>74</v>
      </c>
      <c r="S10" s="2" t="n">
        <v>1</v>
      </c>
      <c r="T10" s="2" t="s">
        <v>61</v>
      </c>
      <c r="U10" s="2"/>
      <c r="V10" s="2" t="s">
        <v>230</v>
      </c>
      <c r="W10" s="2" t="s">
        <v>47</v>
      </c>
      <c r="X10" s="2" t="n">
        <v>2195</v>
      </c>
      <c r="Y10" s="2" t="n">
        <v>0</v>
      </c>
      <c r="Z10" s="2" t="n">
        <v>100</v>
      </c>
      <c r="AA10" s="2" t="n">
        <v>160</v>
      </c>
      <c r="AB10" s="2" t="s">
        <v>1273</v>
      </c>
      <c r="AC10" s="2"/>
      <c r="AD10" s="2" t="s">
        <v>1238</v>
      </c>
      <c r="AE10" s="2" t="s">
        <v>692</v>
      </c>
      <c r="AF10" s="2" t="s">
        <v>212</v>
      </c>
      <c r="AG10" s="2" t="s">
        <v>1239</v>
      </c>
      <c r="AH10" s="2" t="s">
        <v>228</v>
      </c>
      <c r="AI10" s="2" t="s">
        <v>1274</v>
      </c>
      <c r="AJ10" s="2" t="s">
        <v>1275</v>
      </c>
      <c r="AK10" s="2" t="s">
        <v>1242</v>
      </c>
      <c r="AL10" s="2" t="s">
        <v>1243</v>
      </c>
      <c r="AM10" s="2"/>
      <c r="AN10" s="2"/>
      <c r="AO10" s="2"/>
      <c r="AP10" s="2"/>
      <c r="AQ10" s="2"/>
      <c r="AR10" s="2"/>
    </row>
    <row r="11" customFormat="false" ht="23.85" hidden="false" customHeight="false" outlineLevel="0" collapsed="false">
      <c r="A11" s="2" t="n">
        <v>10</v>
      </c>
      <c r="B11" s="2" t="s">
        <v>1276</v>
      </c>
      <c r="C11" s="2" t="s">
        <v>686</v>
      </c>
      <c r="D11" s="2" t="s">
        <v>34</v>
      </c>
      <c r="E11" s="2" t="s">
        <v>1098</v>
      </c>
      <c r="F11" s="2" t="s">
        <v>1099</v>
      </c>
      <c r="G11" s="2" t="s">
        <v>687</v>
      </c>
      <c r="H11" s="2" t="s">
        <v>49</v>
      </c>
      <c r="I11" s="2" t="s">
        <v>1105</v>
      </c>
      <c r="J11" s="2" t="s">
        <v>688</v>
      </c>
      <c r="K11" s="2" t="s">
        <v>36</v>
      </c>
      <c r="L11" s="2" t="s">
        <v>1121</v>
      </c>
      <c r="M11" s="2" t="s">
        <v>36</v>
      </c>
      <c r="N11" s="2" t="s">
        <v>689</v>
      </c>
      <c r="O11" s="2" t="s">
        <v>232</v>
      </c>
      <c r="P11" s="2" t="s">
        <v>708</v>
      </c>
      <c r="Q11" s="2" t="s">
        <v>45</v>
      </c>
      <c r="R11" s="2" t="s">
        <v>70</v>
      </c>
      <c r="S11" s="2" t="n">
        <v>1</v>
      </c>
      <c r="T11" s="2" t="s">
        <v>61</v>
      </c>
      <c r="U11" s="2"/>
      <c r="V11" s="2" t="s">
        <v>233</v>
      </c>
      <c r="W11" s="2" t="s">
        <v>47</v>
      </c>
      <c r="X11" s="2" t="n">
        <v>1495</v>
      </c>
      <c r="Y11" s="2" t="n">
        <v>0</v>
      </c>
      <c r="Z11" s="2" t="n">
        <v>41</v>
      </c>
      <c r="AA11" s="2" t="n">
        <v>117</v>
      </c>
      <c r="AB11" s="2" t="s">
        <v>1277</v>
      </c>
      <c r="AC11" s="2"/>
      <c r="AD11" s="2" t="s">
        <v>1238</v>
      </c>
      <c r="AE11" s="2" t="s">
        <v>692</v>
      </c>
      <c r="AF11" s="2" t="s">
        <v>212</v>
      </c>
      <c r="AG11" s="2" t="s">
        <v>1239</v>
      </c>
      <c r="AH11" s="2" t="s">
        <v>231</v>
      </c>
      <c r="AI11" s="2" t="s">
        <v>1278</v>
      </c>
      <c r="AJ11" s="2" t="s">
        <v>1279</v>
      </c>
      <c r="AK11" s="2" t="s">
        <v>1242</v>
      </c>
      <c r="AL11" s="2" t="s">
        <v>1243</v>
      </c>
      <c r="AM11" s="2"/>
      <c r="AN11" s="2"/>
      <c r="AO11" s="2"/>
      <c r="AP11" s="2"/>
      <c r="AQ11" s="2"/>
      <c r="AR11" s="2"/>
    </row>
    <row r="12" customFormat="false" ht="23.85" hidden="false" customHeight="false" outlineLevel="0" collapsed="false">
      <c r="A12" s="2" t="n">
        <v>11</v>
      </c>
      <c r="B12" s="2" t="s">
        <v>1280</v>
      </c>
      <c r="C12" s="2" t="s">
        <v>686</v>
      </c>
      <c r="D12" s="2" t="s">
        <v>34</v>
      </c>
      <c r="E12" s="2" t="s">
        <v>1098</v>
      </c>
      <c r="F12" s="2" t="s">
        <v>1099</v>
      </c>
      <c r="G12" s="2" t="s">
        <v>687</v>
      </c>
      <c r="H12" s="2" t="s">
        <v>49</v>
      </c>
      <c r="I12" s="2" t="s">
        <v>1105</v>
      </c>
      <c r="J12" s="2" t="s">
        <v>688</v>
      </c>
      <c r="K12" s="2" t="s">
        <v>36</v>
      </c>
      <c r="L12" s="2" t="s">
        <v>1121</v>
      </c>
      <c r="M12" s="2" t="s">
        <v>36</v>
      </c>
      <c r="N12" s="2" t="s">
        <v>689</v>
      </c>
      <c r="O12" s="2" t="s">
        <v>235</v>
      </c>
      <c r="P12" s="2" t="s">
        <v>710</v>
      </c>
      <c r="Q12" s="2" t="s">
        <v>45</v>
      </c>
      <c r="R12" s="2" t="s">
        <v>79</v>
      </c>
      <c r="S12" s="2" t="n">
        <v>1</v>
      </c>
      <c r="T12" s="2" t="s">
        <v>61</v>
      </c>
      <c r="U12" s="2"/>
      <c r="V12" s="2" t="s">
        <v>233</v>
      </c>
      <c r="W12" s="2" t="s">
        <v>47</v>
      </c>
      <c r="X12" s="2" t="n">
        <v>1871</v>
      </c>
      <c r="Y12" s="2" t="n">
        <v>22</v>
      </c>
      <c r="Z12" s="2" t="n">
        <v>176</v>
      </c>
      <c r="AA12" s="2" t="n">
        <v>100</v>
      </c>
      <c r="AB12" s="2" t="s">
        <v>1281</v>
      </c>
      <c r="AC12" s="2"/>
      <c r="AD12" s="2" t="s">
        <v>1238</v>
      </c>
      <c r="AE12" s="2" t="s">
        <v>692</v>
      </c>
      <c r="AF12" s="2" t="s">
        <v>212</v>
      </c>
      <c r="AG12" s="2" t="s">
        <v>1239</v>
      </c>
      <c r="AH12" s="2" t="s">
        <v>234</v>
      </c>
      <c r="AI12" s="2" t="s">
        <v>1282</v>
      </c>
      <c r="AJ12" s="2" t="s">
        <v>1283</v>
      </c>
      <c r="AK12" s="2" t="s">
        <v>1242</v>
      </c>
      <c r="AL12" s="2" t="s">
        <v>1243</v>
      </c>
      <c r="AM12" s="2"/>
      <c r="AN12" s="2"/>
      <c r="AO12" s="2"/>
      <c r="AP12" s="2"/>
      <c r="AQ12" s="2"/>
      <c r="AR12" s="2"/>
    </row>
    <row r="13" customFormat="false" ht="23.85" hidden="false" customHeight="false" outlineLevel="0" collapsed="false">
      <c r="A13" s="2" t="n">
        <v>12</v>
      </c>
      <c r="B13" s="2" t="s">
        <v>1284</v>
      </c>
      <c r="C13" s="2" t="s">
        <v>686</v>
      </c>
      <c r="D13" s="2" t="s">
        <v>34</v>
      </c>
      <c r="E13" s="2" t="s">
        <v>1098</v>
      </c>
      <c r="F13" s="2" t="s">
        <v>1099</v>
      </c>
      <c r="G13" s="2" t="s">
        <v>687</v>
      </c>
      <c r="H13" s="2" t="s">
        <v>49</v>
      </c>
      <c r="I13" s="2" t="s">
        <v>1105</v>
      </c>
      <c r="J13" s="2" t="s">
        <v>688</v>
      </c>
      <c r="K13" s="2" t="s">
        <v>36</v>
      </c>
      <c r="L13" s="2" t="s">
        <v>1121</v>
      </c>
      <c r="M13" s="2" t="s">
        <v>36</v>
      </c>
      <c r="N13" s="2" t="s">
        <v>689</v>
      </c>
      <c r="O13" s="2" t="s">
        <v>237</v>
      </c>
      <c r="P13" s="2" t="s">
        <v>712</v>
      </c>
      <c r="Q13" s="2" t="s">
        <v>45</v>
      </c>
      <c r="R13" s="2" t="s">
        <v>94</v>
      </c>
      <c r="S13" s="2" t="n">
        <v>1</v>
      </c>
      <c r="T13" s="2" t="s">
        <v>61</v>
      </c>
      <c r="U13" s="2"/>
      <c r="V13" s="2" t="s">
        <v>215</v>
      </c>
      <c r="W13" s="2" t="s">
        <v>47</v>
      </c>
      <c r="X13" s="2" t="n">
        <v>1749</v>
      </c>
      <c r="Y13" s="2" t="n">
        <v>46</v>
      </c>
      <c r="Z13" s="2" t="n">
        <v>90</v>
      </c>
      <c r="AA13" s="2" t="n">
        <v>76</v>
      </c>
      <c r="AB13" s="2" t="s">
        <v>1285</v>
      </c>
      <c r="AC13" s="2"/>
      <c r="AD13" s="2" t="s">
        <v>1238</v>
      </c>
      <c r="AE13" s="2" t="s">
        <v>692</v>
      </c>
      <c r="AF13" s="2" t="s">
        <v>212</v>
      </c>
      <c r="AG13" s="2" t="s">
        <v>1239</v>
      </c>
      <c r="AH13" s="2" t="s">
        <v>236</v>
      </c>
      <c r="AI13" s="2" t="s">
        <v>1286</v>
      </c>
      <c r="AJ13" s="2" t="s">
        <v>1287</v>
      </c>
      <c r="AK13" s="2" t="s">
        <v>1242</v>
      </c>
      <c r="AL13" s="2" t="s">
        <v>1243</v>
      </c>
      <c r="AM13" s="2"/>
      <c r="AN13" s="2"/>
      <c r="AO13" s="2"/>
      <c r="AP13" s="2"/>
      <c r="AQ13" s="2"/>
      <c r="AR13" s="2"/>
    </row>
    <row r="14" customFormat="false" ht="23.85" hidden="false" customHeight="false" outlineLevel="0" collapsed="false">
      <c r="A14" s="2" t="n">
        <v>13</v>
      </c>
      <c r="B14" s="2" t="s">
        <v>1288</v>
      </c>
      <c r="C14" s="2" t="s">
        <v>686</v>
      </c>
      <c r="D14" s="2" t="s">
        <v>34</v>
      </c>
      <c r="E14" s="2" t="s">
        <v>1098</v>
      </c>
      <c r="F14" s="2" t="s">
        <v>1099</v>
      </c>
      <c r="G14" s="2" t="s">
        <v>687</v>
      </c>
      <c r="H14" s="2" t="s">
        <v>49</v>
      </c>
      <c r="I14" s="2" t="s">
        <v>1105</v>
      </c>
      <c r="J14" s="2" t="s">
        <v>688</v>
      </c>
      <c r="K14" s="2" t="s">
        <v>36</v>
      </c>
      <c r="L14" s="2" t="s">
        <v>1121</v>
      </c>
      <c r="M14" s="2" t="s">
        <v>36</v>
      </c>
      <c r="N14" s="2" t="s">
        <v>689</v>
      </c>
      <c r="O14" s="2" t="s">
        <v>239</v>
      </c>
      <c r="P14" s="2" t="s">
        <v>714</v>
      </c>
      <c r="Q14" s="2" t="s">
        <v>45</v>
      </c>
      <c r="R14" s="2" t="s">
        <v>94</v>
      </c>
      <c r="S14" s="2" t="n">
        <v>2</v>
      </c>
      <c r="T14" s="2" t="s">
        <v>41</v>
      </c>
      <c r="U14" s="2"/>
      <c r="V14" s="2" t="s">
        <v>230</v>
      </c>
      <c r="W14" s="2" t="s">
        <v>47</v>
      </c>
      <c r="X14" s="2" t="n">
        <v>1177</v>
      </c>
      <c r="Y14" s="2" t="n">
        <v>0</v>
      </c>
      <c r="Z14" s="2" t="n">
        <v>123</v>
      </c>
      <c r="AA14" s="2" t="n">
        <v>110</v>
      </c>
      <c r="AB14" s="2" t="s">
        <v>1289</v>
      </c>
      <c r="AC14" s="2"/>
      <c r="AD14" s="2" t="s">
        <v>1238</v>
      </c>
      <c r="AE14" s="2" t="s">
        <v>692</v>
      </c>
      <c r="AF14" s="2" t="s">
        <v>212</v>
      </c>
      <c r="AG14" s="2" t="s">
        <v>1239</v>
      </c>
      <c r="AH14" s="2" t="s">
        <v>238</v>
      </c>
      <c r="AI14" s="2" t="s">
        <v>1290</v>
      </c>
      <c r="AJ14" s="2" t="s">
        <v>1291</v>
      </c>
      <c r="AK14" s="2" t="s">
        <v>1242</v>
      </c>
      <c r="AL14" s="2" t="s">
        <v>1243</v>
      </c>
      <c r="AM14" s="2"/>
      <c r="AN14" s="2"/>
      <c r="AO14" s="2"/>
      <c r="AP14" s="2"/>
      <c r="AQ14" s="2"/>
      <c r="AR14" s="2"/>
    </row>
    <row r="15" customFormat="false" ht="23.85" hidden="false" customHeight="false" outlineLevel="0" collapsed="false">
      <c r="A15" s="2" t="n">
        <v>14</v>
      </c>
      <c r="B15" s="2" t="s">
        <v>1292</v>
      </c>
      <c r="C15" s="2" t="s">
        <v>686</v>
      </c>
      <c r="D15" s="2" t="s">
        <v>34</v>
      </c>
      <c r="E15" s="2" t="s">
        <v>1098</v>
      </c>
      <c r="F15" s="2" t="s">
        <v>1099</v>
      </c>
      <c r="G15" s="2" t="s">
        <v>687</v>
      </c>
      <c r="H15" s="2" t="s">
        <v>49</v>
      </c>
      <c r="I15" s="2" t="s">
        <v>1105</v>
      </c>
      <c r="J15" s="2" t="s">
        <v>688</v>
      </c>
      <c r="K15" s="2" t="s">
        <v>36</v>
      </c>
      <c r="L15" s="2" t="s">
        <v>1121</v>
      </c>
      <c r="M15" s="2" t="s">
        <v>36</v>
      </c>
      <c r="N15" s="2" t="s">
        <v>689</v>
      </c>
      <c r="O15" s="2" t="s">
        <v>241</v>
      </c>
      <c r="P15" s="2" t="s">
        <v>716</v>
      </c>
      <c r="Q15" s="2" t="s">
        <v>45</v>
      </c>
      <c r="R15" s="2" t="s">
        <v>76</v>
      </c>
      <c r="S15" s="2" t="n">
        <v>1</v>
      </c>
      <c r="T15" s="2" t="s">
        <v>61</v>
      </c>
      <c r="U15" s="2"/>
      <c r="V15" s="2" t="s">
        <v>215</v>
      </c>
      <c r="W15" s="2" t="s">
        <v>47</v>
      </c>
      <c r="X15" s="2" t="n">
        <v>1841</v>
      </c>
      <c r="Y15" s="2" t="n">
        <v>0</v>
      </c>
      <c r="Z15" s="2" t="n">
        <v>99</v>
      </c>
      <c r="AA15" s="2" t="n">
        <v>127</v>
      </c>
      <c r="AB15" s="2" t="s">
        <v>1293</v>
      </c>
      <c r="AC15" s="2"/>
      <c r="AD15" s="2" t="s">
        <v>1238</v>
      </c>
      <c r="AE15" s="2" t="s">
        <v>692</v>
      </c>
      <c r="AF15" s="2" t="s">
        <v>212</v>
      </c>
      <c r="AG15" s="2" t="s">
        <v>1239</v>
      </c>
      <c r="AH15" s="2" t="s">
        <v>240</v>
      </c>
      <c r="AI15" s="2" t="s">
        <v>1294</v>
      </c>
      <c r="AJ15" s="2" t="s">
        <v>1295</v>
      </c>
      <c r="AK15" s="2" t="s">
        <v>1242</v>
      </c>
      <c r="AL15" s="2" t="s">
        <v>1243</v>
      </c>
      <c r="AM15" s="2"/>
      <c r="AN15" s="2"/>
      <c r="AO15" s="2"/>
      <c r="AP15" s="2"/>
      <c r="AQ15" s="2"/>
      <c r="AR15" s="2"/>
    </row>
    <row r="16" customFormat="false" ht="23.85" hidden="false" customHeight="false" outlineLevel="0" collapsed="false">
      <c r="A16" s="2" t="n">
        <v>15</v>
      </c>
      <c r="B16" s="2" t="s">
        <v>1296</v>
      </c>
      <c r="C16" s="2" t="s">
        <v>686</v>
      </c>
      <c r="D16" s="2" t="s">
        <v>34</v>
      </c>
      <c r="E16" s="2" t="s">
        <v>1098</v>
      </c>
      <c r="F16" s="2" t="s">
        <v>1099</v>
      </c>
      <c r="G16" s="2" t="s">
        <v>687</v>
      </c>
      <c r="H16" s="2" t="s">
        <v>49</v>
      </c>
      <c r="I16" s="2" t="s">
        <v>1105</v>
      </c>
      <c r="J16" s="2" t="s">
        <v>688</v>
      </c>
      <c r="K16" s="2" t="s">
        <v>36</v>
      </c>
      <c r="L16" s="2" t="s">
        <v>1121</v>
      </c>
      <c r="M16" s="2" t="s">
        <v>36</v>
      </c>
      <c r="N16" s="2" t="s">
        <v>689</v>
      </c>
      <c r="O16" s="2" t="s">
        <v>243</v>
      </c>
      <c r="P16" s="2" t="s">
        <v>718</v>
      </c>
      <c r="Q16" s="2" t="s">
        <v>45</v>
      </c>
      <c r="R16" s="2" t="s">
        <v>96</v>
      </c>
      <c r="S16" s="2" t="n">
        <v>1</v>
      </c>
      <c r="T16" s="2" t="s">
        <v>61</v>
      </c>
      <c r="U16" s="2"/>
      <c r="V16" s="2" t="s">
        <v>215</v>
      </c>
      <c r="W16" s="2" t="s">
        <v>47</v>
      </c>
      <c r="X16" s="2" t="n">
        <v>1685</v>
      </c>
      <c r="Y16" s="2" t="n">
        <v>0</v>
      </c>
      <c r="Z16" s="2" t="n">
        <v>157</v>
      </c>
      <c r="AA16" s="2" t="n">
        <v>160</v>
      </c>
      <c r="AB16" s="2" t="s">
        <v>1297</v>
      </c>
      <c r="AC16" s="2"/>
      <c r="AD16" s="2" t="s">
        <v>1238</v>
      </c>
      <c r="AE16" s="2" t="s">
        <v>692</v>
      </c>
      <c r="AF16" s="2" t="s">
        <v>212</v>
      </c>
      <c r="AG16" s="2" t="s">
        <v>1239</v>
      </c>
      <c r="AH16" s="2" t="s">
        <v>242</v>
      </c>
      <c r="AI16" s="2" t="s">
        <v>1298</v>
      </c>
      <c r="AJ16" s="2" t="s">
        <v>1299</v>
      </c>
      <c r="AK16" s="2" t="s">
        <v>1242</v>
      </c>
      <c r="AL16" s="2" t="s">
        <v>1243</v>
      </c>
      <c r="AM16" s="2"/>
      <c r="AN16" s="2"/>
      <c r="AO16" s="2"/>
      <c r="AP16" s="2"/>
      <c r="AQ16" s="2"/>
      <c r="AR16" s="2"/>
    </row>
    <row r="17" customFormat="false" ht="23.85" hidden="false" customHeight="false" outlineLevel="0" collapsed="false">
      <c r="A17" s="2" t="n">
        <v>16</v>
      </c>
      <c r="B17" s="2" t="s">
        <v>1300</v>
      </c>
      <c r="C17" s="2" t="s">
        <v>686</v>
      </c>
      <c r="D17" s="2" t="s">
        <v>34</v>
      </c>
      <c r="E17" s="2" t="s">
        <v>1098</v>
      </c>
      <c r="F17" s="2" t="s">
        <v>1099</v>
      </c>
      <c r="G17" s="2" t="s">
        <v>687</v>
      </c>
      <c r="H17" s="2" t="s">
        <v>49</v>
      </c>
      <c r="I17" s="2" t="s">
        <v>1105</v>
      </c>
      <c r="J17" s="2" t="s">
        <v>688</v>
      </c>
      <c r="K17" s="2" t="s">
        <v>36</v>
      </c>
      <c r="L17" s="2" t="s">
        <v>1121</v>
      </c>
      <c r="M17" s="2" t="s">
        <v>36</v>
      </c>
      <c r="N17" s="2" t="s">
        <v>689</v>
      </c>
      <c r="O17" s="2" t="s">
        <v>245</v>
      </c>
      <c r="P17" s="2" t="s">
        <v>719</v>
      </c>
      <c r="Q17" s="2" t="s">
        <v>71</v>
      </c>
      <c r="R17" s="2" t="s">
        <v>121</v>
      </c>
      <c r="S17" s="2" t="n">
        <v>1</v>
      </c>
      <c r="T17" s="2" t="s">
        <v>61</v>
      </c>
      <c r="U17" s="2"/>
      <c r="V17" s="2" t="s">
        <v>233</v>
      </c>
      <c r="W17" s="2" t="s">
        <v>47</v>
      </c>
      <c r="X17" s="2" t="n">
        <v>1605</v>
      </c>
      <c r="Y17" s="2" t="n">
        <v>78</v>
      </c>
      <c r="Z17" s="2" t="n">
        <v>23</v>
      </c>
      <c r="AA17" s="2" t="n">
        <v>80</v>
      </c>
      <c r="AB17" s="2" t="s">
        <v>1301</v>
      </c>
      <c r="AC17" s="2"/>
      <c r="AD17" s="2" t="s">
        <v>1238</v>
      </c>
      <c r="AE17" s="2" t="s">
        <v>692</v>
      </c>
      <c r="AF17" s="2" t="s">
        <v>212</v>
      </c>
      <c r="AG17" s="2" t="s">
        <v>1239</v>
      </c>
      <c r="AH17" s="2" t="s">
        <v>244</v>
      </c>
      <c r="AI17" s="2" t="s">
        <v>1302</v>
      </c>
      <c r="AJ17" s="2" t="s">
        <v>1303</v>
      </c>
      <c r="AK17" s="2" t="s">
        <v>1242</v>
      </c>
      <c r="AL17" s="2" t="s">
        <v>1243</v>
      </c>
      <c r="AM17" s="2"/>
      <c r="AN17" s="2"/>
      <c r="AO17" s="2"/>
      <c r="AP17" s="2"/>
      <c r="AQ17" s="2"/>
      <c r="AR17" s="2"/>
    </row>
    <row r="18" customFormat="false" ht="23.85" hidden="false" customHeight="false" outlineLevel="0" collapsed="false">
      <c r="A18" s="2" t="n">
        <v>17</v>
      </c>
      <c r="B18" s="2" t="s">
        <v>1304</v>
      </c>
      <c r="C18" s="2" t="s">
        <v>686</v>
      </c>
      <c r="D18" s="2" t="s">
        <v>34</v>
      </c>
      <c r="E18" s="2" t="s">
        <v>1098</v>
      </c>
      <c r="F18" s="2" t="s">
        <v>1099</v>
      </c>
      <c r="G18" s="2" t="s">
        <v>687</v>
      </c>
      <c r="H18" s="2" t="s">
        <v>49</v>
      </c>
      <c r="I18" s="2" t="s">
        <v>1105</v>
      </c>
      <c r="J18" s="2" t="s">
        <v>688</v>
      </c>
      <c r="K18" s="2" t="s">
        <v>36</v>
      </c>
      <c r="L18" s="2" t="s">
        <v>1121</v>
      </c>
      <c r="M18" s="2" t="s">
        <v>36</v>
      </c>
      <c r="N18" s="2" t="s">
        <v>689</v>
      </c>
      <c r="O18" s="2" t="s">
        <v>247</v>
      </c>
      <c r="P18" s="2" t="s">
        <v>721</v>
      </c>
      <c r="Q18" s="2" t="s">
        <v>45</v>
      </c>
      <c r="R18" s="2" t="s">
        <v>72</v>
      </c>
      <c r="S18" s="2" t="n">
        <v>1</v>
      </c>
      <c r="T18" s="2" t="s">
        <v>61</v>
      </c>
      <c r="U18" s="2"/>
      <c r="V18" s="2" t="s">
        <v>211</v>
      </c>
      <c r="W18" s="2" t="s">
        <v>40</v>
      </c>
      <c r="X18" s="2" t="n">
        <v>1397</v>
      </c>
      <c r="Y18" s="2" t="n">
        <v>50</v>
      </c>
      <c r="Z18" s="2" t="n">
        <v>61</v>
      </c>
      <c r="AA18" s="2" t="n">
        <v>164</v>
      </c>
      <c r="AB18" s="2" t="s">
        <v>1305</v>
      </c>
      <c r="AC18" s="2"/>
      <c r="AD18" s="2" t="s">
        <v>1238</v>
      </c>
      <c r="AE18" s="2" t="s">
        <v>692</v>
      </c>
      <c r="AF18" s="2" t="s">
        <v>212</v>
      </c>
      <c r="AG18" s="2" t="s">
        <v>1239</v>
      </c>
      <c r="AH18" s="2" t="s">
        <v>246</v>
      </c>
      <c r="AI18" s="2" t="s">
        <v>1306</v>
      </c>
      <c r="AJ18" s="2" t="s">
        <v>1307</v>
      </c>
      <c r="AK18" s="2" t="s">
        <v>1242</v>
      </c>
      <c r="AL18" s="2" t="s">
        <v>1243</v>
      </c>
      <c r="AM18" s="2"/>
      <c r="AN18" s="2"/>
      <c r="AO18" s="2"/>
      <c r="AP18" s="2"/>
      <c r="AQ18" s="2"/>
      <c r="AR18" s="2"/>
    </row>
    <row r="19" customFormat="false" ht="23.85" hidden="false" customHeight="false" outlineLevel="0" collapsed="false">
      <c r="A19" s="2" t="n">
        <v>18</v>
      </c>
      <c r="B19" s="2" t="s">
        <v>1308</v>
      </c>
      <c r="C19" s="2" t="s">
        <v>686</v>
      </c>
      <c r="D19" s="2" t="s">
        <v>34</v>
      </c>
      <c r="E19" s="2" t="s">
        <v>1098</v>
      </c>
      <c r="F19" s="2" t="s">
        <v>1099</v>
      </c>
      <c r="G19" s="2" t="s">
        <v>687</v>
      </c>
      <c r="H19" s="2" t="s">
        <v>49</v>
      </c>
      <c r="I19" s="2" t="s">
        <v>1105</v>
      </c>
      <c r="J19" s="2" t="s">
        <v>688</v>
      </c>
      <c r="K19" s="2" t="s">
        <v>36</v>
      </c>
      <c r="L19" s="2" t="s">
        <v>1121</v>
      </c>
      <c r="M19" s="2" t="s">
        <v>36</v>
      </c>
      <c r="N19" s="2" t="s">
        <v>689</v>
      </c>
      <c r="O19" s="2" t="s">
        <v>249</v>
      </c>
      <c r="P19" s="2" t="s">
        <v>723</v>
      </c>
      <c r="Q19" s="2" t="s">
        <v>75</v>
      </c>
      <c r="R19" s="2" t="s">
        <v>142</v>
      </c>
      <c r="S19" s="2" t="n">
        <v>1</v>
      </c>
      <c r="T19" s="2" t="s">
        <v>61</v>
      </c>
      <c r="U19" s="2"/>
      <c r="V19" s="2" t="s">
        <v>215</v>
      </c>
      <c r="W19" s="2" t="s">
        <v>47</v>
      </c>
      <c r="X19" s="2" t="n">
        <v>1610</v>
      </c>
      <c r="Y19" s="2" t="n">
        <v>168</v>
      </c>
      <c r="Z19" s="2" t="n">
        <v>113</v>
      </c>
      <c r="AA19" s="2" t="n">
        <v>37</v>
      </c>
      <c r="AB19" s="2" t="s">
        <v>1309</v>
      </c>
      <c r="AC19" s="2"/>
      <c r="AD19" s="2" t="s">
        <v>1238</v>
      </c>
      <c r="AE19" s="2" t="s">
        <v>692</v>
      </c>
      <c r="AF19" s="2" t="s">
        <v>212</v>
      </c>
      <c r="AG19" s="2" t="s">
        <v>1239</v>
      </c>
      <c r="AH19" s="2" t="s">
        <v>248</v>
      </c>
      <c r="AI19" s="2" t="s">
        <v>1310</v>
      </c>
      <c r="AJ19" s="2" t="s">
        <v>1311</v>
      </c>
      <c r="AK19" s="2" t="s">
        <v>1242</v>
      </c>
      <c r="AL19" s="2" t="s">
        <v>1243</v>
      </c>
      <c r="AM19" s="2"/>
      <c r="AN19" s="2"/>
      <c r="AO19" s="2"/>
      <c r="AP19" s="2"/>
      <c r="AQ19" s="2"/>
      <c r="AR19" s="2"/>
    </row>
    <row r="20" customFormat="false" ht="23.85" hidden="false" customHeight="false" outlineLevel="0" collapsed="false">
      <c r="A20" s="2" t="n">
        <v>19</v>
      </c>
      <c r="B20" s="2" t="s">
        <v>1312</v>
      </c>
      <c r="C20" s="2" t="s">
        <v>686</v>
      </c>
      <c r="D20" s="2" t="s">
        <v>34</v>
      </c>
      <c r="E20" s="2" t="s">
        <v>1098</v>
      </c>
      <c r="F20" s="2" t="s">
        <v>1099</v>
      </c>
      <c r="G20" s="2" t="s">
        <v>687</v>
      </c>
      <c r="H20" s="2" t="s">
        <v>49</v>
      </c>
      <c r="I20" s="2" t="s">
        <v>1105</v>
      </c>
      <c r="J20" s="2" t="s">
        <v>688</v>
      </c>
      <c r="K20" s="2" t="s">
        <v>36</v>
      </c>
      <c r="L20" s="2" t="s">
        <v>1121</v>
      </c>
      <c r="M20" s="2" t="s">
        <v>36</v>
      </c>
      <c r="N20" s="2" t="s">
        <v>689</v>
      </c>
      <c r="O20" s="2" t="s">
        <v>251</v>
      </c>
      <c r="P20" s="2" t="s">
        <v>725</v>
      </c>
      <c r="Q20" s="2" t="s">
        <v>75</v>
      </c>
      <c r="R20" s="2" t="s">
        <v>134</v>
      </c>
      <c r="S20" s="2" t="n">
        <v>1</v>
      </c>
      <c r="T20" s="2" t="s">
        <v>61</v>
      </c>
      <c r="U20" s="2"/>
      <c r="V20" s="2" t="s">
        <v>211</v>
      </c>
      <c r="W20" s="2" t="s">
        <v>40</v>
      </c>
      <c r="X20" s="2" t="n">
        <v>1072</v>
      </c>
      <c r="Y20" s="2" t="n">
        <v>71</v>
      </c>
      <c r="Z20" s="2" t="n">
        <v>74</v>
      </c>
      <c r="AA20" s="2" t="n">
        <v>14</v>
      </c>
      <c r="AB20" s="2" t="s">
        <v>1313</v>
      </c>
      <c r="AC20" s="2"/>
      <c r="AD20" s="2" t="s">
        <v>1238</v>
      </c>
      <c r="AE20" s="2" t="s">
        <v>692</v>
      </c>
      <c r="AF20" s="2" t="s">
        <v>212</v>
      </c>
      <c r="AG20" s="2" t="s">
        <v>1239</v>
      </c>
      <c r="AH20" s="2" t="s">
        <v>250</v>
      </c>
      <c r="AI20" s="2" t="s">
        <v>1314</v>
      </c>
      <c r="AJ20" s="2" t="s">
        <v>1315</v>
      </c>
      <c r="AK20" s="2" t="s">
        <v>1242</v>
      </c>
      <c r="AL20" s="2" t="s">
        <v>1243</v>
      </c>
      <c r="AM20" s="2"/>
      <c r="AN20" s="2"/>
      <c r="AO20" s="2"/>
      <c r="AP20" s="2"/>
      <c r="AQ20" s="2"/>
      <c r="AR20" s="2"/>
    </row>
    <row r="21" customFormat="false" ht="23.85" hidden="false" customHeight="false" outlineLevel="0" collapsed="false">
      <c r="A21" s="2" t="n">
        <v>20</v>
      </c>
      <c r="B21" s="2" t="s">
        <v>1316</v>
      </c>
      <c r="C21" s="2" t="s">
        <v>686</v>
      </c>
      <c r="D21" s="2" t="s">
        <v>34</v>
      </c>
      <c r="E21" s="2" t="s">
        <v>1098</v>
      </c>
      <c r="F21" s="2" t="s">
        <v>1099</v>
      </c>
      <c r="G21" s="2" t="s">
        <v>687</v>
      </c>
      <c r="H21" s="2" t="s">
        <v>49</v>
      </c>
      <c r="I21" s="2" t="s">
        <v>1105</v>
      </c>
      <c r="J21" s="2" t="s">
        <v>688</v>
      </c>
      <c r="K21" s="2" t="s">
        <v>36</v>
      </c>
      <c r="L21" s="2" t="s">
        <v>1121</v>
      </c>
      <c r="M21" s="2" t="s">
        <v>36</v>
      </c>
      <c r="N21" s="2" t="s">
        <v>689</v>
      </c>
      <c r="O21" s="2" t="s">
        <v>253</v>
      </c>
      <c r="P21" s="2" t="s">
        <v>727</v>
      </c>
      <c r="Q21" s="2" t="s">
        <v>75</v>
      </c>
      <c r="R21" s="2" t="s">
        <v>136</v>
      </c>
      <c r="S21" s="2" t="n">
        <v>2</v>
      </c>
      <c r="T21" s="2" t="s">
        <v>41</v>
      </c>
      <c r="U21" s="2"/>
      <c r="V21" s="2" t="s">
        <v>211</v>
      </c>
      <c r="W21" s="2" t="s">
        <v>40</v>
      </c>
      <c r="X21" s="2" t="n">
        <v>1506</v>
      </c>
      <c r="Y21" s="2" t="n">
        <v>144</v>
      </c>
      <c r="Z21" s="2" t="n">
        <v>87</v>
      </c>
      <c r="AA21" s="2" t="n">
        <v>0</v>
      </c>
      <c r="AB21" s="2" t="s">
        <v>1317</v>
      </c>
      <c r="AC21" s="2"/>
      <c r="AD21" s="2" t="s">
        <v>1238</v>
      </c>
      <c r="AE21" s="2" t="s">
        <v>692</v>
      </c>
      <c r="AF21" s="2" t="s">
        <v>212</v>
      </c>
      <c r="AG21" s="2" t="s">
        <v>1239</v>
      </c>
      <c r="AH21" s="2" t="s">
        <v>252</v>
      </c>
      <c r="AI21" s="2" t="s">
        <v>1318</v>
      </c>
      <c r="AJ21" s="2" t="s">
        <v>1319</v>
      </c>
      <c r="AK21" s="2" t="s">
        <v>1242</v>
      </c>
      <c r="AL21" s="2" t="s">
        <v>1243</v>
      </c>
      <c r="AM21" s="2"/>
      <c r="AN21" s="2"/>
      <c r="AO21" s="2"/>
      <c r="AP21" s="2"/>
      <c r="AQ21" s="2"/>
      <c r="AR21" s="2"/>
    </row>
    <row r="22" customFormat="false" ht="23.85" hidden="false" customHeight="false" outlineLevel="0" collapsed="false">
      <c r="A22" s="2" t="n">
        <v>21</v>
      </c>
      <c r="B22" s="2" t="s">
        <v>1320</v>
      </c>
      <c r="C22" s="2" t="s">
        <v>686</v>
      </c>
      <c r="D22" s="2" t="s">
        <v>34</v>
      </c>
      <c r="E22" s="2" t="s">
        <v>1098</v>
      </c>
      <c r="F22" s="2" t="s">
        <v>1099</v>
      </c>
      <c r="G22" s="2" t="s">
        <v>687</v>
      </c>
      <c r="H22" s="2" t="s">
        <v>49</v>
      </c>
      <c r="I22" s="2" t="s">
        <v>1105</v>
      </c>
      <c r="J22" s="2" t="s">
        <v>688</v>
      </c>
      <c r="K22" s="2" t="s">
        <v>36</v>
      </c>
      <c r="L22" s="2" t="s">
        <v>1121</v>
      </c>
      <c r="M22" s="2" t="s">
        <v>36</v>
      </c>
      <c r="N22" s="2" t="s">
        <v>689</v>
      </c>
      <c r="O22" s="2" t="s">
        <v>255</v>
      </c>
      <c r="P22" s="2" t="s">
        <v>729</v>
      </c>
      <c r="Q22" s="2" t="s">
        <v>75</v>
      </c>
      <c r="R22" s="2" t="s">
        <v>138</v>
      </c>
      <c r="S22" s="2" t="n">
        <v>1</v>
      </c>
      <c r="T22" s="2" t="s">
        <v>61</v>
      </c>
      <c r="U22" s="2"/>
      <c r="V22" s="2" t="s">
        <v>211</v>
      </c>
      <c r="W22" s="2" t="s">
        <v>40</v>
      </c>
      <c r="X22" s="2" t="n">
        <v>1150</v>
      </c>
      <c r="Y22" s="2" t="n">
        <v>119</v>
      </c>
      <c r="Z22" s="2" t="n">
        <v>85</v>
      </c>
      <c r="AA22" s="2" t="n">
        <v>26</v>
      </c>
      <c r="AB22" s="2" t="s">
        <v>1321</v>
      </c>
      <c r="AC22" s="2"/>
      <c r="AD22" s="2" t="s">
        <v>1238</v>
      </c>
      <c r="AE22" s="2" t="s">
        <v>692</v>
      </c>
      <c r="AF22" s="2" t="s">
        <v>212</v>
      </c>
      <c r="AG22" s="2" t="s">
        <v>1239</v>
      </c>
      <c r="AH22" s="2" t="s">
        <v>254</v>
      </c>
      <c r="AI22" s="2" t="s">
        <v>1322</v>
      </c>
      <c r="AJ22" s="2" t="s">
        <v>1323</v>
      </c>
      <c r="AK22" s="2" t="s">
        <v>1242</v>
      </c>
      <c r="AL22" s="2" t="s">
        <v>1243</v>
      </c>
      <c r="AM22" s="2"/>
      <c r="AN22" s="2"/>
      <c r="AO22" s="2"/>
      <c r="AP22" s="2"/>
      <c r="AQ22" s="2"/>
      <c r="AR22" s="2"/>
    </row>
    <row r="23" customFormat="false" ht="23.85" hidden="false" customHeight="false" outlineLevel="0" collapsed="false">
      <c r="A23" s="2" t="n">
        <v>22</v>
      </c>
      <c r="B23" s="2" t="s">
        <v>1324</v>
      </c>
      <c r="C23" s="2" t="s">
        <v>686</v>
      </c>
      <c r="D23" s="2" t="s">
        <v>34</v>
      </c>
      <c r="E23" s="2" t="s">
        <v>1098</v>
      </c>
      <c r="F23" s="2" t="s">
        <v>1099</v>
      </c>
      <c r="G23" s="2" t="s">
        <v>687</v>
      </c>
      <c r="H23" s="2" t="s">
        <v>49</v>
      </c>
      <c r="I23" s="2" t="s">
        <v>1105</v>
      </c>
      <c r="J23" s="2" t="s">
        <v>688</v>
      </c>
      <c r="K23" s="2" t="s">
        <v>36</v>
      </c>
      <c r="L23" s="2" t="s">
        <v>1121</v>
      </c>
      <c r="M23" s="2" t="s">
        <v>36</v>
      </c>
      <c r="N23" s="2" t="s">
        <v>689</v>
      </c>
      <c r="O23" s="2" t="s">
        <v>257</v>
      </c>
      <c r="P23" s="2" t="s">
        <v>731</v>
      </c>
      <c r="Q23" s="2" t="s">
        <v>45</v>
      </c>
      <c r="R23" s="2" t="s">
        <v>77</v>
      </c>
      <c r="S23" s="2" t="n">
        <v>1</v>
      </c>
      <c r="T23" s="2" t="s">
        <v>61</v>
      </c>
      <c r="U23" s="2"/>
      <c r="V23" s="2" t="s">
        <v>211</v>
      </c>
      <c r="W23" s="2" t="s">
        <v>40</v>
      </c>
      <c r="X23" s="2" t="n">
        <v>1347</v>
      </c>
      <c r="Y23" s="2" t="n">
        <v>33</v>
      </c>
      <c r="Z23" s="2" t="n">
        <v>23</v>
      </c>
      <c r="AA23" s="2" t="n">
        <v>57</v>
      </c>
      <c r="AB23" s="2" t="s">
        <v>1325</v>
      </c>
      <c r="AC23" s="2"/>
      <c r="AD23" s="2" t="s">
        <v>1238</v>
      </c>
      <c r="AE23" s="2" t="s">
        <v>692</v>
      </c>
      <c r="AF23" s="2" t="s">
        <v>212</v>
      </c>
      <c r="AG23" s="2" t="s">
        <v>1239</v>
      </c>
      <c r="AH23" s="2" t="s">
        <v>256</v>
      </c>
      <c r="AI23" s="2" t="s">
        <v>1326</v>
      </c>
      <c r="AJ23" s="2" t="s">
        <v>1327</v>
      </c>
      <c r="AK23" s="2" t="s">
        <v>1242</v>
      </c>
      <c r="AL23" s="2" t="s">
        <v>1243</v>
      </c>
      <c r="AM23" s="2"/>
      <c r="AN23" s="2"/>
      <c r="AO23" s="2"/>
      <c r="AP23" s="2"/>
      <c r="AQ23" s="2"/>
      <c r="AR23" s="2"/>
    </row>
    <row r="24" customFormat="false" ht="23.85" hidden="false" customHeight="false" outlineLevel="0" collapsed="false">
      <c r="A24" s="2" t="n">
        <v>23</v>
      </c>
      <c r="B24" s="2" t="s">
        <v>1328</v>
      </c>
      <c r="C24" s="2" t="s">
        <v>686</v>
      </c>
      <c r="D24" s="2" t="s">
        <v>34</v>
      </c>
      <c r="E24" s="2" t="s">
        <v>1098</v>
      </c>
      <c r="F24" s="2" t="s">
        <v>1099</v>
      </c>
      <c r="G24" s="2" t="s">
        <v>687</v>
      </c>
      <c r="H24" s="2" t="s">
        <v>49</v>
      </c>
      <c r="I24" s="2" t="s">
        <v>1105</v>
      </c>
      <c r="J24" s="2" t="s">
        <v>688</v>
      </c>
      <c r="K24" s="2" t="s">
        <v>36</v>
      </c>
      <c r="L24" s="2" t="s">
        <v>1121</v>
      </c>
      <c r="M24" s="2" t="s">
        <v>36</v>
      </c>
      <c r="N24" s="2" t="s">
        <v>689</v>
      </c>
      <c r="O24" s="2" t="s">
        <v>259</v>
      </c>
      <c r="P24" s="2" t="s">
        <v>733</v>
      </c>
      <c r="Q24" s="2" t="s">
        <v>38</v>
      </c>
      <c r="R24" s="2" t="s">
        <v>87</v>
      </c>
      <c r="S24" s="2" t="n">
        <v>1</v>
      </c>
      <c r="T24" s="2" t="s">
        <v>61</v>
      </c>
      <c r="U24" s="2"/>
      <c r="V24" s="2" t="s">
        <v>230</v>
      </c>
      <c r="W24" s="2" t="s">
        <v>47</v>
      </c>
      <c r="X24" s="2" t="n">
        <v>1357</v>
      </c>
      <c r="Y24" s="2" t="n">
        <v>16</v>
      </c>
      <c r="Z24" s="2" t="n">
        <v>15</v>
      </c>
      <c r="AA24" s="2" t="n">
        <v>17</v>
      </c>
      <c r="AB24" s="2" t="s">
        <v>1329</v>
      </c>
      <c r="AC24" s="2"/>
      <c r="AD24" s="2" t="s">
        <v>1238</v>
      </c>
      <c r="AE24" s="2" t="s">
        <v>692</v>
      </c>
      <c r="AF24" s="2" t="s">
        <v>212</v>
      </c>
      <c r="AG24" s="2" t="s">
        <v>1239</v>
      </c>
      <c r="AH24" s="2" t="s">
        <v>258</v>
      </c>
      <c r="AI24" s="2" t="s">
        <v>1330</v>
      </c>
      <c r="AJ24" s="2" t="s">
        <v>1331</v>
      </c>
      <c r="AK24" s="2" t="s">
        <v>1242</v>
      </c>
      <c r="AL24" s="2" t="s">
        <v>1243</v>
      </c>
      <c r="AM24" s="2"/>
      <c r="AN24" s="2"/>
      <c r="AO24" s="2"/>
      <c r="AP24" s="2"/>
      <c r="AQ24" s="2"/>
      <c r="AR24" s="2"/>
    </row>
    <row r="25" customFormat="false" ht="23.85" hidden="false" customHeight="false" outlineLevel="0" collapsed="false">
      <c r="A25" s="2" t="n">
        <v>24</v>
      </c>
      <c r="B25" s="2" t="s">
        <v>1332</v>
      </c>
      <c r="C25" s="2" t="s">
        <v>686</v>
      </c>
      <c r="D25" s="2" t="s">
        <v>34</v>
      </c>
      <c r="E25" s="2" t="s">
        <v>1098</v>
      </c>
      <c r="F25" s="2" t="s">
        <v>1099</v>
      </c>
      <c r="G25" s="2" t="s">
        <v>687</v>
      </c>
      <c r="H25" s="2" t="s">
        <v>49</v>
      </c>
      <c r="I25" s="2" t="s">
        <v>1105</v>
      </c>
      <c r="J25" s="2" t="s">
        <v>688</v>
      </c>
      <c r="K25" s="2" t="s">
        <v>36</v>
      </c>
      <c r="L25" s="2" t="s">
        <v>1121</v>
      </c>
      <c r="M25" s="2" t="s">
        <v>36</v>
      </c>
      <c r="N25" s="2" t="s">
        <v>689</v>
      </c>
      <c r="O25" s="2" t="s">
        <v>261</v>
      </c>
      <c r="P25" s="2" t="s">
        <v>735</v>
      </c>
      <c r="Q25" s="2" t="s">
        <v>38</v>
      </c>
      <c r="R25" s="2" t="s">
        <v>85</v>
      </c>
      <c r="S25" s="2" t="n">
        <v>1</v>
      </c>
      <c r="T25" s="2" t="s">
        <v>61</v>
      </c>
      <c r="U25" s="2"/>
      <c r="V25" s="2" t="s">
        <v>215</v>
      </c>
      <c r="W25" s="2" t="s">
        <v>47</v>
      </c>
      <c r="X25" s="2" t="n">
        <v>965</v>
      </c>
      <c r="Y25" s="2" t="n">
        <v>26</v>
      </c>
      <c r="Z25" s="2" t="n">
        <v>27</v>
      </c>
      <c r="AA25" s="2" t="n">
        <v>27</v>
      </c>
      <c r="AB25" s="2" t="s">
        <v>1333</v>
      </c>
      <c r="AC25" s="2"/>
      <c r="AD25" s="2" t="s">
        <v>1238</v>
      </c>
      <c r="AE25" s="2" t="s">
        <v>692</v>
      </c>
      <c r="AF25" s="2" t="s">
        <v>212</v>
      </c>
      <c r="AG25" s="2" t="s">
        <v>1239</v>
      </c>
      <c r="AH25" s="2" t="s">
        <v>260</v>
      </c>
      <c r="AI25" s="2" t="s">
        <v>1334</v>
      </c>
      <c r="AJ25" s="2" t="s">
        <v>1335</v>
      </c>
      <c r="AK25" s="2" t="s">
        <v>1242</v>
      </c>
      <c r="AL25" s="2" t="s">
        <v>1243</v>
      </c>
      <c r="AM25" s="2"/>
      <c r="AN25" s="2"/>
      <c r="AO25" s="2"/>
      <c r="AP25" s="2"/>
      <c r="AQ25" s="2"/>
      <c r="AR25" s="2"/>
    </row>
    <row r="26" customFormat="false" ht="23.85" hidden="false" customHeight="false" outlineLevel="0" collapsed="false">
      <c r="A26" s="2" t="n">
        <v>25</v>
      </c>
      <c r="B26" s="2" t="s">
        <v>1336</v>
      </c>
      <c r="C26" s="2" t="s">
        <v>686</v>
      </c>
      <c r="D26" s="2" t="s">
        <v>34</v>
      </c>
      <c r="E26" s="2" t="s">
        <v>1098</v>
      </c>
      <c r="F26" s="2" t="s">
        <v>1099</v>
      </c>
      <c r="G26" s="2" t="s">
        <v>687</v>
      </c>
      <c r="H26" s="2" t="s">
        <v>49</v>
      </c>
      <c r="I26" s="2" t="s">
        <v>1105</v>
      </c>
      <c r="J26" s="2" t="s">
        <v>688</v>
      </c>
      <c r="K26" s="2" t="s">
        <v>36</v>
      </c>
      <c r="L26" s="2" t="s">
        <v>1121</v>
      </c>
      <c r="M26" s="2" t="s">
        <v>36</v>
      </c>
      <c r="N26" s="2" t="s">
        <v>689</v>
      </c>
      <c r="O26" s="2" t="s">
        <v>263</v>
      </c>
      <c r="P26" s="2" t="s">
        <v>737</v>
      </c>
      <c r="Q26" s="2" t="s">
        <v>75</v>
      </c>
      <c r="R26" s="2" t="s">
        <v>144</v>
      </c>
      <c r="S26" s="2" t="n">
        <v>1</v>
      </c>
      <c r="T26" s="2" t="s">
        <v>61</v>
      </c>
      <c r="U26" s="2"/>
      <c r="V26" s="2" t="s">
        <v>215</v>
      </c>
      <c r="W26" s="2" t="s">
        <v>47</v>
      </c>
      <c r="X26" s="2" t="n">
        <v>1723</v>
      </c>
      <c r="Y26" s="2" t="n">
        <v>235</v>
      </c>
      <c r="Z26" s="2" t="n">
        <v>215</v>
      </c>
      <c r="AA26" s="2" t="n">
        <v>84</v>
      </c>
      <c r="AB26" s="2" t="s">
        <v>1337</v>
      </c>
      <c r="AC26" s="2"/>
      <c r="AD26" s="2" t="s">
        <v>1238</v>
      </c>
      <c r="AE26" s="2" t="s">
        <v>692</v>
      </c>
      <c r="AF26" s="2" t="s">
        <v>212</v>
      </c>
      <c r="AG26" s="2" t="s">
        <v>1239</v>
      </c>
      <c r="AH26" s="2" t="s">
        <v>262</v>
      </c>
      <c r="AI26" s="2" t="s">
        <v>1338</v>
      </c>
      <c r="AJ26" s="2" t="s">
        <v>1339</v>
      </c>
      <c r="AK26" s="2" t="s">
        <v>1242</v>
      </c>
      <c r="AL26" s="2" t="s">
        <v>1243</v>
      </c>
      <c r="AM26" s="2"/>
      <c r="AN26" s="2"/>
      <c r="AO26" s="2"/>
      <c r="AP26" s="2"/>
      <c r="AQ26" s="2"/>
      <c r="AR26" s="2"/>
    </row>
    <row r="27" customFormat="false" ht="23.85" hidden="false" customHeight="false" outlineLevel="0" collapsed="false">
      <c r="A27" s="2" t="n">
        <v>26</v>
      </c>
      <c r="B27" s="2" t="s">
        <v>1340</v>
      </c>
      <c r="C27" s="2" t="s">
        <v>686</v>
      </c>
      <c r="D27" s="2" t="s">
        <v>34</v>
      </c>
      <c r="E27" s="2" t="s">
        <v>1098</v>
      </c>
      <c r="F27" s="2" t="s">
        <v>1099</v>
      </c>
      <c r="G27" s="2" t="s">
        <v>687</v>
      </c>
      <c r="H27" s="2" t="s">
        <v>49</v>
      </c>
      <c r="I27" s="2" t="s">
        <v>1105</v>
      </c>
      <c r="J27" s="2" t="s">
        <v>688</v>
      </c>
      <c r="K27" s="2" t="s">
        <v>36</v>
      </c>
      <c r="L27" s="2" t="s">
        <v>1121</v>
      </c>
      <c r="M27" s="2" t="s">
        <v>36</v>
      </c>
      <c r="N27" s="2" t="s">
        <v>689</v>
      </c>
      <c r="O27" s="2" t="s">
        <v>265</v>
      </c>
      <c r="P27" s="2" t="s">
        <v>739</v>
      </c>
      <c r="Q27" s="2" t="s">
        <v>38</v>
      </c>
      <c r="R27" s="2" t="s">
        <v>82</v>
      </c>
      <c r="S27" s="2" t="n">
        <v>1</v>
      </c>
      <c r="T27" s="2" t="s">
        <v>61</v>
      </c>
      <c r="U27" s="2"/>
      <c r="V27" s="2" t="s">
        <v>215</v>
      </c>
      <c r="W27" s="2" t="s">
        <v>47</v>
      </c>
      <c r="X27" s="2" t="n">
        <v>2133</v>
      </c>
      <c r="Y27" s="2" t="n">
        <v>39</v>
      </c>
      <c r="Z27" s="2" t="n">
        <v>38</v>
      </c>
      <c r="AA27" s="2" t="n">
        <v>39</v>
      </c>
      <c r="AB27" s="2" t="s">
        <v>1341</v>
      </c>
      <c r="AC27" s="2"/>
      <c r="AD27" s="2" t="s">
        <v>1238</v>
      </c>
      <c r="AE27" s="2" t="s">
        <v>692</v>
      </c>
      <c r="AF27" s="2" t="s">
        <v>212</v>
      </c>
      <c r="AG27" s="2" t="s">
        <v>1239</v>
      </c>
      <c r="AH27" s="2" t="s">
        <v>264</v>
      </c>
      <c r="AI27" s="2" t="s">
        <v>1342</v>
      </c>
      <c r="AJ27" s="2" t="s">
        <v>1343</v>
      </c>
      <c r="AK27" s="2" t="s">
        <v>1242</v>
      </c>
      <c r="AL27" s="2" t="s">
        <v>1243</v>
      </c>
      <c r="AM27" s="2"/>
      <c r="AN27" s="2"/>
      <c r="AO27" s="2"/>
      <c r="AP27" s="2"/>
      <c r="AQ27" s="2"/>
      <c r="AR27" s="2"/>
    </row>
    <row r="28" customFormat="false" ht="23.85" hidden="false" customHeight="false" outlineLevel="0" collapsed="false">
      <c r="A28" s="2" t="n">
        <v>27</v>
      </c>
      <c r="B28" s="2" t="s">
        <v>1344</v>
      </c>
      <c r="C28" s="2" t="s">
        <v>686</v>
      </c>
      <c r="D28" s="2" t="s">
        <v>34</v>
      </c>
      <c r="E28" s="2" t="s">
        <v>1098</v>
      </c>
      <c r="F28" s="2" t="s">
        <v>1099</v>
      </c>
      <c r="G28" s="2" t="s">
        <v>687</v>
      </c>
      <c r="H28" s="2" t="s">
        <v>49</v>
      </c>
      <c r="I28" s="2" t="s">
        <v>1105</v>
      </c>
      <c r="J28" s="2" t="s">
        <v>688</v>
      </c>
      <c r="K28" s="2" t="s">
        <v>36</v>
      </c>
      <c r="L28" s="2" t="s">
        <v>1121</v>
      </c>
      <c r="M28" s="2" t="s">
        <v>36</v>
      </c>
      <c r="N28" s="2" t="s">
        <v>689</v>
      </c>
      <c r="O28" s="2" t="s">
        <v>267</v>
      </c>
      <c r="P28" s="2" t="s">
        <v>741</v>
      </c>
      <c r="Q28" s="2" t="s">
        <v>75</v>
      </c>
      <c r="R28" s="2" t="s">
        <v>88</v>
      </c>
      <c r="S28" s="2" t="n">
        <v>1</v>
      </c>
      <c r="T28" s="2" t="s">
        <v>61</v>
      </c>
      <c r="U28" s="2"/>
      <c r="V28" s="2" t="s">
        <v>215</v>
      </c>
      <c r="W28" s="2" t="s">
        <v>47</v>
      </c>
      <c r="X28" s="2" t="n">
        <v>1875</v>
      </c>
      <c r="Y28" s="2" t="n">
        <v>222</v>
      </c>
      <c r="Z28" s="2" t="n">
        <v>156</v>
      </c>
      <c r="AA28" s="2" t="n">
        <v>72</v>
      </c>
      <c r="AB28" s="2" t="s">
        <v>1345</v>
      </c>
      <c r="AC28" s="2"/>
      <c r="AD28" s="2" t="s">
        <v>1238</v>
      </c>
      <c r="AE28" s="2" t="s">
        <v>692</v>
      </c>
      <c r="AF28" s="2" t="s">
        <v>212</v>
      </c>
      <c r="AG28" s="2" t="s">
        <v>1239</v>
      </c>
      <c r="AH28" s="2" t="s">
        <v>266</v>
      </c>
      <c r="AI28" s="2" t="s">
        <v>1346</v>
      </c>
      <c r="AJ28" s="2" t="s">
        <v>1347</v>
      </c>
      <c r="AK28" s="2" t="s">
        <v>1242</v>
      </c>
      <c r="AL28" s="2" t="s">
        <v>1243</v>
      </c>
      <c r="AM28" s="2"/>
      <c r="AN28" s="2"/>
      <c r="AO28" s="2"/>
      <c r="AP28" s="2"/>
      <c r="AQ28" s="2"/>
      <c r="AR28" s="2"/>
    </row>
    <row r="29" customFormat="false" ht="23.85" hidden="false" customHeight="false" outlineLevel="0" collapsed="false">
      <c r="A29" s="2" t="n">
        <v>28</v>
      </c>
      <c r="B29" s="2" t="s">
        <v>1348</v>
      </c>
      <c r="C29" s="2" t="s">
        <v>686</v>
      </c>
      <c r="D29" s="2" t="s">
        <v>34</v>
      </c>
      <c r="E29" s="2" t="s">
        <v>1098</v>
      </c>
      <c r="F29" s="2" t="s">
        <v>1099</v>
      </c>
      <c r="G29" s="2" t="s">
        <v>687</v>
      </c>
      <c r="H29" s="2" t="s">
        <v>49</v>
      </c>
      <c r="I29" s="2" t="s">
        <v>1105</v>
      </c>
      <c r="J29" s="2" t="s">
        <v>688</v>
      </c>
      <c r="K29" s="2" t="s">
        <v>36</v>
      </c>
      <c r="L29" s="2" t="s">
        <v>1121</v>
      </c>
      <c r="M29" s="2" t="s">
        <v>36</v>
      </c>
      <c r="N29" s="2" t="s">
        <v>689</v>
      </c>
      <c r="O29" s="2" t="s">
        <v>269</v>
      </c>
      <c r="P29" s="2" t="s">
        <v>743</v>
      </c>
      <c r="Q29" s="2" t="s">
        <v>75</v>
      </c>
      <c r="R29" s="2" t="s">
        <v>131</v>
      </c>
      <c r="S29" s="2" t="n">
        <v>3</v>
      </c>
      <c r="T29" s="2" t="s">
        <v>41</v>
      </c>
      <c r="U29" s="2"/>
      <c r="V29" s="2" t="s">
        <v>215</v>
      </c>
      <c r="W29" s="2" t="s">
        <v>40</v>
      </c>
      <c r="X29" s="2" t="n">
        <v>1970</v>
      </c>
      <c r="Y29" s="2" t="n">
        <v>255</v>
      </c>
      <c r="Z29" s="2" t="n">
        <v>227</v>
      </c>
      <c r="AA29" s="2" t="n">
        <v>151</v>
      </c>
      <c r="AB29" s="2" t="s">
        <v>1349</v>
      </c>
      <c r="AC29" s="2"/>
      <c r="AD29" s="2" t="s">
        <v>1238</v>
      </c>
      <c r="AE29" s="2" t="s">
        <v>692</v>
      </c>
      <c r="AF29" s="2" t="s">
        <v>212</v>
      </c>
      <c r="AG29" s="2" t="s">
        <v>1239</v>
      </c>
      <c r="AH29" s="2" t="s">
        <v>268</v>
      </c>
      <c r="AI29" s="2" t="s">
        <v>1350</v>
      </c>
      <c r="AJ29" s="2" t="s">
        <v>1351</v>
      </c>
      <c r="AK29" s="2" t="s">
        <v>1242</v>
      </c>
      <c r="AL29" s="2" t="s">
        <v>1243</v>
      </c>
      <c r="AM29" s="2"/>
      <c r="AN29" s="2"/>
      <c r="AO29" s="2"/>
      <c r="AP29" s="2"/>
      <c r="AQ29" s="2"/>
      <c r="AR29" s="2"/>
    </row>
    <row r="30" customFormat="false" ht="23.85" hidden="false" customHeight="false" outlineLevel="0" collapsed="false">
      <c r="A30" s="2" t="n">
        <v>29</v>
      </c>
      <c r="B30" s="2" t="s">
        <v>1352</v>
      </c>
      <c r="C30" s="2" t="s">
        <v>686</v>
      </c>
      <c r="D30" s="2" t="s">
        <v>34</v>
      </c>
      <c r="E30" s="2" t="s">
        <v>1098</v>
      </c>
      <c r="F30" s="2" t="s">
        <v>1099</v>
      </c>
      <c r="G30" s="2" t="s">
        <v>687</v>
      </c>
      <c r="H30" s="2" t="s">
        <v>49</v>
      </c>
      <c r="I30" s="2" t="s">
        <v>1105</v>
      </c>
      <c r="J30" s="2" t="s">
        <v>688</v>
      </c>
      <c r="K30" s="2" t="s">
        <v>36</v>
      </c>
      <c r="L30" s="2" t="s">
        <v>1121</v>
      </c>
      <c r="M30" s="2" t="s">
        <v>36</v>
      </c>
      <c r="N30" s="2" t="s">
        <v>689</v>
      </c>
      <c r="O30" s="2" t="s">
        <v>271</v>
      </c>
      <c r="P30" s="2" t="s">
        <v>747</v>
      </c>
      <c r="Q30" s="2" t="s">
        <v>58</v>
      </c>
      <c r="R30" s="2" t="s">
        <v>132</v>
      </c>
      <c r="S30" s="2" t="n">
        <v>2</v>
      </c>
      <c r="T30" s="2" t="s">
        <v>41</v>
      </c>
      <c r="U30" s="2"/>
      <c r="V30" s="2" t="s">
        <v>211</v>
      </c>
      <c r="W30" s="2" t="s">
        <v>40</v>
      </c>
      <c r="X30" s="2" t="n">
        <v>1070</v>
      </c>
      <c r="Y30" s="2" t="n">
        <v>47</v>
      </c>
      <c r="Z30" s="2" t="n">
        <v>43</v>
      </c>
      <c r="AA30" s="2" t="n">
        <v>32</v>
      </c>
      <c r="AB30" s="2" t="s">
        <v>1353</v>
      </c>
      <c r="AC30" s="2"/>
      <c r="AD30" s="2" t="s">
        <v>1238</v>
      </c>
      <c r="AE30" s="2" t="s">
        <v>692</v>
      </c>
      <c r="AF30" s="2" t="s">
        <v>212</v>
      </c>
      <c r="AG30" s="2" t="s">
        <v>1239</v>
      </c>
      <c r="AH30" s="2" t="s">
        <v>270</v>
      </c>
      <c r="AI30" s="2" t="s">
        <v>1354</v>
      </c>
      <c r="AJ30" s="2" t="s">
        <v>1355</v>
      </c>
      <c r="AK30" s="2" t="s">
        <v>1242</v>
      </c>
      <c r="AL30" s="2" t="s">
        <v>1243</v>
      </c>
      <c r="AM30" s="2"/>
      <c r="AN30" s="2"/>
      <c r="AO30" s="2"/>
      <c r="AP30" s="2"/>
      <c r="AQ30" s="2"/>
      <c r="AR30" s="2"/>
    </row>
    <row r="31" customFormat="false" ht="23.85" hidden="false" customHeight="false" outlineLevel="0" collapsed="false">
      <c r="A31" s="2" t="n">
        <v>30</v>
      </c>
      <c r="B31" s="2" t="s">
        <v>1356</v>
      </c>
      <c r="C31" s="2" t="s">
        <v>686</v>
      </c>
      <c r="D31" s="2" t="s">
        <v>34</v>
      </c>
      <c r="E31" s="2" t="s">
        <v>1098</v>
      </c>
      <c r="F31" s="2" t="s">
        <v>1099</v>
      </c>
      <c r="G31" s="2" t="s">
        <v>687</v>
      </c>
      <c r="H31" s="2" t="s">
        <v>49</v>
      </c>
      <c r="I31" s="2" t="s">
        <v>1105</v>
      </c>
      <c r="J31" s="2" t="s">
        <v>688</v>
      </c>
      <c r="K31" s="2" t="s">
        <v>36</v>
      </c>
      <c r="L31" s="2" t="s">
        <v>1121</v>
      </c>
      <c r="M31" s="2" t="s">
        <v>36</v>
      </c>
      <c r="N31" s="2" t="s">
        <v>689</v>
      </c>
      <c r="O31" s="2" t="s">
        <v>273</v>
      </c>
      <c r="P31" s="2" t="s">
        <v>749</v>
      </c>
      <c r="Q31" s="2" t="s">
        <v>58</v>
      </c>
      <c r="R31" s="2" t="s">
        <v>91</v>
      </c>
      <c r="S31" s="2" t="n">
        <v>1</v>
      </c>
      <c r="T31" s="2" t="s">
        <v>61</v>
      </c>
      <c r="U31" s="2"/>
      <c r="V31" s="2" t="s">
        <v>215</v>
      </c>
      <c r="W31" s="2" t="s">
        <v>47</v>
      </c>
      <c r="X31" s="2" t="n">
        <v>2510</v>
      </c>
      <c r="Y31" s="2" t="n">
        <v>57</v>
      </c>
      <c r="Z31" s="2" t="n">
        <v>95</v>
      </c>
      <c r="AA31" s="2" t="n">
        <v>58</v>
      </c>
      <c r="AB31" s="2" t="s">
        <v>1357</v>
      </c>
      <c r="AC31" s="2"/>
      <c r="AD31" s="2" t="s">
        <v>1238</v>
      </c>
      <c r="AE31" s="2" t="s">
        <v>692</v>
      </c>
      <c r="AF31" s="2" t="s">
        <v>212</v>
      </c>
      <c r="AG31" s="2" t="s">
        <v>1239</v>
      </c>
      <c r="AH31" s="2" t="s">
        <v>272</v>
      </c>
      <c r="AI31" s="2" t="s">
        <v>1358</v>
      </c>
      <c r="AJ31" s="2" t="s">
        <v>1359</v>
      </c>
      <c r="AK31" s="2" t="s">
        <v>1242</v>
      </c>
      <c r="AL31" s="2" t="s">
        <v>1243</v>
      </c>
      <c r="AM31" s="2"/>
      <c r="AN31" s="2"/>
      <c r="AO31" s="2"/>
      <c r="AP31" s="2"/>
      <c r="AQ31" s="2"/>
      <c r="AR31" s="2"/>
    </row>
    <row r="32" customFormat="false" ht="23.85" hidden="false" customHeight="false" outlineLevel="0" collapsed="false">
      <c r="A32" s="2" t="n">
        <v>31</v>
      </c>
      <c r="B32" s="2" t="s">
        <v>1360</v>
      </c>
      <c r="C32" s="2" t="s">
        <v>686</v>
      </c>
      <c r="D32" s="2" t="s">
        <v>34</v>
      </c>
      <c r="E32" s="2" t="s">
        <v>1098</v>
      </c>
      <c r="F32" s="2" t="s">
        <v>1099</v>
      </c>
      <c r="G32" s="2" t="s">
        <v>687</v>
      </c>
      <c r="H32" s="2" t="s">
        <v>49</v>
      </c>
      <c r="I32" s="2" t="s">
        <v>1105</v>
      </c>
      <c r="J32" s="2" t="s">
        <v>688</v>
      </c>
      <c r="K32" s="2" t="s">
        <v>36</v>
      </c>
      <c r="L32" s="2" t="s">
        <v>1121</v>
      </c>
      <c r="M32" s="2" t="s">
        <v>36</v>
      </c>
      <c r="N32" s="2" t="s">
        <v>689</v>
      </c>
      <c r="O32" s="2" t="s">
        <v>275</v>
      </c>
      <c r="P32" s="2" t="s">
        <v>751</v>
      </c>
      <c r="Q32" s="2" t="s">
        <v>69</v>
      </c>
      <c r="R32" s="2" t="s">
        <v>113</v>
      </c>
      <c r="S32" s="2" t="n">
        <v>1</v>
      </c>
      <c r="T32" s="2" t="s">
        <v>61</v>
      </c>
      <c r="U32" s="2"/>
      <c r="V32" s="2" t="s">
        <v>211</v>
      </c>
      <c r="W32" s="2" t="s">
        <v>40</v>
      </c>
      <c r="X32" s="2" t="n">
        <v>1157</v>
      </c>
      <c r="Y32" s="2" t="n">
        <v>84</v>
      </c>
      <c r="Z32" s="2" t="n">
        <v>2</v>
      </c>
      <c r="AA32" s="2" t="n">
        <v>17</v>
      </c>
      <c r="AB32" s="2" t="s">
        <v>1361</v>
      </c>
      <c r="AC32" s="2"/>
      <c r="AD32" s="2" t="s">
        <v>1238</v>
      </c>
      <c r="AE32" s="2" t="s">
        <v>692</v>
      </c>
      <c r="AF32" s="2" t="s">
        <v>212</v>
      </c>
      <c r="AG32" s="2" t="s">
        <v>1239</v>
      </c>
      <c r="AH32" s="2" t="s">
        <v>274</v>
      </c>
      <c r="AI32" s="2" t="s">
        <v>1362</v>
      </c>
      <c r="AJ32" s="2" t="s">
        <v>1363</v>
      </c>
      <c r="AK32" s="2" t="s">
        <v>1242</v>
      </c>
      <c r="AL32" s="2" t="s">
        <v>1243</v>
      </c>
      <c r="AM32" s="2"/>
      <c r="AN32" s="2"/>
      <c r="AO32" s="2"/>
      <c r="AP32" s="2"/>
      <c r="AQ32" s="2"/>
      <c r="AR32" s="2"/>
    </row>
    <row r="33" customFormat="false" ht="23.85" hidden="false" customHeight="false" outlineLevel="0" collapsed="false">
      <c r="A33" s="2" t="n">
        <v>32</v>
      </c>
      <c r="B33" s="2" t="s">
        <v>1364</v>
      </c>
      <c r="C33" s="2" t="s">
        <v>686</v>
      </c>
      <c r="D33" s="2" t="s">
        <v>34</v>
      </c>
      <c r="E33" s="2" t="s">
        <v>1098</v>
      </c>
      <c r="F33" s="2" t="s">
        <v>1099</v>
      </c>
      <c r="G33" s="2" t="s">
        <v>687</v>
      </c>
      <c r="H33" s="2" t="s">
        <v>49</v>
      </c>
      <c r="I33" s="2" t="s">
        <v>1105</v>
      </c>
      <c r="J33" s="2" t="s">
        <v>688</v>
      </c>
      <c r="K33" s="2" t="s">
        <v>36</v>
      </c>
      <c r="L33" s="2" t="s">
        <v>1121</v>
      </c>
      <c r="M33" s="2" t="s">
        <v>36</v>
      </c>
      <c r="N33" s="2" t="s">
        <v>689</v>
      </c>
      <c r="O33" s="2" t="s">
        <v>277</v>
      </c>
      <c r="P33" s="2" t="s">
        <v>753</v>
      </c>
      <c r="Q33" s="2" t="s">
        <v>69</v>
      </c>
      <c r="R33" s="2" t="s">
        <v>124</v>
      </c>
      <c r="S33" s="2" t="n">
        <v>1</v>
      </c>
      <c r="T33" s="2" t="s">
        <v>61</v>
      </c>
      <c r="U33" s="2"/>
      <c r="V33" s="2" t="s">
        <v>211</v>
      </c>
      <c r="W33" s="2" t="s">
        <v>40</v>
      </c>
      <c r="X33" s="2" t="n">
        <v>998</v>
      </c>
      <c r="Y33" s="2" t="n">
        <v>71</v>
      </c>
      <c r="Z33" s="2" t="n">
        <v>16</v>
      </c>
      <c r="AA33" s="2" t="n">
        <v>26</v>
      </c>
      <c r="AB33" s="2" t="s">
        <v>1365</v>
      </c>
      <c r="AC33" s="2"/>
      <c r="AD33" s="2" t="s">
        <v>1238</v>
      </c>
      <c r="AE33" s="2" t="s">
        <v>692</v>
      </c>
      <c r="AF33" s="2" t="s">
        <v>212</v>
      </c>
      <c r="AG33" s="2" t="s">
        <v>1239</v>
      </c>
      <c r="AH33" s="2" t="s">
        <v>276</v>
      </c>
      <c r="AI33" s="2" t="s">
        <v>1366</v>
      </c>
      <c r="AJ33" s="2" t="s">
        <v>1367</v>
      </c>
      <c r="AK33" s="2" t="s">
        <v>1242</v>
      </c>
      <c r="AL33" s="2" t="s">
        <v>1243</v>
      </c>
      <c r="AM33" s="2"/>
      <c r="AN33" s="2"/>
      <c r="AO33" s="2"/>
      <c r="AP33" s="2"/>
      <c r="AQ33" s="2"/>
      <c r="AR33" s="2"/>
    </row>
    <row r="34" customFormat="false" ht="23.85" hidden="false" customHeight="false" outlineLevel="0" collapsed="false">
      <c r="A34" s="2" t="n">
        <v>33</v>
      </c>
      <c r="B34" s="2" t="s">
        <v>1368</v>
      </c>
      <c r="C34" s="2" t="s">
        <v>686</v>
      </c>
      <c r="D34" s="2" t="s">
        <v>34</v>
      </c>
      <c r="E34" s="2" t="s">
        <v>1098</v>
      </c>
      <c r="F34" s="2" t="s">
        <v>1099</v>
      </c>
      <c r="G34" s="2" t="s">
        <v>687</v>
      </c>
      <c r="H34" s="2" t="s">
        <v>49</v>
      </c>
      <c r="I34" s="2" t="s">
        <v>1105</v>
      </c>
      <c r="J34" s="2" t="s">
        <v>688</v>
      </c>
      <c r="K34" s="2" t="s">
        <v>36</v>
      </c>
      <c r="L34" s="2" t="s">
        <v>1121</v>
      </c>
      <c r="M34" s="2" t="s">
        <v>36</v>
      </c>
      <c r="N34" s="2" t="s">
        <v>689</v>
      </c>
      <c r="O34" s="2" t="s">
        <v>279</v>
      </c>
      <c r="P34" s="2" t="s">
        <v>755</v>
      </c>
      <c r="Q34" s="2" t="s">
        <v>71</v>
      </c>
      <c r="R34" s="2" t="s">
        <v>123</v>
      </c>
      <c r="S34" s="2" t="n">
        <v>1</v>
      </c>
      <c r="T34" s="2" t="s">
        <v>61</v>
      </c>
      <c r="U34" s="2"/>
      <c r="V34" s="2" t="s">
        <v>233</v>
      </c>
      <c r="W34" s="2" t="s">
        <v>47</v>
      </c>
      <c r="X34" s="2" t="n">
        <v>1441</v>
      </c>
      <c r="Y34" s="2" t="n">
        <v>68</v>
      </c>
      <c r="Z34" s="2" t="n">
        <v>50</v>
      </c>
      <c r="AA34" s="2" t="n">
        <v>73</v>
      </c>
      <c r="AB34" s="2" t="s">
        <v>1369</v>
      </c>
      <c r="AC34" s="2"/>
      <c r="AD34" s="2" t="s">
        <v>1238</v>
      </c>
      <c r="AE34" s="2" t="s">
        <v>692</v>
      </c>
      <c r="AF34" s="2" t="s">
        <v>212</v>
      </c>
      <c r="AG34" s="2" t="s">
        <v>1239</v>
      </c>
      <c r="AH34" s="2" t="s">
        <v>278</v>
      </c>
      <c r="AI34" s="2" t="s">
        <v>1370</v>
      </c>
      <c r="AJ34" s="2" t="s">
        <v>1371</v>
      </c>
      <c r="AK34" s="2" t="s">
        <v>1242</v>
      </c>
      <c r="AL34" s="2" t="s">
        <v>1243</v>
      </c>
      <c r="AM34" s="2"/>
      <c r="AN34" s="2"/>
      <c r="AO34" s="2"/>
      <c r="AP34" s="2"/>
      <c r="AQ34" s="2"/>
      <c r="AR34" s="2"/>
    </row>
    <row r="35" customFormat="false" ht="23.85" hidden="false" customHeight="false" outlineLevel="0" collapsed="false">
      <c r="A35" s="2" t="n">
        <v>34</v>
      </c>
      <c r="B35" s="2" t="s">
        <v>1372</v>
      </c>
      <c r="C35" s="2" t="s">
        <v>686</v>
      </c>
      <c r="D35" s="2" t="s">
        <v>34</v>
      </c>
      <c r="E35" s="2" t="s">
        <v>1098</v>
      </c>
      <c r="F35" s="2" t="s">
        <v>1099</v>
      </c>
      <c r="G35" s="2" t="s">
        <v>687</v>
      </c>
      <c r="H35" s="2" t="s">
        <v>49</v>
      </c>
      <c r="I35" s="2" t="s">
        <v>1105</v>
      </c>
      <c r="J35" s="2" t="s">
        <v>688</v>
      </c>
      <c r="K35" s="2" t="s">
        <v>36</v>
      </c>
      <c r="L35" s="2" t="s">
        <v>1121</v>
      </c>
      <c r="M35" s="2" t="s">
        <v>36</v>
      </c>
      <c r="N35" s="2" t="s">
        <v>689</v>
      </c>
      <c r="O35" s="2" t="s">
        <v>281</v>
      </c>
      <c r="P35" s="2" t="s">
        <v>757</v>
      </c>
      <c r="Q35" s="2" t="s">
        <v>38</v>
      </c>
      <c r="R35" s="2" t="s">
        <v>84</v>
      </c>
      <c r="S35" s="2" t="n">
        <v>1</v>
      </c>
      <c r="T35" s="2" t="s">
        <v>61</v>
      </c>
      <c r="U35" s="2"/>
      <c r="V35" s="2" t="s">
        <v>233</v>
      </c>
      <c r="W35" s="2" t="s">
        <v>40</v>
      </c>
      <c r="X35" s="2" t="n">
        <v>1065</v>
      </c>
      <c r="Y35" s="2" t="n">
        <v>34</v>
      </c>
      <c r="Z35" s="2" t="n">
        <v>24</v>
      </c>
      <c r="AA35" s="2" t="n">
        <v>24</v>
      </c>
      <c r="AB35" s="2" t="s">
        <v>1373</v>
      </c>
      <c r="AC35" s="2"/>
      <c r="AD35" s="2" t="s">
        <v>1238</v>
      </c>
      <c r="AE35" s="2" t="s">
        <v>692</v>
      </c>
      <c r="AF35" s="2" t="s">
        <v>212</v>
      </c>
      <c r="AG35" s="2" t="s">
        <v>1239</v>
      </c>
      <c r="AH35" s="2" t="s">
        <v>280</v>
      </c>
      <c r="AI35" s="2" t="s">
        <v>1374</v>
      </c>
      <c r="AJ35" s="2" t="s">
        <v>1375</v>
      </c>
      <c r="AK35" s="2" t="s">
        <v>1242</v>
      </c>
      <c r="AL35" s="2" t="s">
        <v>1243</v>
      </c>
      <c r="AM35" s="2"/>
      <c r="AN35" s="2"/>
      <c r="AO35" s="2"/>
      <c r="AP35" s="2"/>
      <c r="AQ35" s="2"/>
      <c r="AR35" s="2"/>
    </row>
    <row r="36" customFormat="false" ht="23.85" hidden="false" customHeight="false" outlineLevel="0" collapsed="false">
      <c r="A36" s="2" t="n">
        <v>35</v>
      </c>
      <c r="B36" s="2" t="s">
        <v>1376</v>
      </c>
      <c r="C36" s="2" t="s">
        <v>686</v>
      </c>
      <c r="D36" s="2" t="s">
        <v>34</v>
      </c>
      <c r="E36" s="2" t="s">
        <v>1098</v>
      </c>
      <c r="F36" s="2" t="s">
        <v>1099</v>
      </c>
      <c r="G36" s="2" t="s">
        <v>687</v>
      </c>
      <c r="H36" s="2" t="s">
        <v>49</v>
      </c>
      <c r="I36" s="2" t="s">
        <v>1105</v>
      </c>
      <c r="J36" s="2" t="s">
        <v>688</v>
      </c>
      <c r="K36" s="2" t="s">
        <v>36</v>
      </c>
      <c r="L36" s="2" t="s">
        <v>1121</v>
      </c>
      <c r="M36" s="2" t="s">
        <v>36</v>
      </c>
      <c r="N36" s="2" t="s">
        <v>689</v>
      </c>
      <c r="O36" s="2" t="s">
        <v>283</v>
      </c>
      <c r="P36" s="2" t="s">
        <v>759</v>
      </c>
      <c r="Q36" s="2" t="s">
        <v>45</v>
      </c>
      <c r="R36" s="2" t="s">
        <v>68</v>
      </c>
      <c r="S36" s="2" t="n">
        <v>1</v>
      </c>
      <c r="T36" s="2" t="s">
        <v>61</v>
      </c>
      <c r="U36" s="2"/>
      <c r="V36" s="2" t="s">
        <v>211</v>
      </c>
      <c r="W36" s="2" t="s">
        <v>40</v>
      </c>
      <c r="X36" s="2" t="n">
        <v>1144</v>
      </c>
      <c r="Y36" s="2" t="n">
        <v>18</v>
      </c>
      <c r="Z36" s="2" t="n">
        <v>28</v>
      </c>
      <c r="AA36" s="2" t="n">
        <v>41</v>
      </c>
      <c r="AB36" s="2" t="s">
        <v>1377</v>
      </c>
      <c r="AC36" s="2"/>
      <c r="AD36" s="2" t="s">
        <v>1238</v>
      </c>
      <c r="AE36" s="2" t="s">
        <v>692</v>
      </c>
      <c r="AF36" s="2" t="s">
        <v>212</v>
      </c>
      <c r="AG36" s="2" t="s">
        <v>1239</v>
      </c>
      <c r="AH36" s="2" t="s">
        <v>282</v>
      </c>
      <c r="AI36" s="2" t="s">
        <v>1378</v>
      </c>
      <c r="AJ36" s="2" t="s">
        <v>1379</v>
      </c>
      <c r="AK36" s="2" t="s">
        <v>1242</v>
      </c>
      <c r="AL36" s="2" t="s">
        <v>1243</v>
      </c>
      <c r="AM36" s="2"/>
      <c r="AN36" s="2"/>
      <c r="AO36" s="2"/>
      <c r="AP36" s="2"/>
      <c r="AQ36" s="2"/>
      <c r="AR36" s="2"/>
    </row>
    <row r="37" customFormat="false" ht="23.85" hidden="false" customHeight="false" outlineLevel="0" collapsed="false">
      <c r="A37" s="2" t="n">
        <v>36</v>
      </c>
      <c r="B37" s="2" t="s">
        <v>1380</v>
      </c>
      <c r="C37" s="2" t="s">
        <v>686</v>
      </c>
      <c r="D37" s="2" t="s">
        <v>34</v>
      </c>
      <c r="E37" s="2" t="s">
        <v>1098</v>
      </c>
      <c r="F37" s="2" t="s">
        <v>1099</v>
      </c>
      <c r="G37" s="2" t="s">
        <v>687</v>
      </c>
      <c r="H37" s="2" t="s">
        <v>49</v>
      </c>
      <c r="I37" s="2" t="s">
        <v>1105</v>
      </c>
      <c r="J37" s="2" t="s">
        <v>688</v>
      </c>
      <c r="K37" s="2" t="s">
        <v>36</v>
      </c>
      <c r="L37" s="2" t="s">
        <v>1121</v>
      </c>
      <c r="M37" s="2" t="s">
        <v>36</v>
      </c>
      <c r="N37" s="2" t="s">
        <v>689</v>
      </c>
      <c r="O37" s="2" t="s">
        <v>285</v>
      </c>
      <c r="P37" s="2" t="s">
        <v>761</v>
      </c>
      <c r="Q37" s="2" t="s">
        <v>69</v>
      </c>
      <c r="R37" s="2" t="s">
        <v>108</v>
      </c>
      <c r="S37" s="2" t="n">
        <v>1</v>
      </c>
      <c r="T37" s="2" t="s">
        <v>61</v>
      </c>
      <c r="U37" s="2"/>
      <c r="V37" s="2" t="s">
        <v>211</v>
      </c>
      <c r="W37" s="2" t="s">
        <v>40</v>
      </c>
      <c r="X37" s="2" t="n">
        <v>1081</v>
      </c>
      <c r="Y37" s="2" t="n">
        <v>108</v>
      </c>
      <c r="Z37" s="2" t="n">
        <v>8</v>
      </c>
      <c r="AA37" s="2" t="n">
        <v>36</v>
      </c>
      <c r="AB37" s="2" t="s">
        <v>1381</v>
      </c>
      <c r="AC37" s="2"/>
      <c r="AD37" s="2" t="s">
        <v>1238</v>
      </c>
      <c r="AE37" s="2" t="s">
        <v>692</v>
      </c>
      <c r="AF37" s="2" t="s">
        <v>212</v>
      </c>
      <c r="AG37" s="2" t="s">
        <v>1239</v>
      </c>
      <c r="AH37" s="2" t="s">
        <v>284</v>
      </c>
      <c r="AI37" s="2" t="s">
        <v>1382</v>
      </c>
      <c r="AJ37" s="2" t="s">
        <v>1383</v>
      </c>
      <c r="AK37" s="2" t="s">
        <v>1242</v>
      </c>
      <c r="AL37" s="2" t="s">
        <v>1243</v>
      </c>
      <c r="AM37" s="2"/>
      <c r="AN37" s="2"/>
      <c r="AO37" s="2"/>
      <c r="AP37" s="2"/>
      <c r="AQ37" s="2"/>
      <c r="AR37" s="2"/>
    </row>
    <row r="38" customFormat="false" ht="23.85" hidden="false" customHeight="false" outlineLevel="0" collapsed="false">
      <c r="A38" s="2" t="n">
        <v>37</v>
      </c>
      <c r="B38" s="2" t="s">
        <v>1384</v>
      </c>
      <c r="C38" s="2" t="s">
        <v>686</v>
      </c>
      <c r="D38" s="2" t="s">
        <v>34</v>
      </c>
      <c r="E38" s="2" t="s">
        <v>1098</v>
      </c>
      <c r="F38" s="2" t="s">
        <v>1099</v>
      </c>
      <c r="G38" s="2" t="s">
        <v>687</v>
      </c>
      <c r="H38" s="2" t="s">
        <v>49</v>
      </c>
      <c r="I38" s="2" t="s">
        <v>1105</v>
      </c>
      <c r="J38" s="2" t="s">
        <v>688</v>
      </c>
      <c r="K38" s="2" t="s">
        <v>36</v>
      </c>
      <c r="L38" s="2" t="s">
        <v>1121</v>
      </c>
      <c r="M38" s="2" t="s">
        <v>36</v>
      </c>
      <c r="N38" s="2" t="s">
        <v>689</v>
      </c>
      <c r="O38" s="2" t="s">
        <v>287</v>
      </c>
      <c r="P38" s="2" t="s">
        <v>763</v>
      </c>
      <c r="Q38" s="2" t="s">
        <v>69</v>
      </c>
      <c r="R38" s="2" t="s">
        <v>115</v>
      </c>
      <c r="S38" s="2" t="n">
        <v>1</v>
      </c>
      <c r="T38" s="2" t="s">
        <v>61</v>
      </c>
      <c r="U38" s="2"/>
      <c r="V38" s="2" t="s">
        <v>211</v>
      </c>
      <c r="W38" s="2" t="s">
        <v>40</v>
      </c>
      <c r="X38" s="2" t="n">
        <v>1100</v>
      </c>
      <c r="Y38" s="2" t="n">
        <v>144</v>
      </c>
      <c r="Z38" s="2" t="n">
        <v>32</v>
      </c>
      <c r="AA38" s="2" t="n">
        <v>40</v>
      </c>
      <c r="AB38" s="2" t="s">
        <v>1385</v>
      </c>
      <c r="AC38" s="2"/>
      <c r="AD38" s="2" t="s">
        <v>1238</v>
      </c>
      <c r="AE38" s="2" t="s">
        <v>692</v>
      </c>
      <c r="AF38" s="2" t="s">
        <v>212</v>
      </c>
      <c r="AG38" s="2" t="s">
        <v>1239</v>
      </c>
      <c r="AH38" s="2" t="s">
        <v>286</v>
      </c>
      <c r="AI38" s="2" t="s">
        <v>1386</v>
      </c>
      <c r="AJ38" s="2" t="s">
        <v>1387</v>
      </c>
      <c r="AK38" s="2" t="s">
        <v>1242</v>
      </c>
      <c r="AL38" s="2" t="s">
        <v>1243</v>
      </c>
      <c r="AM38" s="2"/>
      <c r="AN38" s="2"/>
      <c r="AO38" s="2"/>
      <c r="AP38" s="2"/>
      <c r="AQ38" s="2"/>
      <c r="AR38" s="2"/>
    </row>
    <row r="39" customFormat="false" ht="23.85" hidden="false" customHeight="false" outlineLevel="0" collapsed="false">
      <c r="A39" s="2" t="n">
        <v>38</v>
      </c>
      <c r="B39" s="2" t="s">
        <v>1388</v>
      </c>
      <c r="C39" s="2" t="s">
        <v>686</v>
      </c>
      <c r="D39" s="2" t="s">
        <v>34</v>
      </c>
      <c r="E39" s="2" t="s">
        <v>1098</v>
      </c>
      <c r="F39" s="2" t="s">
        <v>1099</v>
      </c>
      <c r="G39" s="2" t="s">
        <v>687</v>
      </c>
      <c r="H39" s="2" t="s">
        <v>49</v>
      </c>
      <c r="I39" s="2" t="s">
        <v>1105</v>
      </c>
      <c r="J39" s="2" t="s">
        <v>688</v>
      </c>
      <c r="K39" s="2" t="s">
        <v>36</v>
      </c>
      <c r="L39" s="2" t="s">
        <v>1121</v>
      </c>
      <c r="M39" s="2" t="s">
        <v>36</v>
      </c>
      <c r="N39" s="2" t="s">
        <v>689</v>
      </c>
      <c r="O39" s="2" t="s">
        <v>289</v>
      </c>
      <c r="P39" s="2" t="s">
        <v>765</v>
      </c>
      <c r="Q39" s="2" t="s">
        <v>66</v>
      </c>
      <c r="R39" s="2" t="s">
        <v>143</v>
      </c>
      <c r="S39" s="2" t="n">
        <v>2</v>
      </c>
      <c r="T39" s="2" t="s">
        <v>41</v>
      </c>
      <c r="U39" s="2"/>
      <c r="V39" s="2" t="s">
        <v>233</v>
      </c>
      <c r="W39" s="2" t="s">
        <v>47</v>
      </c>
      <c r="X39" s="2" t="n">
        <v>1316</v>
      </c>
      <c r="Y39" s="2" t="n">
        <v>130</v>
      </c>
      <c r="Z39" s="2" t="n">
        <v>83</v>
      </c>
      <c r="AA39" s="2" t="n">
        <v>39</v>
      </c>
      <c r="AB39" s="2" t="s">
        <v>1389</v>
      </c>
      <c r="AC39" s="2"/>
      <c r="AD39" s="2" t="s">
        <v>1238</v>
      </c>
      <c r="AE39" s="2" t="s">
        <v>692</v>
      </c>
      <c r="AF39" s="2" t="s">
        <v>212</v>
      </c>
      <c r="AG39" s="2" t="s">
        <v>1239</v>
      </c>
      <c r="AH39" s="2" t="s">
        <v>288</v>
      </c>
      <c r="AI39" s="2" t="s">
        <v>1390</v>
      </c>
      <c r="AJ39" s="2" t="s">
        <v>1391</v>
      </c>
      <c r="AK39" s="2" t="s">
        <v>1242</v>
      </c>
      <c r="AL39" s="2" t="s">
        <v>1243</v>
      </c>
      <c r="AM39" s="2"/>
      <c r="AN39" s="2"/>
      <c r="AO39" s="2"/>
      <c r="AP39" s="2"/>
      <c r="AQ39" s="2"/>
      <c r="AR39" s="2"/>
    </row>
    <row r="40" customFormat="false" ht="23.85" hidden="false" customHeight="false" outlineLevel="0" collapsed="false">
      <c r="A40" s="2" t="n">
        <v>39</v>
      </c>
      <c r="B40" s="2" t="s">
        <v>1392</v>
      </c>
      <c r="C40" s="2" t="s">
        <v>686</v>
      </c>
      <c r="D40" s="2" t="s">
        <v>34</v>
      </c>
      <c r="E40" s="2" t="s">
        <v>1098</v>
      </c>
      <c r="F40" s="2" t="s">
        <v>1099</v>
      </c>
      <c r="G40" s="2" t="s">
        <v>687</v>
      </c>
      <c r="H40" s="2" t="s">
        <v>49</v>
      </c>
      <c r="I40" s="2" t="s">
        <v>1105</v>
      </c>
      <c r="J40" s="2" t="s">
        <v>688</v>
      </c>
      <c r="K40" s="2" t="s">
        <v>36</v>
      </c>
      <c r="L40" s="2" t="s">
        <v>1121</v>
      </c>
      <c r="M40" s="2" t="s">
        <v>36</v>
      </c>
      <c r="N40" s="2" t="s">
        <v>689</v>
      </c>
      <c r="O40" s="2" t="s">
        <v>291</v>
      </c>
      <c r="P40" s="2" t="s">
        <v>767</v>
      </c>
      <c r="Q40" s="2" t="s">
        <v>52</v>
      </c>
      <c r="R40" s="2" t="s">
        <v>90</v>
      </c>
      <c r="S40" s="2" t="n">
        <v>1</v>
      </c>
      <c r="T40" s="2" t="s">
        <v>61</v>
      </c>
      <c r="U40" s="2"/>
      <c r="V40" s="2" t="s">
        <v>233</v>
      </c>
      <c r="W40" s="2" t="s">
        <v>47</v>
      </c>
      <c r="X40" s="2" t="n">
        <v>1364</v>
      </c>
      <c r="Y40" s="2" t="n">
        <v>64</v>
      </c>
      <c r="Z40" s="2" t="n">
        <v>49</v>
      </c>
      <c r="AA40" s="2" t="n">
        <v>35</v>
      </c>
      <c r="AB40" s="2" t="s">
        <v>1393</v>
      </c>
      <c r="AC40" s="2"/>
      <c r="AD40" s="2" t="s">
        <v>1238</v>
      </c>
      <c r="AE40" s="2" t="s">
        <v>692</v>
      </c>
      <c r="AF40" s="2" t="s">
        <v>212</v>
      </c>
      <c r="AG40" s="2" t="s">
        <v>1239</v>
      </c>
      <c r="AH40" s="2" t="s">
        <v>290</v>
      </c>
      <c r="AI40" s="2" t="s">
        <v>1394</v>
      </c>
      <c r="AJ40" s="2" t="s">
        <v>1395</v>
      </c>
      <c r="AK40" s="2" t="s">
        <v>1242</v>
      </c>
      <c r="AL40" s="2" t="s">
        <v>1243</v>
      </c>
      <c r="AM40" s="2"/>
      <c r="AN40" s="2"/>
      <c r="AO40" s="2"/>
      <c r="AP40" s="2"/>
      <c r="AQ40" s="2"/>
      <c r="AR40" s="2"/>
    </row>
    <row r="41" customFormat="false" ht="23.85" hidden="false" customHeight="false" outlineLevel="0" collapsed="false">
      <c r="A41" s="2" t="n">
        <v>40</v>
      </c>
      <c r="B41" s="2" t="s">
        <v>1396</v>
      </c>
      <c r="C41" s="2" t="s">
        <v>686</v>
      </c>
      <c r="D41" s="2" t="s">
        <v>34</v>
      </c>
      <c r="E41" s="2" t="s">
        <v>1098</v>
      </c>
      <c r="F41" s="2" t="s">
        <v>1099</v>
      </c>
      <c r="G41" s="2" t="s">
        <v>687</v>
      </c>
      <c r="H41" s="2" t="s">
        <v>49</v>
      </c>
      <c r="I41" s="2" t="s">
        <v>1105</v>
      </c>
      <c r="J41" s="2" t="s">
        <v>688</v>
      </c>
      <c r="K41" s="2" t="s">
        <v>36</v>
      </c>
      <c r="L41" s="2" t="s">
        <v>1121</v>
      </c>
      <c r="M41" s="2" t="s">
        <v>36</v>
      </c>
      <c r="N41" s="2" t="s">
        <v>689</v>
      </c>
      <c r="O41" s="2" t="s">
        <v>293</v>
      </c>
      <c r="P41" s="2" t="s">
        <v>769</v>
      </c>
      <c r="Q41" s="2" t="s">
        <v>69</v>
      </c>
      <c r="R41" s="2" t="s">
        <v>44</v>
      </c>
      <c r="S41" s="2" t="n">
        <v>1</v>
      </c>
      <c r="T41" s="2" t="s">
        <v>61</v>
      </c>
      <c r="U41" s="2"/>
      <c r="V41" s="2" t="s">
        <v>211</v>
      </c>
      <c r="W41" s="2" t="s">
        <v>40</v>
      </c>
      <c r="X41" s="2" t="n">
        <v>1222</v>
      </c>
      <c r="Y41" s="2" t="n">
        <v>69</v>
      </c>
      <c r="Z41" s="2" t="n">
        <v>53</v>
      </c>
      <c r="AA41" s="2" t="n">
        <v>53</v>
      </c>
      <c r="AB41" s="2" t="s">
        <v>1397</v>
      </c>
      <c r="AC41" s="2"/>
      <c r="AD41" s="2" t="s">
        <v>1238</v>
      </c>
      <c r="AE41" s="2" t="s">
        <v>692</v>
      </c>
      <c r="AF41" s="2" t="s">
        <v>212</v>
      </c>
      <c r="AG41" s="2" t="s">
        <v>1239</v>
      </c>
      <c r="AH41" s="2" t="s">
        <v>292</v>
      </c>
      <c r="AI41" s="2" t="s">
        <v>1398</v>
      </c>
      <c r="AJ41" s="2" t="s">
        <v>1399</v>
      </c>
      <c r="AK41" s="2" t="s">
        <v>1242</v>
      </c>
      <c r="AL41" s="2" t="s">
        <v>1243</v>
      </c>
      <c r="AM41" s="2"/>
      <c r="AN41" s="2"/>
      <c r="AO41" s="2"/>
      <c r="AP41" s="2"/>
      <c r="AQ41" s="2"/>
      <c r="AR41" s="2"/>
    </row>
    <row r="42" customFormat="false" ht="23.85" hidden="false" customHeight="false" outlineLevel="0" collapsed="false">
      <c r="A42" s="2" t="n">
        <v>41</v>
      </c>
      <c r="B42" s="2" t="s">
        <v>1400</v>
      </c>
      <c r="C42" s="2" t="s">
        <v>686</v>
      </c>
      <c r="D42" s="2" t="s">
        <v>34</v>
      </c>
      <c r="E42" s="2" t="s">
        <v>1098</v>
      </c>
      <c r="F42" s="2" t="s">
        <v>1099</v>
      </c>
      <c r="G42" s="2" t="s">
        <v>687</v>
      </c>
      <c r="H42" s="2" t="s">
        <v>49</v>
      </c>
      <c r="I42" s="2" t="s">
        <v>1105</v>
      </c>
      <c r="J42" s="2" t="s">
        <v>688</v>
      </c>
      <c r="K42" s="2" t="s">
        <v>36</v>
      </c>
      <c r="L42" s="2" t="s">
        <v>1121</v>
      </c>
      <c r="M42" s="2" t="s">
        <v>36</v>
      </c>
      <c r="N42" s="2" t="s">
        <v>689</v>
      </c>
      <c r="O42" s="2" t="s">
        <v>295</v>
      </c>
      <c r="P42" s="2" t="s">
        <v>771</v>
      </c>
      <c r="Q42" s="2" t="s">
        <v>69</v>
      </c>
      <c r="R42" s="2" t="s">
        <v>118</v>
      </c>
      <c r="S42" s="2" t="n">
        <v>1</v>
      </c>
      <c r="T42" s="2" t="s">
        <v>61</v>
      </c>
      <c r="U42" s="2"/>
      <c r="V42" s="2" t="s">
        <v>230</v>
      </c>
      <c r="W42" s="2" t="s">
        <v>40</v>
      </c>
      <c r="X42" s="2" t="n">
        <v>1096</v>
      </c>
      <c r="Y42" s="2" t="n">
        <v>213</v>
      </c>
      <c r="Z42" s="2" t="n">
        <v>33</v>
      </c>
      <c r="AA42" s="2" t="n">
        <v>22</v>
      </c>
      <c r="AB42" s="2" t="s">
        <v>1401</v>
      </c>
      <c r="AC42" s="2"/>
      <c r="AD42" s="2" t="s">
        <v>1238</v>
      </c>
      <c r="AE42" s="2" t="s">
        <v>692</v>
      </c>
      <c r="AF42" s="2" t="s">
        <v>212</v>
      </c>
      <c r="AG42" s="2" t="s">
        <v>1239</v>
      </c>
      <c r="AH42" s="2" t="s">
        <v>294</v>
      </c>
      <c r="AI42" s="2" t="s">
        <v>1402</v>
      </c>
      <c r="AJ42" s="2" t="s">
        <v>1403</v>
      </c>
      <c r="AK42" s="2" t="s">
        <v>1242</v>
      </c>
      <c r="AL42" s="2" t="s">
        <v>1243</v>
      </c>
      <c r="AM42" s="2"/>
      <c r="AN42" s="2"/>
      <c r="AO42" s="2"/>
      <c r="AP42" s="2"/>
      <c r="AQ42" s="2"/>
      <c r="AR42" s="2"/>
    </row>
    <row r="43" customFormat="false" ht="15" hidden="false" customHeight="false" outlineLevel="0" collapsed="false">
      <c r="A43" s="2" t="n">
        <v>42</v>
      </c>
      <c r="B43" s="2" t="s">
        <v>1404</v>
      </c>
      <c r="C43" s="2" t="s">
        <v>686</v>
      </c>
      <c r="D43" s="2" t="s">
        <v>34</v>
      </c>
      <c r="E43" s="2" t="s">
        <v>1098</v>
      </c>
      <c r="F43" s="2" t="s">
        <v>1099</v>
      </c>
      <c r="G43" s="2" t="s">
        <v>687</v>
      </c>
      <c r="H43" s="2" t="s">
        <v>49</v>
      </c>
      <c r="I43" s="2" t="s">
        <v>1105</v>
      </c>
      <c r="J43" s="2" t="s">
        <v>688</v>
      </c>
      <c r="K43" s="2" t="s">
        <v>36</v>
      </c>
      <c r="L43" s="2" t="s">
        <v>1121</v>
      </c>
      <c r="M43" s="2" t="s">
        <v>36</v>
      </c>
      <c r="N43" s="2" t="s">
        <v>689</v>
      </c>
      <c r="O43" s="2" t="s">
        <v>297</v>
      </c>
      <c r="P43" s="2" t="s">
        <v>773</v>
      </c>
      <c r="Q43" s="2" t="s">
        <v>69</v>
      </c>
      <c r="R43" s="2" t="s">
        <v>104</v>
      </c>
      <c r="S43" s="2" t="n">
        <v>1</v>
      </c>
      <c r="T43" s="2" t="s">
        <v>61</v>
      </c>
      <c r="U43" s="2"/>
      <c r="V43" s="2" t="s">
        <v>215</v>
      </c>
      <c r="W43" s="2" t="s">
        <v>47</v>
      </c>
      <c r="X43" s="2" t="n">
        <v>1505</v>
      </c>
      <c r="Y43" s="2" t="n">
        <v>146</v>
      </c>
      <c r="Z43" s="2" t="n">
        <v>75</v>
      </c>
      <c r="AA43" s="2" t="n">
        <v>63</v>
      </c>
      <c r="AB43" s="2" t="s">
        <v>1405</v>
      </c>
      <c r="AC43" s="2"/>
      <c r="AD43" s="2" t="s">
        <v>1238</v>
      </c>
      <c r="AE43" s="2" t="s">
        <v>692</v>
      </c>
      <c r="AF43" s="2" t="s">
        <v>212</v>
      </c>
      <c r="AG43" s="2" t="s">
        <v>1239</v>
      </c>
      <c r="AH43" s="2" t="s">
        <v>296</v>
      </c>
      <c r="AI43" s="2" t="s">
        <v>1406</v>
      </c>
      <c r="AJ43" s="2" t="s">
        <v>1407</v>
      </c>
      <c r="AK43" s="2" t="s">
        <v>1242</v>
      </c>
      <c r="AL43" s="2" t="s">
        <v>1243</v>
      </c>
      <c r="AM43" s="2"/>
      <c r="AN43" s="2"/>
      <c r="AO43" s="2"/>
      <c r="AP43" s="2"/>
      <c r="AQ43" s="2"/>
      <c r="AR43" s="2"/>
    </row>
    <row r="44" customFormat="false" ht="23.85" hidden="false" customHeight="false" outlineLevel="0" collapsed="false">
      <c r="A44" s="2" t="n">
        <v>43</v>
      </c>
      <c r="B44" s="2" t="s">
        <v>1408</v>
      </c>
      <c r="C44" s="2" t="s">
        <v>686</v>
      </c>
      <c r="D44" s="2" t="s">
        <v>34</v>
      </c>
      <c r="E44" s="2" t="s">
        <v>1098</v>
      </c>
      <c r="F44" s="2" t="s">
        <v>1099</v>
      </c>
      <c r="G44" s="2" t="s">
        <v>687</v>
      </c>
      <c r="H44" s="2" t="s">
        <v>49</v>
      </c>
      <c r="I44" s="2" t="s">
        <v>1105</v>
      </c>
      <c r="J44" s="2" t="s">
        <v>688</v>
      </c>
      <c r="K44" s="2" t="s">
        <v>36</v>
      </c>
      <c r="L44" s="2" t="s">
        <v>1121</v>
      </c>
      <c r="M44" s="2" t="s">
        <v>36</v>
      </c>
      <c r="N44" s="2" t="s">
        <v>689</v>
      </c>
      <c r="O44" s="2" t="s">
        <v>299</v>
      </c>
      <c r="P44" s="2" t="s">
        <v>774</v>
      </c>
      <c r="Q44" s="2" t="s">
        <v>58</v>
      </c>
      <c r="R44" s="2" t="s">
        <v>93</v>
      </c>
      <c r="S44" s="2" t="n">
        <v>2</v>
      </c>
      <c r="T44" s="2" t="s">
        <v>41</v>
      </c>
      <c r="U44" s="2"/>
      <c r="V44" s="2" t="s">
        <v>211</v>
      </c>
      <c r="W44" s="2" t="s">
        <v>47</v>
      </c>
      <c r="X44" s="2" t="n">
        <v>1362</v>
      </c>
      <c r="Y44" s="2" t="n">
        <v>38</v>
      </c>
      <c r="Z44" s="2" t="n">
        <v>59</v>
      </c>
      <c r="AA44" s="2" t="n">
        <v>47</v>
      </c>
      <c r="AB44" s="2" t="s">
        <v>1409</v>
      </c>
      <c r="AC44" s="2"/>
      <c r="AD44" s="2" t="s">
        <v>1238</v>
      </c>
      <c r="AE44" s="2" t="s">
        <v>692</v>
      </c>
      <c r="AF44" s="2" t="s">
        <v>212</v>
      </c>
      <c r="AG44" s="2" t="s">
        <v>1239</v>
      </c>
      <c r="AH44" s="2" t="s">
        <v>298</v>
      </c>
      <c r="AI44" s="2" t="s">
        <v>1410</v>
      </c>
      <c r="AJ44" s="2" t="s">
        <v>1411</v>
      </c>
      <c r="AK44" s="2" t="s">
        <v>1242</v>
      </c>
      <c r="AL44" s="2" t="s">
        <v>1243</v>
      </c>
      <c r="AM44" s="2"/>
      <c r="AN44" s="2"/>
      <c r="AO44" s="2"/>
      <c r="AP44" s="2"/>
      <c r="AQ44" s="2"/>
      <c r="AR44" s="2"/>
    </row>
    <row r="45" customFormat="false" ht="23.85" hidden="false" customHeight="false" outlineLevel="0" collapsed="false">
      <c r="A45" s="2" t="n">
        <v>44</v>
      </c>
      <c r="B45" s="2" t="s">
        <v>1412</v>
      </c>
      <c r="C45" s="2" t="s">
        <v>686</v>
      </c>
      <c r="D45" s="2" t="s">
        <v>34</v>
      </c>
      <c r="E45" s="2" t="s">
        <v>1098</v>
      </c>
      <c r="F45" s="2" t="s">
        <v>1099</v>
      </c>
      <c r="G45" s="2" t="s">
        <v>687</v>
      </c>
      <c r="H45" s="2" t="s">
        <v>49</v>
      </c>
      <c r="I45" s="2" t="s">
        <v>1105</v>
      </c>
      <c r="J45" s="2" t="s">
        <v>688</v>
      </c>
      <c r="K45" s="2" t="s">
        <v>36</v>
      </c>
      <c r="L45" s="2" t="s">
        <v>1121</v>
      </c>
      <c r="M45" s="2" t="s">
        <v>36</v>
      </c>
      <c r="N45" s="2" t="s">
        <v>689</v>
      </c>
      <c r="O45" s="2" t="s">
        <v>301</v>
      </c>
      <c r="P45" s="2" t="s">
        <v>777</v>
      </c>
      <c r="Q45" s="2" t="s">
        <v>73</v>
      </c>
      <c r="R45" s="2" t="s">
        <v>131</v>
      </c>
      <c r="S45" s="2" t="n">
        <v>2</v>
      </c>
      <c r="T45" s="2" t="s">
        <v>41</v>
      </c>
      <c r="U45" s="2"/>
      <c r="V45" s="2" t="s">
        <v>215</v>
      </c>
      <c r="W45" s="2" t="s">
        <v>47</v>
      </c>
      <c r="X45" s="2" t="n">
        <v>1873</v>
      </c>
      <c r="Y45" s="2" t="n">
        <v>251</v>
      </c>
      <c r="Z45" s="2" t="n">
        <v>250</v>
      </c>
      <c r="AA45" s="2" t="n">
        <v>241</v>
      </c>
      <c r="AB45" s="2" t="s">
        <v>1413</v>
      </c>
      <c r="AC45" s="2"/>
      <c r="AD45" s="2" t="s">
        <v>1238</v>
      </c>
      <c r="AE45" s="2" t="s">
        <v>692</v>
      </c>
      <c r="AF45" s="2" t="s">
        <v>212</v>
      </c>
      <c r="AG45" s="2" t="s">
        <v>1239</v>
      </c>
      <c r="AH45" s="2" t="s">
        <v>300</v>
      </c>
      <c r="AI45" s="2" t="s">
        <v>1414</v>
      </c>
      <c r="AJ45" s="2" t="s">
        <v>1415</v>
      </c>
      <c r="AK45" s="2" t="s">
        <v>1242</v>
      </c>
      <c r="AL45" s="2" t="s">
        <v>1243</v>
      </c>
      <c r="AM45" s="2"/>
      <c r="AN45" s="2"/>
      <c r="AO45" s="2"/>
      <c r="AP45" s="2"/>
      <c r="AQ45" s="2"/>
      <c r="AR45" s="2"/>
    </row>
    <row r="46" customFormat="false" ht="23.85" hidden="false" customHeight="false" outlineLevel="0" collapsed="false">
      <c r="A46" s="2" t="n">
        <v>45</v>
      </c>
      <c r="B46" s="2" t="s">
        <v>1416</v>
      </c>
      <c r="C46" s="2" t="s">
        <v>686</v>
      </c>
      <c r="D46" s="2" t="s">
        <v>34</v>
      </c>
      <c r="E46" s="2" t="s">
        <v>1098</v>
      </c>
      <c r="F46" s="2" t="s">
        <v>1099</v>
      </c>
      <c r="G46" s="2" t="s">
        <v>687</v>
      </c>
      <c r="H46" s="2" t="s">
        <v>49</v>
      </c>
      <c r="I46" s="2" t="s">
        <v>1105</v>
      </c>
      <c r="J46" s="2" t="s">
        <v>688</v>
      </c>
      <c r="K46" s="2" t="s">
        <v>36</v>
      </c>
      <c r="L46" s="2" t="s">
        <v>1121</v>
      </c>
      <c r="M46" s="2" t="s">
        <v>36</v>
      </c>
      <c r="N46" s="2" t="s">
        <v>689</v>
      </c>
      <c r="O46" s="2" t="s">
        <v>303</v>
      </c>
      <c r="P46" s="2" t="s">
        <v>779</v>
      </c>
      <c r="Q46" s="2" t="s">
        <v>75</v>
      </c>
      <c r="R46" s="2" t="s">
        <v>105</v>
      </c>
      <c r="S46" s="2" t="n">
        <v>1</v>
      </c>
      <c r="T46" s="2" t="s">
        <v>61</v>
      </c>
      <c r="U46" s="2"/>
      <c r="V46" s="2" t="s">
        <v>233</v>
      </c>
      <c r="W46" s="2" t="s">
        <v>47</v>
      </c>
      <c r="X46" s="2" t="n">
        <v>1432</v>
      </c>
      <c r="Y46" s="2" t="n">
        <v>149</v>
      </c>
      <c r="Z46" s="2" t="n">
        <v>66</v>
      </c>
      <c r="AA46" s="2" t="n">
        <v>40</v>
      </c>
      <c r="AB46" s="2" t="s">
        <v>1417</v>
      </c>
      <c r="AC46" s="2"/>
      <c r="AD46" s="2" t="s">
        <v>1238</v>
      </c>
      <c r="AE46" s="2" t="s">
        <v>692</v>
      </c>
      <c r="AF46" s="2" t="s">
        <v>212</v>
      </c>
      <c r="AG46" s="2" t="s">
        <v>1239</v>
      </c>
      <c r="AH46" s="2" t="s">
        <v>302</v>
      </c>
      <c r="AI46" s="2" t="s">
        <v>1418</v>
      </c>
      <c r="AJ46" s="2" t="s">
        <v>1419</v>
      </c>
      <c r="AK46" s="2" t="s">
        <v>1242</v>
      </c>
      <c r="AL46" s="2" t="s">
        <v>1243</v>
      </c>
      <c r="AM46" s="2"/>
      <c r="AN46" s="2"/>
      <c r="AO46" s="2"/>
      <c r="AP46" s="2"/>
      <c r="AQ46" s="2"/>
      <c r="AR46" s="2"/>
    </row>
    <row r="47" customFormat="false" ht="23.85" hidden="false" customHeight="false" outlineLevel="0" collapsed="false">
      <c r="A47" s="2" t="n">
        <v>46</v>
      </c>
      <c r="B47" s="2" t="s">
        <v>1420</v>
      </c>
      <c r="C47" s="2" t="s">
        <v>686</v>
      </c>
      <c r="D47" s="2" t="s">
        <v>34</v>
      </c>
      <c r="E47" s="2" t="s">
        <v>1098</v>
      </c>
      <c r="F47" s="2" t="s">
        <v>1099</v>
      </c>
      <c r="G47" s="2" t="s">
        <v>687</v>
      </c>
      <c r="H47" s="2" t="s">
        <v>49</v>
      </c>
      <c r="I47" s="2" t="s">
        <v>1105</v>
      </c>
      <c r="J47" s="2" t="s">
        <v>688</v>
      </c>
      <c r="K47" s="2" t="s">
        <v>36</v>
      </c>
      <c r="L47" s="2" t="s">
        <v>1121</v>
      </c>
      <c r="M47" s="2" t="s">
        <v>36</v>
      </c>
      <c r="N47" s="2" t="s">
        <v>689</v>
      </c>
      <c r="O47" s="2" t="s">
        <v>305</v>
      </c>
      <c r="P47" s="2" t="s">
        <v>781</v>
      </c>
      <c r="Q47" s="2" t="s">
        <v>75</v>
      </c>
      <c r="R47" s="2" t="s">
        <v>133</v>
      </c>
      <c r="S47" s="2" t="n">
        <v>1</v>
      </c>
      <c r="T47" s="2" t="s">
        <v>61</v>
      </c>
      <c r="U47" s="2"/>
      <c r="V47" s="2" t="s">
        <v>211</v>
      </c>
      <c r="W47" s="2" t="s">
        <v>40</v>
      </c>
      <c r="X47" s="2" t="n">
        <v>1093</v>
      </c>
      <c r="Y47" s="2" t="n">
        <v>233</v>
      </c>
      <c r="Z47" s="2" t="n">
        <v>162</v>
      </c>
      <c r="AA47" s="2" t="n">
        <v>0</v>
      </c>
      <c r="AB47" s="2" t="s">
        <v>1421</v>
      </c>
      <c r="AC47" s="2"/>
      <c r="AD47" s="2" t="s">
        <v>1238</v>
      </c>
      <c r="AE47" s="2" t="s">
        <v>692</v>
      </c>
      <c r="AF47" s="2" t="s">
        <v>212</v>
      </c>
      <c r="AG47" s="2" t="s">
        <v>1239</v>
      </c>
      <c r="AH47" s="2" t="s">
        <v>304</v>
      </c>
      <c r="AI47" s="2" t="s">
        <v>1422</v>
      </c>
      <c r="AJ47" s="2" t="s">
        <v>1423</v>
      </c>
      <c r="AK47" s="2" t="s">
        <v>1242</v>
      </c>
      <c r="AL47" s="2" t="s">
        <v>1243</v>
      </c>
      <c r="AM47" s="2"/>
      <c r="AN47" s="2"/>
      <c r="AO47" s="2"/>
      <c r="AP47" s="2"/>
      <c r="AQ47" s="2"/>
      <c r="AR47" s="2"/>
    </row>
    <row r="48" customFormat="false" ht="23.85" hidden="false" customHeight="false" outlineLevel="0" collapsed="false">
      <c r="A48" s="2" t="n">
        <v>47</v>
      </c>
      <c r="B48" s="2" t="s">
        <v>1424</v>
      </c>
      <c r="C48" s="2" t="s">
        <v>686</v>
      </c>
      <c r="D48" s="2" t="s">
        <v>34</v>
      </c>
      <c r="E48" s="2" t="s">
        <v>1098</v>
      </c>
      <c r="F48" s="2" t="s">
        <v>1099</v>
      </c>
      <c r="G48" s="2" t="s">
        <v>687</v>
      </c>
      <c r="H48" s="2" t="s">
        <v>49</v>
      </c>
      <c r="I48" s="2" t="s">
        <v>1105</v>
      </c>
      <c r="J48" s="2" t="s">
        <v>688</v>
      </c>
      <c r="K48" s="2" t="s">
        <v>36</v>
      </c>
      <c r="L48" s="2" t="s">
        <v>1121</v>
      </c>
      <c r="M48" s="2" t="s">
        <v>36</v>
      </c>
      <c r="N48" s="2" t="s">
        <v>689</v>
      </c>
      <c r="O48" s="2" t="s">
        <v>307</v>
      </c>
      <c r="P48" s="2" t="s">
        <v>783</v>
      </c>
      <c r="Q48" s="2" t="s">
        <v>69</v>
      </c>
      <c r="R48" s="2" t="s">
        <v>89</v>
      </c>
      <c r="S48" s="2" t="n">
        <v>1</v>
      </c>
      <c r="T48" s="2" t="s">
        <v>61</v>
      </c>
      <c r="U48" s="2"/>
      <c r="V48" s="2" t="s">
        <v>211</v>
      </c>
      <c r="W48" s="2" t="s">
        <v>40</v>
      </c>
      <c r="X48" s="2" t="n">
        <v>999</v>
      </c>
      <c r="Y48" s="2" t="n">
        <v>70</v>
      </c>
      <c r="Z48" s="2" t="n">
        <v>21</v>
      </c>
      <c r="AA48" s="2" t="n">
        <v>17</v>
      </c>
      <c r="AB48" s="2" t="s">
        <v>1425</v>
      </c>
      <c r="AC48" s="2"/>
      <c r="AD48" s="2" t="s">
        <v>1238</v>
      </c>
      <c r="AE48" s="2" t="s">
        <v>692</v>
      </c>
      <c r="AF48" s="2" t="s">
        <v>212</v>
      </c>
      <c r="AG48" s="2" t="s">
        <v>1239</v>
      </c>
      <c r="AH48" s="2" t="s">
        <v>306</v>
      </c>
      <c r="AI48" s="2" t="s">
        <v>1426</v>
      </c>
      <c r="AJ48" s="2" t="s">
        <v>1427</v>
      </c>
      <c r="AK48" s="2" t="s">
        <v>1242</v>
      </c>
      <c r="AL48" s="2" t="s">
        <v>1243</v>
      </c>
      <c r="AM48" s="2"/>
      <c r="AN48" s="2"/>
      <c r="AO48" s="2"/>
      <c r="AP48" s="2"/>
      <c r="AQ48" s="2"/>
      <c r="AR48" s="2"/>
    </row>
    <row r="49" customFormat="false" ht="23.85" hidden="false" customHeight="false" outlineLevel="0" collapsed="false">
      <c r="A49" s="2" t="n">
        <v>48</v>
      </c>
      <c r="B49" s="2" t="s">
        <v>1428</v>
      </c>
      <c r="C49" s="2" t="s">
        <v>686</v>
      </c>
      <c r="D49" s="2" t="s">
        <v>34</v>
      </c>
      <c r="E49" s="2" t="s">
        <v>1098</v>
      </c>
      <c r="F49" s="2" t="s">
        <v>1099</v>
      </c>
      <c r="G49" s="2" t="s">
        <v>687</v>
      </c>
      <c r="H49" s="2" t="s">
        <v>49</v>
      </c>
      <c r="I49" s="2" t="s">
        <v>1105</v>
      </c>
      <c r="J49" s="2" t="s">
        <v>688</v>
      </c>
      <c r="K49" s="2" t="s">
        <v>36</v>
      </c>
      <c r="L49" s="2" t="s">
        <v>1121</v>
      </c>
      <c r="M49" s="2" t="s">
        <v>36</v>
      </c>
      <c r="N49" s="2" t="s">
        <v>689</v>
      </c>
      <c r="O49" s="2" t="s">
        <v>309</v>
      </c>
      <c r="P49" s="2" t="s">
        <v>785</v>
      </c>
      <c r="Q49" s="2" t="s">
        <v>71</v>
      </c>
      <c r="R49" s="2" t="s">
        <v>122</v>
      </c>
      <c r="S49" s="2" t="n">
        <v>1</v>
      </c>
      <c r="T49" s="2" t="s">
        <v>61</v>
      </c>
      <c r="U49" s="2"/>
      <c r="V49" s="2" t="s">
        <v>211</v>
      </c>
      <c r="W49" s="2" t="s">
        <v>40</v>
      </c>
      <c r="X49" s="2" t="n">
        <v>1422</v>
      </c>
      <c r="Y49" s="2" t="n">
        <v>62</v>
      </c>
      <c r="Z49" s="2" t="n">
        <v>38</v>
      </c>
      <c r="AA49" s="2" t="n">
        <v>126</v>
      </c>
      <c r="AB49" s="2" t="s">
        <v>1429</v>
      </c>
      <c r="AC49" s="2"/>
      <c r="AD49" s="2" t="s">
        <v>1238</v>
      </c>
      <c r="AE49" s="2" t="s">
        <v>692</v>
      </c>
      <c r="AF49" s="2" t="s">
        <v>212</v>
      </c>
      <c r="AG49" s="2" t="s">
        <v>1239</v>
      </c>
      <c r="AH49" s="2" t="s">
        <v>308</v>
      </c>
      <c r="AI49" s="2" t="s">
        <v>1430</v>
      </c>
      <c r="AJ49" s="2" t="s">
        <v>1431</v>
      </c>
      <c r="AK49" s="2" t="s">
        <v>1242</v>
      </c>
      <c r="AL49" s="2" t="s">
        <v>1243</v>
      </c>
      <c r="AM49" s="2"/>
      <c r="AN49" s="2"/>
      <c r="AO49" s="2"/>
      <c r="AP49" s="2"/>
      <c r="AQ49" s="2"/>
      <c r="AR49" s="2"/>
    </row>
    <row r="50" customFormat="false" ht="23.85" hidden="false" customHeight="false" outlineLevel="0" collapsed="false">
      <c r="A50" s="2" t="n">
        <v>49</v>
      </c>
      <c r="B50" s="2" t="s">
        <v>1432</v>
      </c>
      <c r="C50" s="2" t="s">
        <v>686</v>
      </c>
      <c r="D50" s="2" t="s">
        <v>34</v>
      </c>
      <c r="E50" s="2" t="s">
        <v>1098</v>
      </c>
      <c r="F50" s="2" t="s">
        <v>1099</v>
      </c>
      <c r="G50" s="2" t="s">
        <v>687</v>
      </c>
      <c r="H50" s="2" t="s">
        <v>49</v>
      </c>
      <c r="I50" s="2" t="s">
        <v>1105</v>
      </c>
      <c r="J50" s="2" t="s">
        <v>688</v>
      </c>
      <c r="K50" s="2" t="s">
        <v>36</v>
      </c>
      <c r="L50" s="2" t="s">
        <v>1121</v>
      </c>
      <c r="M50" s="2" t="s">
        <v>36</v>
      </c>
      <c r="N50" s="2" t="s">
        <v>689</v>
      </c>
      <c r="O50" s="2" t="s">
        <v>311</v>
      </c>
      <c r="P50" s="2" t="s">
        <v>787</v>
      </c>
      <c r="Q50" s="2" t="s">
        <v>52</v>
      </c>
      <c r="R50" s="2" t="s">
        <v>37</v>
      </c>
      <c r="S50" s="2" t="n">
        <v>2</v>
      </c>
      <c r="T50" s="2" t="s">
        <v>41</v>
      </c>
      <c r="U50" s="2"/>
      <c r="V50" s="2" t="s">
        <v>211</v>
      </c>
      <c r="W50" s="2" t="s">
        <v>40</v>
      </c>
      <c r="X50" s="2" t="n">
        <v>1318</v>
      </c>
      <c r="Y50" s="2" t="n">
        <v>39</v>
      </c>
      <c r="Z50" s="2" t="n">
        <v>27</v>
      </c>
      <c r="AA50" s="2" t="n">
        <v>19</v>
      </c>
      <c r="AB50" s="2" t="s">
        <v>1433</v>
      </c>
      <c r="AC50" s="2"/>
      <c r="AD50" s="2" t="s">
        <v>1238</v>
      </c>
      <c r="AE50" s="2" t="s">
        <v>692</v>
      </c>
      <c r="AF50" s="2" t="s">
        <v>212</v>
      </c>
      <c r="AG50" s="2" t="s">
        <v>1239</v>
      </c>
      <c r="AH50" s="2" t="s">
        <v>310</v>
      </c>
      <c r="AI50" s="2" t="s">
        <v>1434</v>
      </c>
      <c r="AJ50" s="2" t="s">
        <v>1435</v>
      </c>
      <c r="AK50" s="2" t="s">
        <v>1242</v>
      </c>
      <c r="AL50" s="2" t="s">
        <v>1243</v>
      </c>
      <c r="AM50" s="2"/>
      <c r="AN50" s="2"/>
      <c r="AO50" s="2"/>
      <c r="AP50" s="2"/>
      <c r="AQ50" s="2"/>
      <c r="AR50" s="2"/>
    </row>
    <row r="51" customFormat="false" ht="23.85" hidden="false" customHeight="false" outlineLevel="0" collapsed="false">
      <c r="A51" s="2" t="n">
        <v>50</v>
      </c>
      <c r="B51" s="2" t="s">
        <v>1436</v>
      </c>
      <c r="C51" s="2" t="s">
        <v>686</v>
      </c>
      <c r="D51" s="2" t="s">
        <v>34</v>
      </c>
      <c r="E51" s="2" t="s">
        <v>1098</v>
      </c>
      <c r="F51" s="2" t="s">
        <v>1099</v>
      </c>
      <c r="G51" s="2" t="s">
        <v>687</v>
      </c>
      <c r="H51" s="2" t="s">
        <v>49</v>
      </c>
      <c r="I51" s="2" t="s">
        <v>1105</v>
      </c>
      <c r="J51" s="2" t="s">
        <v>688</v>
      </c>
      <c r="K51" s="2" t="s">
        <v>36</v>
      </c>
      <c r="L51" s="2" t="s">
        <v>1121</v>
      </c>
      <c r="M51" s="2" t="s">
        <v>36</v>
      </c>
      <c r="N51" s="2" t="s">
        <v>689</v>
      </c>
      <c r="O51" s="2" t="s">
        <v>313</v>
      </c>
      <c r="P51" s="2" t="s">
        <v>789</v>
      </c>
      <c r="Q51" s="2" t="s">
        <v>69</v>
      </c>
      <c r="R51" s="2" t="s">
        <v>104</v>
      </c>
      <c r="S51" s="2" t="n">
        <v>1</v>
      </c>
      <c r="T51" s="2" t="s">
        <v>61</v>
      </c>
      <c r="U51" s="2"/>
      <c r="V51" s="2" t="s">
        <v>215</v>
      </c>
      <c r="W51" s="2" t="s">
        <v>47</v>
      </c>
      <c r="X51" s="2" t="n">
        <v>1677</v>
      </c>
      <c r="Y51" s="2" t="n">
        <v>127</v>
      </c>
      <c r="Z51" s="2" t="n">
        <v>49</v>
      </c>
      <c r="AA51" s="2" t="n">
        <v>29</v>
      </c>
      <c r="AB51" s="2" t="s">
        <v>1437</v>
      </c>
      <c r="AC51" s="2"/>
      <c r="AD51" s="2" t="s">
        <v>1238</v>
      </c>
      <c r="AE51" s="2" t="s">
        <v>692</v>
      </c>
      <c r="AF51" s="2" t="s">
        <v>212</v>
      </c>
      <c r="AG51" s="2" t="s">
        <v>1239</v>
      </c>
      <c r="AH51" s="2" t="s">
        <v>312</v>
      </c>
      <c r="AI51" s="2" t="s">
        <v>1438</v>
      </c>
      <c r="AJ51" s="2" t="s">
        <v>1439</v>
      </c>
      <c r="AK51" s="2" t="s">
        <v>1242</v>
      </c>
      <c r="AL51" s="2" t="s">
        <v>1243</v>
      </c>
      <c r="AM51" s="2"/>
      <c r="AN51" s="2"/>
      <c r="AO51" s="2"/>
      <c r="AP51" s="2"/>
      <c r="AQ51" s="2"/>
      <c r="AR51" s="2"/>
    </row>
    <row r="52" customFormat="false" ht="15" hidden="false" customHeight="false" outlineLevel="0" collapsed="false">
      <c r="A52" s="2" t="n">
        <v>51</v>
      </c>
      <c r="B52" s="2" t="s">
        <v>1440</v>
      </c>
      <c r="C52" s="2" t="s">
        <v>686</v>
      </c>
      <c r="D52" s="2" t="s">
        <v>34</v>
      </c>
      <c r="E52" s="2" t="s">
        <v>1098</v>
      </c>
      <c r="F52" s="2" t="s">
        <v>1099</v>
      </c>
      <c r="G52" s="2" t="s">
        <v>687</v>
      </c>
      <c r="H52" s="2" t="s">
        <v>49</v>
      </c>
      <c r="I52" s="2" t="s">
        <v>1105</v>
      </c>
      <c r="J52" s="2" t="s">
        <v>688</v>
      </c>
      <c r="K52" s="2" t="s">
        <v>36</v>
      </c>
      <c r="L52" s="2" t="s">
        <v>1121</v>
      </c>
      <c r="M52" s="2" t="s">
        <v>36</v>
      </c>
      <c r="N52" s="2" t="s">
        <v>689</v>
      </c>
      <c r="O52" s="2" t="s">
        <v>315</v>
      </c>
      <c r="P52" s="2" t="s">
        <v>790</v>
      </c>
      <c r="Q52" s="2" t="s">
        <v>58</v>
      </c>
      <c r="R52" s="2" t="s">
        <v>92</v>
      </c>
      <c r="S52" s="2" t="n">
        <v>1</v>
      </c>
      <c r="T52" s="2" t="s">
        <v>61</v>
      </c>
      <c r="U52" s="2"/>
      <c r="V52" s="2" t="s">
        <v>211</v>
      </c>
      <c r="W52" s="2" t="s">
        <v>47</v>
      </c>
      <c r="X52" s="2" t="n">
        <v>1360</v>
      </c>
      <c r="Y52" s="2" t="n">
        <v>0</v>
      </c>
      <c r="Z52" s="2" t="n">
        <v>62</v>
      </c>
      <c r="AA52" s="2" t="n">
        <v>53</v>
      </c>
      <c r="AB52" s="2" t="s">
        <v>1441</v>
      </c>
      <c r="AC52" s="2"/>
      <c r="AD52" s="2" t="s">
        <v>1238</v>
      </c>
      <c r="AE52" s="2" t="s">
        <v>692</v>
      </c>
      <c r="AF52" s="2" t="s">
        <v>212</v>
      </c>
      <c r="AG52" s="2" t="s">
        <v>1239</v>
      </c>
      <c r="AH52" s="2" t="s">
        <v>314</v>
      </c>
      <c r="AI52" s="2" t="s">
        <v>1442</v>
      </c>
      <c r="AJ52" s="2" t="s">
        <v>1443</v>
      </c>
      <c r="AK52" s="2" t="s">
        <v>1242</v>
      </c>
      <c r="AL52" s="2" t="s">
        <v>1243</v>
      </c>
      <c r="AM52" s="2"/>
      <c r="AN52" s="2"/>
      <c r="AO52" s="2"/>
      <c r="AP52" s="2"/>
      <c r="AQ52" s="2"/>
      <c r="AR52" s="2"/>
    </row>
    <row r="53" customFormat="false" ht="23.85" hidden="false" customHeight="false" outlineLevel="0" collapsed="false">
      <c r="A53" s="2" t="n">
        <v>52</v>
      </c>
      <c r="B53" s="2" t="s">
        <v>1444</v>
      </c>
      <c r="C53" s="2" t="s">
        <v>686</v>
      </c>
      <c r="D53" s="2" t="s">
        <v>34</v>
      </c>
      <c r="E53" s="2" t="s">
        <v>1098</v>
      </c>
      <c r="F53" s="2" t="s">
        <v>1099</v>
      </c>
      <c r="G53" s="2" t="s">
        <v>687</v>
      </c>
      <c r="H53" s="2" t="s">
        <v>49</v>
      </c>
      <c r="I53" s="2" t="s">
        <v>1105</v>
      </c>
      <c r="J53" s="2" t="s">
        <v>688</v>
      </c>
      <c r="K53" s="2" t="s">
        <v>36</v>
      </c>
      <c r="L53" s="2" t="s">
        <v>1121</v>
      </c>
      <c r="M53" s="2" t="s">
        <v>36</v>
      </c>
      <c r="N53" s="2" t="s">
        <v>689</v>
      </c>
      <c r="O53" s="2" t="s">
        <v>317</v>
      </c>
      <c r="P53" s="2" t="s">
        <v>791</v>
      </c>
      <c r="Q53" s="2" t="s">
        <v>58</v>
      </c>
      <c r="R53" s="2" t="s">
        <v>95</v>
      </c>
      <c r="S53" s="2" t="n">
        <v>2</v>
      </c>
      <c r="T53" s="2" t="s">
        <v>41</v>
      </c>
      <c r="U53" s="2"/>
      <c r="V53" s="2" t="s">
        <v>215</v>
      </c>
      <c r="W53" s="2" t="s">
        <v>40</v>
      </c>
      <c r="X53" s="2" t="n">
        <v>2143</v>
      </c>
      <c r="Y53" s="2" t="n">
        <v>0</v>
      </c>
      <c r="Z53" s="2" t="n">
        <v>134</v>
      </c>
      <c r="AA53" s="2" t="n">
        <v>84</v>
      </c>
      <c r="AB53" s="2" t="s">
        <v>1445</v>
      </c>
      <c r="AC53" s="2"/>
      <c r="AD53" s="2" t="s">
        <v>1238</v>
      </c>
      <c r="AE53" s="2" t="s">
        <v>692</v>
      </c>
      <c r="AF53" s="2" t="s">
        <v>212</v>
      </c>
      <c r="AG53" s="2" t="s">
        <v>1239</v>
      </c>
      <c r="AH53" s="2" t="s">
        <v>316</v>
      </c>
      <c r="AI53" s="2" t="s">
        <v>1446</v>
      </c>
      <c r="AJ53" s="2" t="s">
        <v>1447</v>
      </c>
      <c r="AK53" s="2" t="s">
        <v>1242</v>
      </c>
      <c r="AL53" s="2" t="s">
        <v>1243</v>
      </c>
      <c r="AM53" s="2"/>
      <c r="AN53" s="2"/>
      <c r="AO53" s="2"/>
      <c r="AP53" s="2"/>
      <c r="AQ53" s="2"/>
      <c r="AR53" s="2"/>
    </row>
    <row r="54" customFormat="false" ht="23.85" hidden="false" customHeight="false" outlineLevel="0" collapsed="false">
      <c r="A54" s="2" t="n">
        <v>53</v>
      </c>
      <c r="B54" s="2" t="s">
        <v>1448</v>
      </c>
      <c r="C54" s="2" t="s">
        <v>686</v>
      </c>
      <c r="D54" s="2" t="s">
        <v>34</v>
      </c>
      <c r="E54" s="2" t="s">
        <v>1098</v>
      </c>
      <c r="F54" s="2" t="s">
        <v>1099</v>
      </c>
      <c r="G54" s="2" t="s">
        <v>687</v>
      </c>
      <c r="H54" s="2" t="s">
        <v>49</v>
      </c>
      <c r="I54" s="2" t="s">
        <v>1105</v>
      </c>
      <c r="J54" s="2" t="s">
        <v>688</v>
      </c>
      <c r="K54" s="2" t="s">
        <v>36</v>
      </c>
      <c r="L54" s="2" t="s">
        <v>1121</v>
      </c>
      <c r="M54" s="2" t="s">
        <v>36</v>
      </c>
      <c r="N54" s="2" t="s">
        <v>689</v>
      </c>
      <c r="O54" s="2" t="s">
        <v>319</v>
      </c>
      <c r="P54" s="2" t="s">
        <v>794</v>
      </c>
      <c r="Q54" s="2" t="s">
        <v>58</v>
      </c>
      <c r="R54" s="2" t="s">
        <v>97</v>
      </c>
      <c r="S54" s="2" t="n">
        <v>1</v>
      </c>
      <c r="T54" s="2" t="s">
        <v>61</v>
      </c>
      <c r="U54" s="2"/>
      <c r="V54" s="2" t="s">
        <v>211</v>
      </c>
      <c r="W54" s="2" t="s">
        <v>40</v>
      </c>
      <c r="X54" s="2" t="n">
        <v>1318</v>
      </c>
      <c r="Y54" s="2" t="n">
        <v>0</v>
      </c>
      <c r="Z54" s="2" t="n">
        <v>50</v>
      </c>
      <c r="AA54" s="2" t="n">
        <v>40</v>
      </c>
      <c r="AB54" s="2" t="s">
        <v>1449</v>
      </c>
      <c r="AC54" s="2"/>
      <c r="AD54" s="2" t="s">
        <v>1238</v>
      </c>
      <c r="AE54" s="2" t="s">
        <v>692</v>
      </c>
      <c r="AF54" s="2" t="s">
        <v>212</v>
      </c>
      <c r="AG54" s="2" t="s">
        <v>1239</v>
      </c>
      <c r="AH54" s="2" t="s">
        <v>318</v>
      </c>
      <c r="AI54" s="2" t="s">
        <v>1450</v>
      </c>
      <c r="AJ54" s="2" t="s">
        <v>1451</v>
      </c>
      <c r="AK54" s="2" t="s">
        <v>1242</v>
      </c>
      <c r="AL54" s="2" t="s">
        <v>1243</v>
      </c>
      <c r="AM54" s="2"/>
      <c r="AN54" s="2"/>
      <c r="AO54" s="2"/>
      <c r="AP54" s="2"/>
      <c r="AQ54" s="2"/>
      <c r="AR54" s="2"/>
    </row>
    <row r="55" customFormat="false" ht="23.85" hidden="false" customHeight="false" outlineLevel="0" collapsed="false">
      <c r="A55" s="2" t="n">
        <v>54</v>
      </c>
      <c r="B55" s="2" t="s">
        <v>1452</v>
      </c>
      <c r="C55" s="2" t="s">
        <v>686</v>
      </c>
      <c r="D55" s="2" t="s">
        <v>34</v>
      </c>
      <c r="E55" s="2" t="s">
        <v>1098</v>
      </c>
      <c r="F55" s="2" t="s">
        <v>1099</v>
      </c>
      <c r="G55" s="2" t="s">
        <v>687</v>
      </c>
      <c r="H55" s="2" t="s">
        <v>49</v>
      </c>
      <c r="I55" s="2" t="s">
        <v>1105</v>
      </c>
      <c r="J55" s="2" t="s">
        <v>688</v>
      </c>
      <c r="K55" s="2" t="s">
        <v>36</v>
      </c>
      <c r="L55" s="2" t="s">
        <v>1121</v>
      </c>
      <c r="M55" s="2" t="s">
        <v>36</v>
      </c>
      <c r="N55" s="2" t="s">
        <v>689</v>
      </c>
      <c r="O55" s="2" t="s">
        <v>321</v>
      </c>
      <c r="P55" s="2" t="s">
        <v>796</v>
      </c>
      <c r="Q55" s="2" t="s">
        <v>75</v>
      </c>
      <c r="R55" s="2" t="s">
        <v>95</v>
      </c>
      <c r="S55" s="2" t="n">
        <v>1</v>
      </c>
      <c r="T55" s="2" t="s">
        <v>61</v>
      </c>
      <c r="U55" s="2"/>
      <c r="V55" s="2" t="s">
        <v>211</v>
      </c>
      <c r="W55" s="2" t="s">
        <v>40</v>
      </c>
      <c r="X55" s="2" t="n">
        <v>1329</v>
      </c>
      <c r="Y55" s="2" t="n">
        <v>0</v>
      </c>
      <c r="Z55" s="2" t="n">
        <v>60</v>
      </c>
      <c r="AA55" s="2" t="n">
        <v>33</v>
      </c>
      <c r="AB55" s="2" t="s">
        <v>1453</v>
      </c>
      <c r="AC55" s="2"/>
      <c r="AD55" s="2" t="s">
        <v>1238</v>
      </c>
      <c r="AE55" s="2" t="s">
        <v>692</v>
      </c>
      <c r="AF55" s="2" t="s">
        <v>212</v>
      </c>
      <c r="AG55" s="2" t="s">
        <v>1239</v>
      </c>
      <c r="AH55" s="2" t="s">
        <v>320</v>
      </c>
      <c r="AI55" s="2" t="s">
        <v>1454</v>
      </c>
      <c r="AJ55" s="2" t="s">
        <v>1455</v>
      </c>
      <c r="AK55" s="2" t="s">
        <v>1242</v>
      </c>
      <c r="AL55" s="2" t="s">
        <v>1243</v>
      </c>
      <c r="AM55" s="2"/>
      <c r="AN55" s="2"/>
      <c r="AO55" s="2"/>
      <c r="AP55" s="2"/>
      <c r="AQ55" s="2"/>
      <c r="AR55" s="2"/>
    </row>
    <row r="56" customFormat="false" ht="23.85" hidden="false" customHeight="false" outlineLevel="0" collapsed="false">
      <c r="A56" s="2" t="n">
        <v>55</v>
      </c>
      <c r="B56" s="2" t="s">
        <v>1456</v>
      </c>
      <c r="C56" s="2" t="s">
        <v>686</v>
      </c>
      <c r="D56" s="2" t="s">
        <v>34</v>
      </c>
      <c r="E56" s="2" t="s">
        <v>1098</v>
      </c>
      <c r="F56" s="2" t="s">
        <v>1099</v>
      </c>
      <c r="G56" s="2" t="s">
        <v>687</v>
      </c>
      <c r="H56" s="2" t="s">
        <v>49</v>
      </c>
      <c r="I56" s="2" t="s">
        <v>1105</v>
      </c>
      <c r="J56" s="2" t="s">
        <v>688</v>
      </c>
      <c r="K56" s="2" t="s">
        <v>36</v>
      </c>
      <c r="L56" s="2" t="s">
        <v>1121</v>
      </c>
      <c r="M56" s="2" t="s">
        <v>36</v>
      </c>
      <c r="N56" s="2" t="s">
        <v>689</v>
      </c>
      <c r="O56" s="2" t="s">
        <v>323</v>
      </c>
      <c r="P56" s="2" t="s">
        <v>797</v>
      </c>
      <c r="Q56" s="2" t="s">
        <v>75</v>
      </c>
      <c r="R56" s="2" t="s">
        <v>140</v>
      </c>
      <c r="S56" s="2" t="n">
        <v>1</v>
      </c>
      <c r="T56" s="2" t="s">
        <v>61</v>
      </c>
      <c r="U56" s="2"/>
      <c r="V56" s="2" t="s">
        <v>233</v>
      </c>
      <c r="W56" s="2" t="s">
        <v>40</v>
      </c>
      <c r="X56" s="2" t="n">
        <v>1000</v>
      </c>
      <c r="Y56" s="2" t="n">
        <v>248</v>
      </c>
      <c r="Z56" s="2" t="n">
        <v>65</v>
      </c>
      <c r="AA56" s="2" t="n">
        <v>0</v>
      </c>
      <c r="AB56" s="2" t="s">
        <v>1457</v>
      </c>
      <c r="AC56" s="2"/>
      <c r="AD56" s="2" t="s">
        <v>1238</v>
      </c>
      <c r="AE56" s="2" t="s">
        <v>692</v>
      </c>
      <c r="AF56" s="2" t="s">
        <v>212</v>
      </c>
      <c r="AG56" s="2" t="s">
        <v>1239</v>
      </c>
      <c r="AH56" s="2" t="s">
        <v>322</v>
      </c>
      <c r="AI56" s="2" t="s">
        <v>1458</v>
      </c>
      <c r="AJ56" s="2" t="s">
        <v>1459</v>
      </c>
      <c r="AK56" s="2" t="s">
        <v>1242</v>
      </c>
      <c r="AL56" s="2" t="s">
        <v>1243</v>
      </c>
      <c r="AM56" s="2"/>
      <c r="AN56" s="2"/>
      <c r="AO56" s="2"/>
      <c r="AP56" s="2"/>
      <c r="AQ56" s="2"/>
      <c r="AR56" s="2"/>
    </row>
    <row r="57" customFormat="false" ht="23.85" hidden="false" customHeight="false" outlineLevel="0" collapsed="false">
      <c r="A57" s="2" t="n">
        <v>56</v>
      </c>
      <c r="B57" s="2" t="s">
        <v>1460</v>
      </c>
      <c r="C57" s="2" t="s">
        <v>686</v>
      </c>
      <c r="D57" s="2" t="s">
        <v>34</v>
      </c>
      <c r="E57" s="2" t="s">
        <v>1098</v>
      </c>
      <c r="F57" s="2" t="s">
        <v>1099</v>
      </c>
      <c r="G57" s="2" t="s">
        <v>687</v>
      </c>
      <c r="H57" s="2" t="s">
        <v>49</v>
      </c>
      <c r="I57" s="2" t="s">
        <v>1105</v>
      </c>
      <c r="J57" s="2" t="s">
        <v>688</v>
      </c>
      <c r="K57" s="2" t="s">
        <v>36</v>
      </c>
      <c r="L57" s="2" t="s">
        <v>1121</v>
      </c>
      <c r="M57" s="2" t="s">
        <v>36</v>
      </c>
      <c r="N57" s="2" t="s">
        <v>689</v>
      </c>
      <c r="O57" s="2" t="s">
        <v>325</v>
      </c>
      <c r="P57" s="2" t="s">
        <v>799</v>
      </c>
      <c r="Q57" s="2" t="s">
        <v>66</v>
      </c>
      <c r="R57" s="2" t="s">
        <v>102</v>
      </c>
      <c r="S57" s="2" t="n">
        <v>1</v>
      </c>
      <c r="T57" s="2" t="s">
        <v>61</v>
      </c>
      <c r="U57" s="2"/>
      <c r="V57" s="2" t="s">
        <v>230</v>
      </c>
      <c r="W57" s="2" t="s">
        <v>40</v>
      </c>
      <c r="X57" s="2" t="n">
        <v>1494</v>
      </c>
      <c r="Y57" s="2" t="n">
        <v>129</v>
      </c>
      <c r="Z57" s="2" t="n">
        <v>0</v>
      </c>
      <c r="AA57" s="2" t="n">
        <v>24</v>
      </c>
      <c r="AB57" s="2" t="s">
        <v>1461</v>
      </c>
      <c r="AC57" s="2"/>
      <c r="AD57" s="2" t="s">
        <v>1238</v>
      </c>
      <c r="AE57" s="2" t="s">
        <v>692</v>
      </c>
      <c r="AF57" s="2" t="s">
        <v>212</v>
      </c>
      <c r="AG57" s="2" t="s">
        <v>1239</v>
      </c>
      <c r="AH57" s="2" t="s">
        <v>324</v>
      </c>
      <c r="AI57" s="2" t="s">
        <v>1462</v>
      </c>
      <c r="AJ57" s="2" t="s">
        <v>1463</v>
      </c>
      <c r="AK57" s="2" t="s">
        <v>1242</v>
      </c>
      <c r="AL57" s="2" t="s">
        <v>1243</v>
      </c>
      <c r="AM57" s="2"/>
      <c r="AN57" s="2"/>
      <c r="AO57" s="2"/>
      <c r="AP57" s="2"/>
      <c r="AQ57" s="2"/>
      <c r="AR57" s="2"/>
    </row>
    <row r="58" customFormat="false" ht="23.85" hidden="false" customHeight="false" outlineLevel="0" collapsed="false">
      <c r="A58" s="2" t="n">
        <v>57</v>
      </c>
      <c r="B58" s="2" t="s">
        <v>1464</v>
      </c>
      <c r="C58" s="2" t="s">
        <v>686</v>
      </c>
      <c r="D58" s="2" t="s">
        <v>34</v>
      </c>
      <c r="E58" s="2" t="s">
        <v>1098</v>
      </c>
      <c r="F58" s="2" t="s">
        <v>1099</v>
      </c>
      <c r="G58" s="2" t="s">
        <v>687</v>
      </c>
      <c r="H58" s="2" t="s">
        <v>49</v>
      </c>
      <c r="I58" s="2" t="s">
        <v>1105</v>
      </c>
      <c r="J58" s="2" t="s">
        <v>688</v>
      </c>
      <c r="K58" s="2" t="s">
        <v>36</v>
      </c>
      <c r="L58" s="2" t="s">
        <v>1121</v>
      </c>
      <c r="M58" s="2" t="s">
        <v>36</v>
      </c>
      <c r="N58" s="2" t="s">
        <v>689</v>
      </c>
      <c r="O58" s="2" t="s">
        <v>327</v>
      </c>
      <c r="P58" s="2" t="s">
        <v>801</v>
      </c>
      <c r="Q58" s="2" t="s">
        <v>69</v>
      </c>
      <c r="R58" s="2" t="s">
        <v>109</v>
      </c>
      <c r="S58" s="2" t="n">
        <v>1</v>
      </c>
      <c r="T58" s="2" t="s">
        <v>61</v>
      </c>
      <c r="U58" s="2"/>
      <c r="V58" s="2" t="s">
        <v>233</v>
      </c>
      <c r="W58" s="2" t="s">
        <v>40</v>
      </c>
      <c r="X58" s="2" t="n">
        <v>1517</v>
      </c>
      <c r="Y58" s="2" t="n">
        <v>255</v>
      </c>
      <c r="Z58" s="2" t="n">
        <v>204</v>
      </c>
      <c r="AA58" s="2" t="n">
        <v>0</v>
      </c>
      <c r="AB58" s="2" t="s">
        <v>1465</v>
      </c>
      <c r="AC58" s="2"/>
      <c r="AD58" s="2" t="s">
        <v>1238</v>
      </c>
      <c r="AE58" s="2" t="s">
        <v>692</v>
      </c>
      <c r="AF58" s="2" t="s">
        <v>212</v>
      </c>
      <c r="AG58" s="2" t="s">
        <v>1239</v>
      </c>
      <c r="AH58" s="2" t="s">
        <v>326</v>
      </c>
      <c r="AI58" s="2" t="s">
        <v>1466</v>
      </c>
      <c r="AJ58" s="2" t="s">
        <v>1467</v>
      </c>
      <c r="AK58" s="2" t="s">
        <v>1242</v>
      </c>
      <c r="AL58" s="2" t="s">
        <v>1243</v>
      </c>
      <c r="AM58" s="2"/>
      <c r="AN58" s="2"/>
      <c r="AO58" s="2"/>
      <c r="AP58" s="2"/>
      <c r="AQ58" s="2"/>
      <c r="AR58" s="2"/>
    </row>
    <row r="59" customFormat="false" ht="23.85" hidden="false" customHeight="false" outlineLevel="0" collapsed="false">
      <c r="A59" s="2" t="n">
        <v>58</v>
      </c>
      <c r="B59" s="2" t="s">
        <v>1468</v>
      </c>
      <c r="C59" s="2" t="s">
        <v>686</v>
      </c>
      <c r="D59" s="2" t="s">
        <v>34</v>
      </c>
      <c r="E59" s="2" t="s">
        <v>1098</v>
      </c>
      <c r="F59" s="2" t="s">
        <v>1099</v>
      </c>
      <c r="G59" s="2" t="s">
        <v>687</v>
      </c>
      <c r="H59" s="2" t="s">
        <v>49</v>
      </c>
      <c r="I59" s="2" t="s">
        <v>1105</v>
      </c>
      <c r="J59" s="2" t="s">
        <v>688</v>
      </c>
      <c r="K59" s="2" t="s">
        <v>36</v>
      </c>
      <c r="L59" s="2" t="s">
        <v>1121</v>
      </c>
      <c r="M59" s="2" t="s">
        <v>36</v>
      </c>
      <c r="N59" s="2" t="s">
        <v>689</v>
      </c>
      <c r="O59" s="2" t="s">
        <v>329</v>
      </c>
      <c r="P59" s="2" t="s">
        <v>803</v>
      </c>
      <c r="Q59" s="2" t="s">
        <v>75</v>
      </c>
      <c r="R59" s="2" t="s">
        <v>147</v>
      </c>
      <c r="S59" s="2" t="n">
        <v>1</v>
      </c>
      <c r="T59" s="2" t="s">
        <v>61</v>
      </c>
      <c r="U59" s="2"/>
      <c r="V59" s="2" t="s">
        <v>233</v>
      </c>
      <c r="W59" s="2" t="s">
        <v>40</v>
      </c>
      <c r="X59" s="2" t="n">
        <v>1380</v>
      </c>
      <c r="Y59" s="2" t="n">
        <v>255</v>
      </c>
      <c r="Z59" s="2" t="n">
        <v>145</v>
      </c>
      <c r="AA59" s="2" t="n">
        <v>0</v>
      </c>
      <c r="AB59" s="2" t="s">
        <v>1469</v>
      </c>
      <c r="AC59" s="2"/>
      <c r="AD59" s="2" t="s">
        <v>1238</v>
      </c>
      <c r="AE59" s="2" t="s">
        <v>692</v>
      </c>
      <c r="AF59" s="2" t="s">
        <v>212</v>
      </c>
      <c r="AG59" s="2" t="s">
        <v>1239</v>
      </c>
      <c r="AH59" s="2" t="s">
        <v>328</v>
      </c>
      <c r="AI59" s="2" t="s">
        <v>1470</v>
      </c>
      <c r="AJ59" s="2" t="s">
        <v>1471</v>
      </c>
      <c r="AK59" s="2" t="s">
        <v>1242</v>
      </c>
      <c r="AL59" s="2" t="s">
        <v>1243</v>
      </c>
      <c r="AM59" s="2"/>
      <c r="AN59" s="2"/>
      <c r="AO59" s="2"/>
      <c r="AP59" s="2"/>
      <c r="AQ59" s="2"/>
      <c r="AR59" s="2"/>
    </row>
    <row r="60" customFormat="false" ht="23.85" hidden="false" customHeight="false" outlineLevel="0" collapsed="false">
      <c r="A60" s="2" t="n">
        <v>59</v>
      </c>
      <c r="B60" s="2" t="s">
        <v>1472</v>
      </c>
      <c r="C60" s="2" t="s">
        <v>686</v>
      </c>
      <c r="D60" s="2" t="s">
        <v>34</v>
      </c>
      <c r="E60" s="2" t="s">
        <v>1098</v>
      </c>
      <c r="F60" s="2" t="s">
        <v>1099</v>
      </c>
      <c r="G60" s="2" t="s">
        <v>687</v>
      </c>
      <c r="H60" s="2" t="s">
        <v>49</v>
      </c>
      <c r="I60" s="2" t="s">
        <v>1105</v>
      </c>
      <c r="J60" s="2" t="s">
        <v>688</v>
      </c>
      <c r="K60" s="2" t="s">
        <v>36</v>
      </c>
      <c r="L60" s="2" t="s">
        <v>1121</v>
      </c>
      <c r="M60" s="2" t="s">
        <v>36</v>
      </c>
      <c r="N60" s="2" t="s">
        <v>689</v>
      </c>
      <c r="O60" s="2" t="s">
        <v>331</v>
      </c>
      <c r="P60" s="2" t="s">
        <v>805</v>
      </c>
      <c r="Q60" s="2" t="s">
        <v>75</v>
      </c>
      <c r="R60" s="2" t="s">
        <v>145</v>
      </c>
      <c r="S60" s="2" t="n">
        <v>1</v>
      </c>
      <c r="T60" s="2" t="s">
        <v>61</v>
      </c>
      <c r="U60" s="2"/>
      <c r="V60" s="2" t="s">
        <v>233</v>
      </c>
      <c r="W60" s="2" t="s">
        <v>40</v>
      </c>
      <c r="X60" s="2" t="n">
        <v>1089</v>
      </c>
      <c r="Y60" s="2" t="n">
        <v>29</v>
      </c>
      <c r="Z60" s="2" t="n">
        <v>23</v>
      </c>
      <c r="AA60" s="2" t="n">
        <v>41</v>
      </c>
      <c r="AB60" s="2" t="s">
        <v>1473</v>
      </c>
      <c r="AC60" s="2"/>
      <c r="AD60" s="2" t="s">
        <v>1238</v>
      </c>
      <c r="AE60" s="2" t="s">
        <v>692</v>
      </c>
      <c r="AF60" s="2" t="s">
        <v>212</v>
      </c>
      <c r="AG60" s="2" t="s">
        <v>1239</v>
      </c>
      <c r="AH60" s="2" t="s">
        <v>330</v>
      </c>
      <c r="AI60" s="2" t="s">
        <v>1474</v>
      </c>
      <c r="AJ60" s="2" t="s">
        <v>1475</v>
      </c>
      <c r="AK60" s="2" t="s">
        <v>1242</v>
      </c>
      <c r="AL60" s="2" t="s">
        <v>1243</v>
      </c>
      <c r="AM60" s="2"/>
      <c r="AN60" s="2"/>
      <c r="AO60" s="2"/>
      <c r="AP60" s="2"/>
      <c r="AQ60" s="2"/>
      <c r="AR60" s="2"/>
    </row>
    <row r="61" customFormat="false" ht="23.85" hidden="false" customHeight="false" outlineLevel="0" collapsed="false">
      <c r="A61" s="2" t="n">
        <v>60</v>
      </c>
      <c r="B61" s="2" t="s">
        <v>1476</v>
      </c>
      <c r="C61" s="2" t="s">
        <v>686</v>
      </c>
      <c r="D61" s="2" t="s">
        <v>34</v>
      </c>
      <c r="E61" s="2" t="s">
        <v>1098</v>
      </c>
      <c r="F61" s="2" t="s">
        <v>1099</v>
      </c>
      <c r="G61" s="2" t="s">
        <v>687</v>
      </c>
      <c r="H61" s="2" t="s">
        <v>49</v>
      </c>
      <c r="I61" s="2" t="s">
        <v>1105</v>
      </c>
      <c r="J61" s="2" t="s">
        <v>688</v>
      </c>
      <c r="K61" s="2" t="s">
        <v>36</v>
      </c>
      <c r="L61" s="2" t="s">
        <v>1121</v>
      </c>
      <c r="M61" s="2" t="s">
        <v>36</v>
      </c>
      <c r="N61" s="2" t="s">
        <v>689</v>
      </c>
      <c r="O61" s="2" t="s">
        <v>333</v>
      </c>
      <c r="P61" s="2" t="s">
        <v>807</v>
      </c>
      <c r="Q61" s="2" t="s">
        <v>71</v>
      </c>
      <c r="R61" s="2" t="s">
        <v>126</v>
      </c>
      <c r="S61" s="2" t="n">
        <v>1</v>
      </c>
      <c r="T61" s="2" t="s">
        <v>61</v>
      </c>
      <c r="U61" s="2"/>
      <c r="V61" s="2" t="s">
        <v>211</v>
      </c>
      <c r="W61" s="2" t="s">
        <v>40</v>
      </c>
      <c r="X61" s="2" t="n">
        <v>1060</v>
      </c>
      <c r="Y61" s="2" t="n">
        <v>151</v>
      </c>
      <c r="Z61" s="2" t="n">
        <v>104</v>
      </c>
      <c r="AA61" s="2" t="n">
        <v>47</v>
      </c>
      <c r="AB61" s="2" t="s">
        <v>1477</v>
      </c>
      <c r="AC61" s="2"/>
      <c r="AD61" s="2" t="s">
        <v>1238</v>
      </c>
      <c r="AE61" s="2" t="s">
        <v>692</v>
      </c>
      <c r="AF61" s="2" t="s">
        <v>212</v>
      </c>
      <c r="AG61" s="2" t="s">
        <v>1239</v>
      </c>
      <c r="AH61" s="2" t="s">
        <v>332</v>
      </c>
      <c r="AI61" s="2" t="s">
        <v>1478</v>
      </c>
      <c r="AJ61" s="2" t="s">
        <v>1479</v>
      </c>
      <c r="AK61" s="2" t="s">
        <v>1242</v>
      </c>
      <c r="AL61" s="2" t="s">
        <v>1243</v>
      </c>
      <c r="AM61" s="2"/>
      <c r="AN61" s="2"/>
      <c r="AO61" s="2"/>
      <c r="AP61" s="2"/>
      <c r="AQ61" s="2"/>
      <c r="AR61" s="2"/>
    </row>
    <row r="62" customFormat="false" ht="23.85" hidden="false" customHeight="false" outlineLevel="0" collapsed="false">
      <c r="A62" s="2" t="n">
        <v>61</v>
      </c>
      <c r="B62" s="2" t="s">
        <v>1480</v>
      </c>
      <c r="C62" s="2" t="s">
        <v>686</v>
      </c>
      <c r="D62" s="2" t="s">
        <v>34</v>
      </c>
      <c r="E62" s="2" t="s">
        <v>1098</v>
      </c>
      <c r="F62" s="2" t="s">
        <v>1099</v>
      </c>
      <c r="G62" s="2" t="s">
        <v>687</v>
      </c>
      <c r="H62" s="2" t="s">
        <v>49</v>
      </c>
      <c r="I62" s="2" t="s">
        <v>1105</v>
      </c>
      <c r="J62" s="2" t="s">
        <v>688</v>
      </c>
      <c r="K62" s="2" t="s">
        <v>36</v>
      </c>
      <c r="L62" s="2" t="s">
        <v>1121</v>
      </c>
      <c r="M62" s="2" t="s">
        <v>36</v>
      </c>
      <c r="N62" s="2" t="s">
        <v>689</v>
      </c>
      <c r="O62" s="2" t="s">
        <v>335</v>
      </c>
      <c r="P62" s="2" t="s">
        <v>809</v>
      </c>
      <c r="Q62" s="2" t="s">
        <v>73</v>
      </c>
      <c r="R62" s="2" t="s">
        <v>129</v>
      </c>
      <c r="S62" s="2" t="n">
        <v>1</v>
      </c>
      <c r="T62" s="2" t="s">
        <v>61</v>
      </c>
      <c r="U62" s="2"/>
      <c r="V62" s="2" t="s">
        <v>215</v>
      </c>
      <c r="W62" s="2" t="s">
        <v>47</v>
      </c>
      <c r="X62" s="2" t="n">
        <v>2355</v>
      </c>
      <c r="Y62" s="2" t="n">
        <v>249</v>
      </c>
      <c r="Z62" s="2" t="n">
        <v>248</v>
      </c>
      <c r="AA62" s="2" t="n">
        <v>235</v>
      </c>
      <c r="AB62" s="2" t="s">
        <v>1481</v>
      </c>
      <c r="AC62" s="2"/>
      <c r="AD62" s="2" t="s">
        <v>1238</v>
      </c>
      <c r="AE62" s="2" t="s">
        <v>692</v>
      </c>
      <c r="AF62" s="2" t="s">
        <v>212</v>
      </c>
      <c r="AG62" s="2" t="s">
        <v>1239</v>
      </c>
      <c r="AH62" s="2" t="s">
        <v>334</v>
      </c>
      <c r="AI62" s="2" t="s">
        <v>1482</v>
      </c>
      <c r="AJ62" s="2" t="s">
        <v>1483</v>
      </c>
      <c r="AK62" s="2" t="s">
        <v>1242</v>
      </c>
      <c r="AL62" s="2" t="s">
        <v>1243</v>
      </c>
      <c r="AM62" s="2"/>
      <c r="AN62" s="2"/>
      <c r="AO62" s="2"/>
      <c r="AP62" s="2"/>
      <c r="AQ62" s="2"/>
      <c r="AR62" s="2"/>
    </row>
    <row r="63" customFormat="false" ht="23.85" hidden="false" customHeight="false" outlineLevel="0" collapsed="false">
      <c r="A63" s="2" t="n">
        <v>62</v>
      </c>
      <c r="B63" s="2" t="s">
        <v>1236</v>
      </c>
      <c r="C63" s="2" t="s">
        <v>686</v>
      </c>
      <c r="D63" s="2" t="s">
        <v>34</v>
      </c>
      <c r="E63" s="2" t="s">
        <v>1098</v>
      </c>
      <c r="F63" s="2" t="s">
        <v>1099</v>
      </c>
      <c r="G63" s="2" t="s">
        <v>810</v>
      </c>
      <c r="H63" s="2" t="s">
        <v>42</v>
      </c>
      <c r="I63" s="2" t="s">
        <v>1108</v>
      </c>
      <c r="J63" s="2" t="s">
        <v>811</v>
      </c>
      <c r="K63" s="2" t="s">
        <v>43</v>
      </c>
      <c r="L63" s="2" t="s">
        <v>1124</v>
      </c>
      <c r="M63" s="2" t="s">
        <v>43</v>
      </c>
      <c r="N63" s="2" t="s">
        <v>812</v>
      </c>
      <c r="O63" s="2" t="s">
        <v>210</v>
      </c>
      <c r="P63" s="2" t="s">
        <v>813</v>
      </c>
      <c r="Q63" s="2" t="s">
        <v>69</v>
      </c>
      <c r="R63" s="2" t="s">
        <v>119</v>
      </c>
      <c r="S63" s="2" t="n">
        <v>1</v>
      </c>
      <c r="T63" s="2" t="s">
        <v>61</v>
      </c>
      <c r="U63" s="2"/>
      <c r="V63" s="2" t="s">
        <v>230</v>
      </c>
      <c r="W63" s="2" t="s">
        <v>54</v>
      </c>
      <c r="X63" s="2" t="n">
        <v>1478</v>
      </c>
      <c r="Y63" s="2" t="n">
        <v>154</v>
      </c>
      <c r="Z63" s="2" t="n">
        <v>44</v>
      </c>
      <c r="AA63" s="2" t="n">
        <v>67</v>
      </c>
      <c r="AB63" s="2" t="s">
        <v>1484</v>
      </c>
      <c r="AC63" s="2"/>
      <c r="AD63" s="2" t="s">
        <v>1238</v>
      </c>
      <c r="AE63" s="2" t="s">
        <v>692</v>
      </c>
      <c r="AF63" s="2" t="s">
        <v>212</v>
      </c>
      <c r="AG63" s="2" t="s">
        <v>1239</v>
      </c>
      <c r="AH63" s="2" t="s">
        <v>336</v>
      </c>
      <c r="AI63" s="2" t="s">
        <v>1485</v>
      </c>
      <c r="AJ63" s="2" t="s">
        <v>1486</v>
      </c>
      <c r="AK63" s="2" t="s">
        <v>1242</v>
      </c>
      <c r="AL63" s="2" t="s">
        <v>1243</v>
      </c>
      <c r="AM63" s="2"/>
      <c r="AN63" s="2"/>
      <c r="AO63" s="2"/>
      <c r="AP63" s="2"/>
      <c r="AQ63" s="2"/>
      <c r="AR63" s="2"/>
    </row>
    <row r="64" customFormat="false" ht="23.85" hidden="false" customHeight="false" outlineLevel="0" collapsed="false">
      <c r="A64" s="2" t="n">
        <v>63</v>
      </c>
      <c r="B64" s="2" t="s">
        <v>1252</v>
      </c>
      <c r="C64" s="2" t="s">
        <v>686</v>
      </c>
      <c r="D64" s="2" t="s">
        <v>34</v>
      </c>
      <c r="E64" s="2" t="s">
        <v>1098</v>
      </c>
      <c r="F64" s="2" t="s">
        <v>1099</v>
      </c>
      <c r="G64" s="2" t="s">
        <v>810</v>
      </c>
      <c r="H64" s="2" t="s">
        <v>42</v>
      </c>
      <c r="I64" s="2" t="s">
        <v>1108</v>
      </c>
      <c r="J64" s="2" t="s">
        <v>811</v>
      </c>
      <c r="K64" s="2" t="s">
        <v>43</v>
      </c>
      <c r="L64" s="2" t="s">
        <v>1124</v>
      </c>
      <c r="M64" s="2" t="s">
        <v>43</v>
      </c>
      <c r="N64" s="2" t="s">
        <v>812</v>
      </c>
      <c r="O64" s="2" t="s">
        <v>219</v>
      </c>
      <c r="P64" s="2" t="s">
        <v>814</v>
      </c>
      <c r="Q64" s="2" t="s">
        <v>66</v>
      </c>
      <c r="R64" s="2" t="s">
        <v>142</v>
      </c>
      <c r="S64" s="2" t="n">
        <v>2</v>
      </c>
      <c r="T64" s="2" t="s">
        <v>41</v>
      </c>
      <c r="U64" s="2"/>
      <c r="V64" s="2" t="s">
        <v>230</v>
      </c>
      <c r="W64" s="2" t="s">
        <v>47</v>
      </c>
      <c r="X64" s="2" t="n">
        <v>1762</v>
      </c>
      <c r="Y64" s="2" t="n">
        <v>145</v>
      </c>
      <c r="Z64" s="2" t="n">
        <v>76</v>
      </c>
      <c r="AA64" s="2" t="n">
        <v>54</v>
      </c>
      <c r="AB64" s="2" t="s">
        <v>1487</v>
      </c>
      <c r="AC64" s="2"/>
      <c r="AD64" s="2" t="s">
        <v>1238</v>
      </c>
      <c r="AE64" s="2" t="s">
        <v>692</v>
      </c>
      <c r="AF64" s="2" t="s">
        <v>212</v>
      </c>
      <c r="AG64" s="2" t="s">
        <v>1239</v>
      </c>
      <c r="AH64" s="2" t="s">
        <v>337</v>
      </c>
      <c r="AI64" s="2" t="s">
        <v>1488</v>
      </c>
      <c r="AJ64" s="2" t="s">
        <v>1489</v>
      </c>
      <c r="AK64" s="2" t="s">
        <v>1242</v>
      </c>
      <c r="AL64" s="2" t="s">
        <v>1243</v>
      </c>
      <c r="AM64" s="2"/>
      <c r="AN64" s="2"/>
      <c r="AO64" s="2"/>
      <c r="AP64" s="2"/>
      <c r="AQ64" s="2"/>
      <c r="AR64" s="2"/>
    </row>
    <row r="65" customFormat="false" ht="23.85" hidden="false" customHeight="false" outlineLevel="0" collapsed="false">
      <c r="A65" s="2" t="n">
        <v>64</v>
      </c>
      <c r="B65" s="2" t="s">
        <v>1490</v>
      </c>
      <c r="C65" s="2" t="s">
        <v>686</v>
      </c>
      <c r="D65" s="2" t="s">
        <v>34</v>
      </c>
      <c r="E65" s="2" t="s">
        <v>1098</v>
      </c>
      <c r="F65" s="2" t="s">
        <v>1099</v>
      </c>
      <c r="G65" s="2" t="s">
        <v>810</v>
      </c>
      <c r="H65" s="2" t="s">
        <v>42</v>
      </c>
      <c r="I65" s="2" t="s">
        <v>1108</v>
      </c>
      <c r="J65" s="2" t="s">
        <v>811</v>
      </c>
      <c r="K65" s="2" t="s">
        <v>43</v>
      </c>
      <c r="L65" s="2" t="s">
        <v>1124</v>
      </c>
      <c r="M65" s="2" t="s">
        <v>43</v>
      </c>
      <c r="N65" s="2" t="s">
        <v>812</v>
      </c>
      <c r="O65" s="2" t="s">
        <v>339</v>
      </c>
      <c r="P65" s="2" t="s">
        <v>815</v>
      </c>
      <c r="Q65" s="2" t="s">
        <v>52</v>
      </c>
      <c r="R65" s="2" t="s">
        <v>90</v>
      </c>
      <c r="S65" s="2" t="n">
        <v>2</v>
      </c>
      <c r="T65" s="2" t="s">
        <v>41</v>
      </c>
      <c r="U65" s="2"/>
      <c r="V65" s="2" t="s">
        <v>215</v>
      </c>
      <c r="W65" s="2" t="s">
        <v>47</v>
      </c>
      <c r="X65" s="2" t="n">
        <v>1636</v>
      </c>
      <c r="Y65" s="2" t="n">
        <v>104</v>
      </c>
      <c r="Z65" s="2" t="n">
        <v>72</v>
      </c>
      <c r="AA65" s="2" t="n">
        <v>61</v>
      </c>
      <c r="AB65" s="2" t="s">
        <v>1491</v>
      </c>
      <c r="AC65" s="2"/>
      <c r="AD65" s="2" t="s">
        <v>1238</v>
      </c>
      <c r="AE65" s="2" t="s">
        <v>692</v>
      </c>
      <c r="AF65" s="2" t="s">
        <v>212</v>
      </c>
      <c r="AG65" s="2" t="s">
        <v>1239</v>
      </c>
      <c r="AH65" s="2" t="s">
        <v>338</v>
      </c>
      <c r="AI65" s="2" t="s">
        <v>1492</v>
      </c>
      <c r="AJ65" s="2" t="s">
        <v>1493</v>
      </c>
      <c r="AK65" s="2" t="s">
        <v>1242</v>
      </c>
      <c r="AL65" s="2" t="s">
        <v>1243</v>
      </c>
      <c r="AM65" s="2"/>
      <c r="AN65" s="2"/>
      <c r="AO65" s="2"/>
      <c r="AP65" s="2"/>
      <c r="AQ65" s="2"/>
      <c r="AR65" s="2"/>
    </row>
    <row r="66" customFormat="false" ht="23.85" hidden="false" customHeight="false" outlineLevel="0" collapsed="false">
      <c r="A66" s="2" t="n">
        <v>65</v>
      </c>
      <c r="B66" s="2" t="s">
        <v>1256</v>
      </c>
      <c r="C66" s="2" t="s">
        <v>686</v>
      </c>
      <c r="D66" s="2" t="s">
        <v>34</v>
      </c>
      <c r="E66" s="2" t="s">
        <v>1098</v>
      </c>
      <c r="F66" s="2" t="s">
        <v>1099</v>
      </c>
      <c r="G66" s="2" t="s">
        <v>810</v>
      </c>
      <c r="H66" s="2" t="s">
        <v>42</v>
      </c>
      <c r="I66" s="2" t="s">
        <v>1108</v>
      </c>
      <c r="J66" s="2" t="s">
        <v>811</v>
      </c>
      <c r="K66" s="2" t="s">
        <v>43</v>
      </c>
      <c r="L66" s="2" t="s">
        <v>1124</v>
      </c>
      <c r="M66" s="2" t="s">
        <v>43</v>
      </c>
      <c r="N66" s="2" t="s">
        <v>812</v>
      </c>
      <c r="O66" s="2" t="s">
        <v>221</v>
      </c>
      <c r="P66" s="2" t="s">
        <v>816</v>
      </c>
      <c r="Q66" s="2" t="s">
        <v>75</v>
      </c>
      <c r="R66" s="2" t="s">
        <v>141</v>
      </c>
      <c r="S66" s="2" t="n">
        <v>1</v>
      </c>
      <c r="T66" s="2" t="s">
        <v>61</v>
      </c>
      <c r="U66" s="2"/>
      <c r="V66" s="2" t="s">
        <v>215</v>
      </c>
      <c r="W66" s="2" t="s">
        <v>40</v>
      </c>
      <c r="X66" s="2" t="n">
        <v>2240</v>
      </c>
      <c r="Y66" s="2" t="n">
        <v>255</v>
      </c>
      <c r="Z66" s="2" t="n">
        <v>229</v>
      </c>
      <c r="AA66" s="2" t="n">
        <v>46</v>
      </c>
      <c r="AB66" s="2" t="s">
        <v>1494</v>
      </c>
      <c r="AC66" s="2"/>
      <c r="AD66" s="2" t="s">
        <v>1238</v>
      </c>
      <c r="AE66" s="2" t="s">
        <v>692</v>
      </c>
      <c r="AF66" s="2" t="s">
        <v>212</v>
      </c>
      <c r="AG66" s="2" t="s">
        <v>1239</v>
      </c>
      <c r="AH66" s="2" t="s">
        <v>340</v>
      </c>
      <c r="AI66" s="2" t="s">
        <v>1495</v>
      </c>
      <c r="AJ66" s="2" t="s">
        <v>1496</v>
      </c>
      <c r="AK66" s="2" t="s">
        <v>1242</v>
      </c>
      <c r="AL66" s="2" t="s">
        <v>1243</v>
      </c>
      <c r="AM66" s="2"/>
      <c r="AN66" s="2"/>
      <c r="AO66" s="2"/>
      <c r="AP66" s="2"/>
      <c r="AQ66" s="2"/>
      <c r="AR66" s="2"/>
    </row>
    <row r="67" customFormat="false" ht="23.85" hidden="false" customHeight="false" outlineLevel="0" collapsed="false">
      <c r="A67" s="2" t="n">
        <v>66</v>
      </c>
      <c r="B67" s="2" t="s">
        <v>1497</v>
      </c>
      <c r="C67" s="2" t="s">
        <v>686</v>
      </c>
      <c r="D67" s="2" t="s">
        <v>34</v>
      </c>
      <c r="E67" s="2" t="s">
        <v>1098</v>
      </c>
      <c r="F67" s="2" t="s">
        <v>1099</v>
      </c>
      <c r="G67" s="2" t="s">
        <v>810</v>
      </c>
      <c r="H67" s="2" t="s">
        <v>42</v>
      </c>
      <c r="I67" s="2" t="s">
        <v>1108</v>
      </c>
      <c r="J67" s="2" t="s">
        <v>811</v>
      </c>
      <c r="K67" s="2" t="s">
        <v>43</v>
      </c>
      <c r="L67" s="2" t="s">
        <v>1124</v>
      </c>
      <c r="M67" s="2" t="s">
        <v>43</v>
      </c>
      <c r="N67" s="2" t="s">
        <v>812</v>
      </c>
      <c r="O67" s="2" t="s">
        <v>342</v>
      </c>
      <c r="P67" s="2" t="s">
        <v>817</v>
      </c>
      <c r="Q67" s="2" t="s">
        <v>66</v>
      </c>
      <c r="R67" s="2" t="s">
        <v>141</v>
      </c>
      <c r="S67" s="2" t="n">
        <v>2</v>
      </c>
      <c r="T67" s="2" t="s">
        <v>41</v>
      </c>
      <c r="U67" s="2"/>
      <c r="V67" s="2" t="s">
        <v>215</v>
      </c>
      <c r="W67" s="2" t="s">
        <v>40</v>
      </c>
      <c r="X67" s="2" t="n">
        <v>2740</v>
      </c>
      <c r="Y67" s="2" t="n">
        <v>253</v>
      </c>
      <c r="Z67" s="2" t="n">
        <v>111</v>
      </c>
      <c r="AA67" s="2" t="n">
        <v>42</v>
      </c>
      <c r="AB67" s="2" t="s">
        <v>1498</v>
      </c>
      <c r="AC67" s="2"/>
      <c r="AD67" s="2" t="s">
        <v>1238</v>
      </c>
      <c r="AE67" s="2" t="s">
        <v>692</v>
      </c>
      <c r="AF67" s="2" t="s">
        <v>212</v>
      </c>
      <c r="AG67" s="2" t="s">
        <v>1239</v>
      </c>
      <c r="AH67" s="2" t="s">
        <v>341</v>
      </c>
      <c r="AI67" s="2" t="s">
        <v>1499</v>
      </c>
      <c r="AJ67" s="2" t="s">
        <v>1500</v>
      </c>
      <c r="AK67" s="2" t="s">
        <v>1242</v>
      </c>
      <c r="AL67" s="2" t="s">
        <v>1243</v>
      </c>
      <c r="AM67" s="2"/>
      <c r="AN67" s="2"/>
      <c r="AO67" s="2"/>
      <c r="AP67" s="2"/>
      <c r="AQ67" s="2"/>
      <c r="AR67" s="2"/>
    </row>
    <row r="68" customFormat="false" ht="23.85" hidden="false" customHeight="false" outlineLevel="0" collapsed="false">
      <c r="A68" s="2" t="n">
        <v>67</v>
      </c>
      <c r="B68" s="2" t="s">
        <v>1260</v>
      </c>
      <c r="C68" s="2" t="s">
        <v>686</v>
      </c>
      <c r="D68" s="2" t="s">
        <v>34</v>
      </c>
      <c r="E68" s="2" t="s">
        <v>1098</v>
      </c>
      <c r="F68" s="2" t="s">
        <v>1099</v>
      </c>
      <c r="G68" s="2" t="s">
        <v>810</v>
      </c>
      <c r="H68" s="2" t="s">
        <v>42</v>
      </c>
      <c r="I68" s="2" t="s">
        <v>1108</v>
      </c>
      <c r="J68" s="2" t="s">
        <v>811</v>
      </c>
      <c r="K68" s="2" t="s">
        <v>43</v>
      </c>
      <c r="L68" s="2" t="s">
        <v>1124</v>
      </c>
      <c r="M68" s="2" t="s">
        <v>43</v>
      </c>
      <c r="N68" s="2" t="s">
        <v>812</v>
      </c>
      <c r="O68" s="2" t="s">
        <v>223</v>
      </c>
      <c r="P68" s="2" t="s">
        <v>818</v>
      </c>
      <c r="Q68" s="2" t="s">
        <v>69</v>
      </c>
      <c r="R68" s="2" t="s">
        <v>106</v>
      </c>
      <c r="S68" s="2" t="n">
        <v>1</v>
      </c>
      <c r="T68" s="2" t="s">
        <v>61</v>
      </c>
      <c r="U68" s="2"/>
      <c r="V68" s="2" t="s">
        <v>215</v>
      </c>
      <c r="W68" s="2" t="s">
        <v>40</v>
      </c>
      <c r="X68" s="2" t="n">
        <v>2130</v>
      </c>
      <c r="Y68" s="2" t="n">
        <v>210</v>
      </c>
      <c r="Z68" s="2" t="n">
        <v>59</v>
      </c>
      <c r="AA68" s="2" t="n">
        <v>55</v>
      </c>
      <c r="AB68" s="2" t="s">
        <v>1501</v>
      </c>
      <c r="AC68" s="2"/>
      <c r="AD68" s="2" t="s">
        <v>1238</v>
      </c>
      <c r="AE68" s="2" t="s">
        <v>692</v>
      </c>
      <c r="AF68" s="2" t="s">
        <v>212</v>
      </c>
      <c r="AG68" s="2" t="s">
        <v>1239</v>
      </c>
      <c r="AH68" s="2" t="s">
        <v>343</v>
      </c>
      <c r="AI68" s="2" t="s">
        <v>1502</v>
      </c>
      <c r="AJ68" s="2" t="s">
        <v>1503</v>
      </c>
      <c r="AK68" s="2" t="s">
        <v>1242</v>
      </c>
      <c r="AL68" s="2" t="s">
        <v>1243</v>
      </c>
      <c r="AM68" s="2"/>
      <c r="AN68" s="2"/>
      <c r="AO68" s="2"/>
      <c r="AP68" s="2"/>
      <c r="AQ68" s="2"/>
      <c r="AR68" s="2"/>
    </row>
    <row r="69" customFormat="false" ht="23.85" hidden="false" customHeight="false" outlineLevel="0" collapsed="false">
      <c r="A69" s="2" t="n">
        <v>68</v>
      </c>
      <c r="B69" s="2" t="s">
        <v>1504</v>
      </c>
      <c r="C69" s="2" t="s">
        <v>686</v>
      </c>
      <c r="D69" s="2" t="s">
        <v>34</v>
      </c>
      <c r="E69" s="2" t="s">
        <v>1098</v>
      </c>
      <c r="F69" s="2" t="s">
        <v>1099</v>
      </c>
      <c r="G69" s="2" t="s">
        <v>810</v>
      </c>
      <c r="H69" s="2" t="s">
        <v>42</v>
      </c>
      <c r="I69" s="2" t="s">
        <v>1108</v>
      </c>
      <c r="J69" s="2" t="s">
        <v>811</v>
      </c>
      <c r="K69" s="2" t="s">
        <v>43</v>
      </c>
      <c r="L69" s="2" t="s">
        <v>1124</v>
      </c>
      <c r="M69" s="2" t="s">
        <v>43</v>
      </c>
      <c r="N69" s="2" t="s">
        <v>812</v>
      </c>
      <c r="O69" s="2" t="s">
        <v>345</v>
      </c>
      <c r="P69" s="2" t="s">
        <v>819</v>
      </c>
      <c r="Q69" s="2" t="s">
        <v>69</v>
      </c>
      <c r="R69" s="2" t="s">
        <v>106</v>
      </c>
      <c r="S69" s="2" t="n">
        <v>1</v>
      </c>
      <c r="T69" s="2" t="s">
        <v>61</v>
      </c>
      <c r="U69" s="2"/>
      <c r="V69" s="2" t="s">
        <v>215</v>
      </c>
      <c r="W69" s="2" t="s">
        <v>40</v>
      </c>
      <c r="X69" s="2" t="n">
        <v>1944</v>
      </c>
      <c r="Y69" s="2" t="n">
        <v>233</v>
      </c>
      <c r="Z69" s="2" t="n">
        <v>69</v>
      </c>
      <c r="AA69" s="2" t="n">
        <v>47</v>
      </c>
      <c r="AB69" s="2" t="s">
        <v>1505</v>
      </c>
      <c r="AC69" s="2"/>
      <c r="AD69" s="2" t="s">
        <v>1238</v>
      </c>
      <c r="AE69" s="2" t="s">
        <v>692</v>
      </c>
      <c r="AF69" s="2" t="s">
        <v>212</v>
      </c>
      <c r="AG69" s="2" t="s">
        <v>1239</v>
      </c>
      <c r="AH69" s="2" t="s">
        <v>344</v>
      </c>
      <c r="AI69" s="2" t="s">
        <v>1506</v>
      </c>
      <c r="AJ69" s="2" t="s">
        <v>1507</v>
      </c>
      <c r="AK69" s="2" t="s">
        <v>1242</v>
      </c>
      <c r="AL69" s="2" t="s">
        <v>1243</v>
      </c>
      <c r="AM69" s="2"/>
      <c r="AN69" s="2"/>
      <c r="AO69" s="2"/>
      <c r="AP69" s="2"/>
      <c r="AQ69" s="2"/>
      <c r="AR69" s="2"/>
    </row>
    <row r="70" customFormat="false" ht="23.85" hidden="false" customHeight="false" outlineLevel="0" collapsed="false">
      <c r="A70" s="2" t="n">
        <v>69</v>
      </c>
      <c r="B70" s="2" t="s">
        <v>1264</v>
      </c>
      <c r="C70" s="2" t="s">
        <v>686</v>
      </c>
      <c r="D70" s="2" t="s">
        <v>34</v>
      </c>
      <c r="E70" s="2" t="s">
        <v>1098</v>
      </c>
      <c r="F70" s="2" t="s">
        <v>1099</v>
      </c>
      <c r="G70" s="2" t="s">
        <v>810</v>
      </c>
      <c r="H70" s="2" t="s">
        <v>42</v>
      </c>
      <c r="I70" s="2" t="s">
        <v>1108</v>
      </c>
      <c r="J70" s="2" t="s">
        <v>811</v>
      </c>
      <c r="K70" s="2" t="s">
        <v>43</v>
      </c>
      <c r="L70" s="2" t="s">
        <v>1124</v>
      </c>
      <c r="M70" s="2" t="s">
        <v>43</v>
      </c>
      <c r="N70" s="2" t="s">
        <v>812</v>
      </c>
      <c r="O70" s="2" t="s">
        <v>225</v>
      </c>
      <c r="P70" s="2" t="s">
        <v>820</v>
      </c>
      <c r="Q70" s="2" t="s">
        <v>75</v>
      </c>
      <c r="R70" s="2" t="s">
        <v>141</v>
      </c>
      <c r="S70" s="2" t="n">
        <v>2</v>
      </c>
      <c r="T70" s="2" t="s">
        <v>41</v>
      </c>
      <c r="U70" s="2"/>
      <c r="V70" s="2" t="s">
        <v>215</v>
      </c>
      <c r="W70" s="2" t="s">
        <v>40</v>
      </c>
      <c r="X70" s="2" t="n">
        <v>2069</v>
      </c>
      <c r="Y70" s="2" t="n">
        <v>255</v>
      </c>
      <c r="Z70" s="2" t="n">
        <v>189</v>
      </c>
      <c r="AA70" s="2" t="n">
        <v>0</v>
      </c>
      <c r="AB70" s="2" t="s">
        <v>1508</v>
      </c>
      <c r="AC70" s="2"/>
      <c r="AD70" s="2" t="s">
        <v>1238</v>
      </c>
      <c r="AE70" s="2" t="s">
        <v>692</v>
      </c>
      <c r="AF70" s="2" t="s">
        <v>212</v>
      </c>
      <c r="AG70" s="2" t="s">
        <v>1239</v>
      </c>
      <c r="AH70" s="2" t="s">
        <v>346</v>
      </c>
      <c r="AI70" s="2" t="s">
        <v>1509</v>
      </c>
      <c r="AJ70" s="2" t="s">
        <v>1510</v>
      </c>
      <c r="AK70" s="2" t="s">
        <v>1242</v>
      </c>
      <c r="AL70" s="2" t="s">
        <v>1243</v>
      </c>
      <c r="AM70" s="2"/>
      <c r="AN70" s="2"/>
      <c r="AO70" s="2"/>
      <c r="AP70" s="2"/>
      <c r="AQ70" s="2"/>
      <c r="AR70" s="2"/>
    </row>
    <row r="71" customFormat="false" ht="23.85" hidden="false" customHeight="false" outlineLevel="0" collapsed="false">
      <c r="A71" s="2" t="n">
        <v>70</v>
      </c>
      <c r="B71" s="2" t="s">
        <v>1272</v>
      </c>
      <c r="C71" s="2" t="s">
        <v>686</v>
      </c>
      <c r="D71" s="2" t="s">
        <v>34</v>
      </c>
      <c r="E71" s="2" t="s">
        <v>1098</v>
      </c>
      <c r="F71" s="2" t="s">
        <v>1099</v>
      </c>
      <c r="G71" s="2" t="s">
        <v>810</v>
      </c>
      <c r="H71" s="2" t="s">
        <v>42</v>
      </c>
      <c r="I71" s="2" t="s">
        <v>1108</v>
      </c>
      <c r="J71" s="2" t="s">
        <v>811</v>
      </c>
      <c r="K71" s="2" t="s">
        <v>43</v>
      </c>
      <c r="L71" s="2" t="s">
        <v>1124</v>
      </c>
      <c r="M71" s="2" t="s">
        <v>43</v>
      </c>
      <c r="N71" s="2" t="s">
        <v>812</v>
      </c>
      <c r="O71" s="2" t="s">
        <v>229</v>
      </c>
      <c r="P71" s="2" t="s">
        <v>821</v>
      </c>
      <c r="Q71" s="2" t="s">
        <v>45</v>
      </c>
      <c r="R71" s="2" t="s">
        <v>74</v>
      </c>
      <c r="S71" s="2" t="n">
        <v>1</v>
      </c>
      <c r="T71" s="2" t="s">
        <v>61</v>
      </c>
      <c r="U71" s="2"/>
      <c r="V71" s="2" t="s">
        <v>215</v>
      </c>
      <c r="W71" s="2" t="s">
        <v>47</v>
      </c>
      <c r="X71" s="2" t="n">
        <v>2585</v>
      </c>
      <c r="Y71" s="2" t="n">
        <v>16</v>
      </c>
      <c r="Z71" s="2" t="n">
        <v>117</v>
      </c>
      <c r="AA71" s="2" t="n">
        <v>167</v>
      </c>
      <c r="AB71" s="2" t="s">
        <v>1511</v>
      </c>
      <c r="AC71" s="2"/>
      <c r="AD71" s="2" t="s">
        <v>1238</v>
      </c>
      <c r="AE71" s="2" t="s">
        <v>692</v>
      </c>
      <c r="AF71" s="2" t="s">
        <v>212</v>
      </c>
      <c r="AG71" s="2" t="s">
        <v>1239</v>
      </c>
      <c r="AH71" s="2" t="s">
        <v>347</v>
      </c>
      <c r="AI71" s="2" t="s">
        <v>1512</v>
      </c>
      <c r="AJ71" s="2" t="s">
        <v>1513</v>
      </c>
      <c r="AK71" s="2" t="s">
        <v>1242</v>
      </c>
      <c r="AL71" s="2" t="s">
        <v>1243</v>
      </c>
      <c r="AM71" s="2"/>
      <c r="AN71" s="2"/>
      <c r="AO71" s="2"/>
      <c r="AP71" s="2"/>
      <c r="AQ71" s="2"/>
      <c r="AR71" s="2"/>
    </row>
    <row r="72" customFormat="false" ht="23.85" hidden="false" customHeight="false" outlineLevel="0" collapsed="false">
      <c r="A72" s="2" t="n">
        <v>71</v>
      </c>
      <c r="B72" s="2" t="s">
        <v>1276</v>
      </c>
      <c r="C72" s="2" t="s">
        <v>686</v>
      </c>
      <c r="D72" s="2" t="s">
        <v>34</v>
      </c>
      <c r="E72" s="2" t="s">
        <v>1098</v>
      </c>
      <c r="F72" s="2" t="s">
        <v>1099</v>
      </c>
      <c r="G72" s="2" t="s">
        <v>810</v>
      </c>
      <c r="H72" s="2" t="s">
        <v>42</v>
      </c>
      <c r="I72" s="2" t="s">
        <v>1108</v>
      </c>
      <c r="J72" s="2" t="s">
        <v>811</v>
      </c>
      <c r="K72" s="2" t="s">
        <v>43</v>
      </c>
      <c r="L72" s="2" t="s">
        <v>1124</v>
      </c>
      <c r="M72" s="2" t="s">
        <v>43</v>
      </c>
      <c r="N72" s="2" t="s">
        <v>812</v>
      </c>
      <c r="O72" s="2" t="s">
        <v>232</v>
      </c>
      <c r="P72" s="2" t="s">
        <v>822</v>
      </c>
      <c r="Q72" s="2" t="s">
        <v>45</v>
      </c>
      <c r="R72" s="2" t="s">
        <v>70</v>
      </c>
      <c r="S72" s="2" t="n">
        <v>1</v>
      </c>
      <c r="T72" s="2" t="s">
        <v>61</v>
      </c>
      <c r="U72" s="2"/>
      <c r="V72" s="2" t="s">
        <v>215</v>
      </c>
      <c r="W72" s="2" t="s">
        <v>47</v>
      </c>
      <c r="X72" s="2" t="n">
        <v>2662</v>
      </c>
      <c r="Y72" s="2" t="n">
        <v>33</v>
      </c>
      <c r="Z72" s="2" t="n">
        <v>104</v>
      </c>
      <c r="AA72" s="2" t="n">
        <v>201</v>
      </c>
      <c r="AB72" s="2" t="s">
        <v>1514</v>
      </c>
      <c r="AC72" s="2"/>
      <c r="AD72" s="2" t="s">
        <v>1238</v>
      </c>
      <c r="AE72" s="2" t="s">
        <v>692</v>
      </c>
      <c r="AF72" s="2" t="s">
        <v>212</v>
      </c>
      <c r="AG72" s="2" t="s">
        <v>1239</v>
      </c>
      <c r="AH72" s="2" t="s">
        <v>348</v>
      </c>
      <c r="AI72" s="2" t="s">
        <v>1515</v>
      </c>
      <c r="AJ72" s="2" t="s">
        <v>1516</v>
      </c>
      <c r="AK72" s="2" t="s">
        <v>1242</v>
      </c>
      <c r="AL72" s="2" t="s">
        <v>1243</v>
      </c>
      <c r="AM72" s="2"/>
      <c r="AN72" s="2"/>
      <c r="AO72" s="2"/>
      <c r="AP72" s="2"/>
      <c r="AQ72" s="2"/>
      <c r="AR72" s="2"/>
    </row>
    <row r="73" customFormat="false" ht="23.85" hidden="false" customHeight="false" outlineLevel="0" collapsed="false">
      <c r="A73" s="2" t="n">
        <v>72</v>
      </c>
      <c r="B73" s="2" t="s">
        <v>1296</v>
      </c>
      <c r="C73" s="2" t="s">
        <v>686</v>
      </c>
      <c r="D73" s="2" t="s">
        <v>34</v>
      </c>
      <c r="E73" s="2" t="s">
        <v>1098</v>
      </c>
      <c r="F73" s="2" t="s">
        <v>1099</v>
      </c>
      <c r="G73" s="2" t="s">
        <v>810</v>
      </c>
      <c r="H73" s="2" t="s">
        <v>42</v>
      </c>
      <c r="I73" s="2" t="s">
        <v>1108</v>
      </c>
      <c r="J73" s="2" t="s">
        <v>811</v>
      </c>
      <c r="K73" s="2" t="s">
        <v>43</v>
      </c>
      <c r="L73" s="2" t="s">
        <v>1124</v>
      </c>
      <c r="M73" s="2" t="s">
        <v>43</v>
      </c>
      <c r="N73" s="2" t="s">
        <v>812</v>
      </c>
      <c r="O73" s="2" t="s">
        <v>243</v>
      </c>
      <c r="P73" s="2" t="s">
        <v>823</v>
      </c>
      <c r="Q73" s="2" t="s">
        <v>45</v>
      </c>
      <c r="R73" s="2" t="s">
        <v>96</v>
      </c>
      <c r="S73" s="2" t="n">
        <v>1</v>
      </c>
      <c r="T73" s="2" t="s">
        <v>61</v>
      </c>
      <c r="U73" s="2"/>
      <c r="V73" s="2" t="s">
        <v>215</v>
      </c>
      <c r="W73" s="2" t="s">
        <v>47</v>
      </c>
      <c r="X73" s="2" t="n">
        <v>2233</v>
      </c>
      <c r="Y73" s="2" t="n">
        <v>0</v>
      </c>
      <c r="Z73" s="2" t="n">
        <v>166</v>
      </c>
      <c r="AA73" s="2" t="n">
        <v>177</v>
      </c>
      <c r="AB73" s="2" t="s">
        <v>1517</v>
      </c>
      <c r="AC73" s="2"/>
      <c r="AD73" s="2" t="s">
        <v>1238</v>
      </c>
      <c r="AE73" s="2" t="s">
        <v>692</v>
      </c>
      <c r="AF73" s="2" t="s">
        <v>212</v>
      </c>
      <c r="AG73" s="2" t="s">
        <v>1239</v>
      </c>
      <c r="AH73" s="2" t="s">
        <v>349</v>
      </c>
      <c r="AI73" s="2" t="s">
        <v>1518</v>
      </c>
      <c r="AJ73" s="2" t="s">
        <v>1519</v>
      </c>
      <c r="AK73" s="2" t="s">
        <v>1242</v>
      </c>
      <c r="AL73" s="2" t="s">
        <v>1243</v>
      </c>
      <c r="AM73" s="2"/>
      <c r="AN73" s="2"/>
      <c r="AO73" s="2"/>
      <c r="AP73" s="2"/>
      <c r="AQ73" s="2"/>
      <c r="AR73" s="2"/>
    </row>
    <row r="74" customFormat="false" ht="23.85" hidden="false" customHeight="false" outlineLevel="0" collapsed="false">
      <c r="A74" s="2" t="n">
        <v>73</v>
      </c>
      <c r="B74" s="2" t="s">
        <v>1520</v>
      </c>
      <c r="C74" s="2" t="s">
        <v>686</v>
      </c>
      <c r="D74" s="2" t="s">
        <v>34</v>
      </c>
      <c r="E74" s="2" t="s">
        <v>1098</v>
      </c>
      <c r="F74" s="2" t="s">
        <v>1099</v>
      </c>
      <c r="G74" s="2" t="s">
        <v>810</v>
      </c>
      <c r="H74" s="2" t="s">
        <v>42</v>
      </c>
      <c r="I74" s="2" t="s">
        <v>1108</v>
      </c>
      <c r="J74" s="2" t="s">
        <v>811</v>
      </c>
      <c r="K74" s="2" t="s">
        <v>43</v>
      </c>
      <c r="L74" s="2" t="s">
        <v>1124</v>
      </c>
      <c r="M74" s="2" t="s">
        <v>43</v>
      </c>
      <c r="N74" s="2" t="s">
        <v>812</v>
      </c>
      <c r="O74" s="2" t="s">
        <v>351</v>
      </c>
      <c r="P74" s="2" t="s">
        <v>824</v>
      </c>
      <c r="Q74" s="2" t="s">
        <v>69</v>
      </c>
      <c r="R74" s="2" t="s">
        <v>110</v>
      </c>
      <c r="S74" s="2" t="n">
        <v>2</v>
      </c>
      <c r="T74" s="2" t="s">
        <v>41</v>
      </c>
      <c r="U74" s="2"/>
      <c r="V74" s="2" t="s">
        <v>215</v>
      </c>
      <c r="W74" s="2" t="s">
        <v>40</v>
      </c>
      <c r="X74" s="2" t="n">
        <v>1528</v>
      </c>
      <c r="Y74" s="2" t="n">
        <v>210</v>
      </c>
      <c r="Z74" s="2" t="n">
        <v>64</v>
      </c>
      <c r="AA74" s="2" t="n">
        <v>53</v>
      </c>
      <c r="AB74" s="2" t="s">
        <v>1521</v>
      </c>
      <c r="AC74" s="2"/>
      <c r="AD74" s="2" t="s">
        <v>1238</v>
      </c>
      <c r="AE74" s="2" t="s">
        <v>692</v>
      </c>
      <c r="AF74" s="2" t="s">
        <v>212</v>
      </c>
      <c r="AG74" s="2" t="s">
        <v>1239</v>
      </c>
      <c r="AH74" s="2" t="s">
        <v>350</v>
      </c>
      <c r="AI74" s="2" t="s">
        <v>1522</v>
      </c>
      <c r="AJ74" s="2" t="s">
        <v>1523</v>
      </c>
      <c r="AK74" s="2" t="s">
        <v>1242</v>
      </c>
      <c r="AL74" s="2" t="s">
        <v>1243</v>
      </c>
      <c r="AM74" s="2"/>
      <c r="AN74" s="2"/>
      <c r="AO74" s="2"/>
      <c r="AP74" s="2"/>
      <c r="AQ74" s="2"/>
      <c r="AR74" s="2"/>
    </row>
    <row r="75" customFormat="false" ht="23.85" hidden="false" customHeight="false" outlineLevel="0" collapsed="false">
      <c r="A75" s="2" t="n">
        <v>74</v>
      </c>
      <c r="B75" s="2" t="s">
        <v>1524</v>
      </c>
      <c r="C75" s="2" t="s">
        <v>686</v>
      </c>
      <c r="D75" s="2" t="s">
        <v>34</v>
      </c>
      <c r="E75" s="2" t="s">
        <v>1098</v>
      </c>
      <c r="F75" s="2" t="s">
        <v>1099</v>
      </c>
      <c r="G75" s="2" t="s">
        <v>810</v>
      </c>
      <c r="H75" s="2" t="s">
        <v>42</v>
      </c>
      <c r="I75" s="2" t="s">
        <v>1108</v>
      </c>
      <c r="J75" s="2" t="s">
        <v>811</v>
      </c>
      <c r="K75" s="2" t="s">
        <v>43</v>
      </c>
      <c r="L75" s="2" t="s">
        <v>1124</v>
      </c>
      <c r="M75" s="2" t="s">
        <v>43</v>
      </c>
      <c r="N75" s="2" t="s">
        <v>812</v>
      </c>
      <c r="O75" s="2" t="s">
        <v>353</v>
      </c>
      <c r="P75" s="2" t="s">
        <v>827</v>
      </c>
      <c r="Q75" s="2" t="s">
        <v>45</v>
      </c>
      <c r="R75" s="2" t="s">
        <v>51</v>
      </c>
      <c r="S75" s="2" t="n">
        <v>3</v>
      </c>
      <c r="T75" s="2" t="s">
        <v>41</v>
      </c>
      <c r="U75" s="2"/>
      <c r="V75" s="2" t="s">
        <v>215</v>
      </c>
      <c r="W75" s="2" t="s">
        <v>40</v>
      </c>
      <c r="X75" s="2" t="n">
        <v>1818</v>
      </c>
      <c r="Y75" s="2" t="n">
        <v>56</v>
      </c>
      <c r="Z75" s="2" t="n">
        <v>59</v>
      </c>
      <c r="AA75" s="2" t="n">
        <v>88</v>
      </c>
      <c r="AB75" s="2" t="s">
        <v>1525</v>
      </c>
      <c r="AC75" s="2"/>
      <c r="AD75" s="2" t="s">
        <v>1238</v>
      </c>
      <c r="AE75" s="2" t="s">
        <v>692</v>
      </c>
      <c r="AF75" s="2" t="s">
        <v>212</v>
      </c>
      <c r="AG75" s="2" t="s">
        <v>1239</v>
      </c>
      <c r="AH75" s="2" t="s">
        <v>352</v>
      </c>
      <c r="AI75" s="2" t="s">
        <v>1526</v>
      </c>
      <c r="AJ75" s="2" t="s">
        <v>1527</v>
      </c>
      <c r="AK75" s="2" t="s">
        <v>1242</v>
      </c>
      <c r="AL75" s="2" t="s">
        <v>1243</v>
      </c>
      <c r="AM75" s="2"/>
      <c r="AN75" s="2"/>
      <c r="AO75" s="2"/>
      <c r="AP75" s="2"/>
      <c r="AQ75" s="2"/>
      <c r="AR75" s="2"/>
    </row>
    <row r="76" customFormat="false" ht="23.85" hidden="false" customHeight="false" outlineLevel="0" collapsed="false">
      <c r="A76" s="2" t="n">
        <v>75</v>
      </c>
      <c r="B76" s="2" t="s">
        <v>1328</v>
      </c>
      <c r="C76" s="2" t="s">
        <v>686</v>
      </c>
      <c r="D76" s="2" t="s">
        <v>34</v>
      </c>
      <c r="E76" s="2" t="s">
        <v>1098</v>
      </c>
      <c r="F76" s="2" t="s">
        <v>1099</v>
      </c>
      <c r="G76" s="2" t="s">
        <v>810</v>
      </c>
      <c r="H76" s="2" t="s">
        <v>42</v>
      </c>
      <c r="I76" s="2" t="s">
        <v>1108</v>
      </c>
      <c r="J76" s="2" t="s">
        <v>811</v>
      </c>
      <c r="K76" s="2" t="s">
        <v>43</v>
      </c>
      <c r="L76" s="2" t="s">
        <v>1124</v>
      </c>
      <c r="M76" s="2" t="s">
        <v>43</v>
      </c>
      <c r="N76" s="2" t="s">
        <v>812</v>
      </c>
      <c r="O76" s="2" t="s">
        <v>259</v>
      </c>
      <c r="P76" s="2" t="s">
        <v>829</v>
      </c>
      <c r="Q76" s="2" t="s">
        <v>38</v>
      </c>
      <c r="R76" s="2" t="s">
        <v>87</v>
      </c>
      <c r="S76" s="2" t="n">
        <v>1</v>
      </c>
      <c r="T76" s="2" t="s">
        <v>61</v>
      </c>
      <c r="U76" s="2"/>
      <c r="V76" s="2" t="s">
        <v>215</v>
      </c>
      <c r="W76" s="2" t="s">
        <v>47</v>
      </c>
      <c r="X76" s="2" t="n">
        <v>1811</v>
      </c>
      <c r="Y76" s="2" t="n">
        <v>44</v>
      </c>
      <c r="Z76" s="2" t="n">
        <v>41</v>
      </c>
      <c r="AA76" s="2" t="n">
        <v>43</v>
      </c>
      <c r="AB76" s="2" t="s">
        <v>1528</v>
      </c>
      <c r="AC76" s="2"/>
      <c r="AD76" s="2" t="s">
        <v>1238</v>
      </c>
      <c r="AE76" s="2" t="s">
        <v>692</v>
      </c>
      <c r="AF76" s="2" t="s">
        <v>212</v>
      </c>
      <c r="AG76" s="2" t="s">
        <v>1239</v>
      </c>
      <c r="AH76" s="2" t="s">
        <v>354</v>
      </c>
      <c r="AI76" s="2" t="s">
        <v>1529</v>
      </c>
      <c r="AJ76" s="2" t="s">
        <v>1530</v>
      </c>
      <c r="AK76" s="2" t="s">
        <v>1242</v>
      </c>
      <c r="AL76" s="2" t="s">
        <v>1243</v>
      </c>
      <c r="AM76" s="2"/>
      <c r="AN76" s="2"/>
      <c r="AO76" s="2"/>
      <c r="AP76" s="2"/>
      <c r="AQ76" s="2"/>
      <c r="AR76" s="2"/>
    </row>
    <row r="77" customFormat="false" ht="23.85" hidden="false" customHeight="false" outlineLevel="0" collapsed="false">
      <c r="A77" s="2" t="n">
        <v>76</v>
      </c>
      <c r="B77" s="2" t="s">
        <v>1531</v>
      </c>
      <c r="C77" s="2" t="s">
        <v>686</v>
      </c>
      <c r="D77" s="2" t="s">
        <v>34</v>
      </c>
      <c r="E77" s="2" t="s">
        <v>1098</v>
      </c>
      <c r="F77" s="2" t="s">
        <v>1099</v>
      </c>
      <c r="G77" s="2" t="s">
        <v>810</v>
      </c>
      <c r="H77" s="2" t="s">
        <v>42</v>
      </c>
      <c r="I77" s="2" t="s">
        <v>1108</v>
      </c>
      <c r="J77" s="2" t="s">
        <v>811</v>
      </c>
      <c r="K77" s="2" t="s">
        <v>43</v>
      </c>
      <c r="L77" s="2" t="s">
        <v>1124</v>
      </c>
      <c r="M77" s="2" t="s">
        <v>43</v>
      </c>
      <c r="N77" s="2" t="s">
        <v>812</v>
      </c>
      <c r="O77" s="2" t="s">
        <v>356</v>
      </c>
      <c r="P77" s="2" t="s">
        <v>830</v>
      </c>
      <c r="Q77" s="2" t="s">
        <v>38</v>
      </c>
      <c r="R77" s="2" t="s">
        <v>80</v>
      </c>
      <c r="S77" s="2" t="n">
        <v>1</v>
      </c>
      <c r="T77" s="2" t="s">
        <v>61</v>
      </c>
      <c r="U77" s="2"/>
      <c r="V77" s="2" t="s">
        <v>215</v>
      </c>
      <c r="W77" s="2" t="s">
        <v>40</v>
      </c>
      <c r="X77" s="2" t="n">
        <v>1788</v>
      </c>
      <c r="Y77" s="2" t="n">
        <v>39</v>
      </c>
      <c r="Z77" s="2" t="n">
        <v>33</v>
      </c>
      <c r="AA77" s="2" t="n">
        <v>35</v>
      </c>
      <c r="AB77" s="2" t="s">
        <v>1532</v>
      </c>
      <c r="AC77" s="2"/>
      <c r="AD77" s="2" t="s">
        <v>1238</v>
      </c>
      <c r="AE77" s="2" t="s">
        <v>692</v>
      </c>
      <c r="AF77" s="2" t="s">
        <v>212</v>
      </c>
      <c r="AG77" s="2" t="s">
        <v>1239</v>
      </c>
      <c r="AH77" s="2" t="s">
        <v>355</v>
      </c>
      <c r="AI77" s="2" t="s">
        <v>1533</v>
      </c>
      <c r="AJ77" s="2" t="s">
        <v>1534</v>
      </c>
      <c r="AK77" s="2" t="s">
        <v>1242</v>
      </c>
      <c r="AL77" s="2" t="s">
        <v>1243</v>
      </c>
      <c r="AM77" s="2"/>
      <c r="AN77" s="2"/>
      <c r="AO77" s="2"/>
      <c r="AP77" s="2"/>
      <c r="AQ77" s="2"/>
      <c r="AR77" s="2"/>
    </row>
    <row r="78" customFormat="false" ht="23.85" hidden="false" customHeight="false" outlineLevel="0" collapsed="false">
      <c r="A78" s="2" t="n">
        <v>77</v>
      </c>
      <c r="B78" s="2" t="s">
        <v>1332</v>
      </c>
      <c r="C78" s="2" t="s">
        <v>686</v>
      </c>
      <c r="D78" s="2" t="s">
        <v>34</v>
      </c>
      <c r="E78" s="2" t="s">
        <v>1098</v>
      </c>
      <c r="F78" s="2" t="s">
        <v>1099</v>
      </c>
      <c r="G78" s="2" t="s">
        <v>810</v>
      </c>
      <c r="H78" s="2" t="s">
        <v>42</v>
      </c>
      <c r="I78" s="2" t="s">
        <v>1108</v>
      </c>
      <c r="J78" s="2" t="s">
        <v>811</v>
      </c>
      <c r="K78" s="2" t="s">
        <v>43</v>
      </c>
      <c r="L78" s="2" t="s">
        <v>1124</v>
      </c>
      <c r="M78" s="2" t="s">
        <v>43</v>
      </c>
      <c r="N78" s="2" t="s">
        <v>812</v>
      </c>
      <c r="O78" s="2" t="s">
        <v>261</v>
      </c>
      <c r="P78" s="2" t="s">
        <v>832</v>
      </c>
      <c r="Q78" s="2" t="s">
        <v>38</v>
      </c>
      <c r="R78" s="2" t="s">
        <v>86</v>
      </c>
      <c r="S78" s="2" t="n">
        <v>1</v>
      </c>
      <c r="T78" s="2" t="s">
        <v>61</v>
      </c>
      <c r="U78" s="2"/>
      <c r="V78" s="2" t="s">
        <v>215</v>
      </c>
      <c r="W78" s="2" t="s">
        <v>47</v>
      </c>
      <c r="X78" s="2" t="n">
        <v>1478</v>
      </c>
      <c r="Y78" s="2" t="n">
        <v>57</v>
      </c>
      <c r="Z78" s="2" t="n">
        <v>56</v>
      </c>
      <c r="AA78" s="2" t="n">
        <v>60</v>
      </c>
      <c r="AB78" s="2" t="s">
        <v>1535</v>
      </c>
      <c r="AC78" s="2"/>
      <c r="AD78" s="2" t="s">
        <v>1238</v>
      </c>
      <c r="AE78" s="2" t="s">
        <v>692</v>
      </c>
      <c r="AF78" s="2" t="s">
        <v>212</v>
      </c>
      <c r="AG78" s="2" t="s">
        <v>1239</v>
      </c>
      <c r="AH78" s="2" t="s">
        <v>357</v>
      </c>
      <c r="AI78" s="2" t="s">
        <v>1536</v>
      </c>
      <c r="AJ78" s="2" t="s">
        <v>1537</v>
      </c>
      <c r="AK78" s="2" t="s">
        <v>1242</v>
      </c>
      <c r="AL78" s="2" t="s">
        <v>1243</v>
      </c>
      <c r="AM78" s="2"/>
      <c r="AN78" s="2"/>
      <c r="AO78" s="2"/>
      <c r="AP78" s="2"/>
      <c r="AQ78" s="2"/>
      <c r="AR78" s="2"/>
    </row>
    <row r="79" customFormat="false" ht="23.85" hidden="false" customHeight="false" outlineLevel="0" collapsed="false">
      <c r="A79" s="2" t="n">
        <v>78</v>
      </c>
      <c r="B79" s="2" t="s">
        <v>1538</v>
      </c>
      <c r="C79" s="2" t="s">
        <v>686</v>
      </c>
      <c r="D79" s="2" t="s">
        <v>34</v>
      </c>
      <c r="E79" s="2" t="s">
        <v>1098</v>
      </c>
      <c r="F79" s="2" t="s">
        <v>1099</v>
      </c>
      <c r="G79" s="2" t="s">
        <v>810</v>
      </c>
      <c r="H79" s="2" t="s">
        <v>42</v>
      </c>
      <c r="I79" s="2" t="s">
        <v>1108</v>
      </c>
      <c r="J79" s="2" t="s">
        <v>811</v>
      </c>
      <c r="K79" s="2" t="s">
        <v>43</v>
      </c>
      <c r="L79" s="2" t="s">
        <v>1124</v>
      </c>
      <c r="M79" s="2" t="s">
        <v>43</v>
      </c>
      <c r="N79" s="2" t="s">
        <v>812</v>
      </c>
      <c r="O79" s="2" t="s">
        <v>359</v>
      </c>
      <c r="P79" s="2" t="s">
        <v>834</v>
      </c>
      <c r="Q79" s="2" t="s">
        <v>75</v>
      </c>
      <c r="R79" s="2" t="s">
        <v>140</v>
      </c>
      <c r="S79" s="2" t="n">
        <v>1</v>
      </c>
      <c r="T79" s="2" t="s">
        <v>61</v>
      </c>
      <c r="U79" s="2"/>
      <c r="V79" s="2" t="s">
        <v>230</v>
      </c>
      <c r="W79" s="2" t="s">
        <v>40</v>
      </c>
      <c r="X79" s="2" t="n">
        <v>1542</v>
      </c>
      <c r="Y79" s="2" t="n">
        <v>255</v>
      </c>
      <c r="Z79" s="2" t="n">
        <v>234</v>
      </c>
      <c r="AA79" s="2" t="n">
        <v>12</v>
      </c>
      <c r="AB79" s="2" t="s">
        <v>1539</v>
      </c>
      <c r="AC79" s="2"/>
      <c r="AD79" s="2" t="s">
        <v>1238</v>
      </c>
      <c r="AE79" s="2" t="s">
        <v>692</v>
      </c>
      <c r="AF79" s="2" t="s">
        <v>212</v>
      </c>
      <c r="AG79" s="2" t="s">
        <v>1239</v>
      </c>
      <c r="AH79" s="2" t="s">
        <v>358</v>
      </c>
      <c r="AI79" s="2" t="s">
        <v>1540</v>
      </c>
      <c r="AJ79" s="2" t="s">
        <v>1541</v>
      </c>
      <c r="AK79" s="2" t="s">
        <v>1242</v>
      </c>
      <c r="AL79" s="2" t="s">
        <v>1243</v>
      </c>
      <c r="AM79" s="2"/>
      <c r="AN79" s="2"/>
      <c r="AO79" s="2"/>
      <c r="AP79" s="2"/>
      <c r="AQ79" s="2"/>
      <c r="AR79" s="2"/>
    </row>
    <row r="80" customFormat="false" ht="23.85" hidden="false" customHeight="false" outlineLevel="0" collapsed="false">
      <c r="A80" s="2" t="n">
        <v>79</v>
      </c>
      <c r="B80" s="2" t="s">
        <v>1542</v>
      </c>
      <c r="C80" s="2" t="s">
        <v>686</v>
      </c>
      <c r="D80" s="2" t="s">
        <v>34</v>
      </c>
      <c r="E80" s="2" t="s">
        <v>1098</v>
      </c>
      <c r="F80" s="2" t="s">
        <v>1099</v>
      </c>
      <c r="G80" s="2" t="s">
        <v>810</v>
      </c>
      <c r="H80" s="2" t="s">
        <v>42</v>
      </c>
      <c r="I80" s="2" t="s">
        <v>1108</v>
      </c>
      <c r="J80" s="2" t="s">
        <v>811</v>
      </c>
      <c r="K80" s="2" t="s">
        <v>43</v>
      </c>
      <c r="L80" s="2" t="s">
        <v>1124</v>
      </c>
      <c r="M80" s="2" t="s">
        <v>43</v>
      </c>
      <c r="N80" s="2" t="s">
        <v>812</v>
      </c>
      <c r="O80" s="2" t="s">
        <v>361</v>
      </c>
      <c r="P80" s="2" t="s">
        <v>835</v>
      </c>
      <c r="Q80" s="2" t="s">
        <v>71</v>
      </c>
      <c r="R80" s="2" t="s">
        <v>128</v>
      </c>
      <c r="S80" s="2" t="n">
        <v>1</v>
      </c>
      <c r="T80" s="2" t="s">
        <v>61</v>
      </c>
      <c r="U80" s="2"/>
      <c r="V80" s="2" t="s">
        <v>215</v>
      </c>
      <c r="W80" s="2" t="s">
        <v>54</v>
      </c>
      <c r="X80" s="2" t="n">
        <v>1594</v>
      </c>
      <c r="Y80" s="2" t="n">
        <v>115</v>
      </c>
      <c r="Z80" s="2" t="n">
        <v>57</v>
      </c>
      <c r="AA80" s="2" t="n">
        <v>152</v>
      </c>
      <c r="AB80" s="2" t="s">
        <v>1543</v>
      </c>
      <c r="AC80" s="2"/>
      <c r="AD80" s="2" t="s">
        <v>1238</v>
      </c>
      <c r="AE80" s="2" t="s">
        <v>692</v>
      </c>
      <c r="AF80" s="2" t="s">
        <v>212</v>
      </c>
      <c r="AG80" s="2" t="s">
        <v>1239</v>
      </c>
      <c r="AH80" s="2" t="s">
        <v>360</v>
      </c>
      <c r="AI80" s="2" t="s">
        <v>1544</v>
      </c>
      <c r="AJ80" s="2" t="s">
        <v>1545</v>
      </c>
      <c r="AK80" s="2" t="s">
        <v>1242</v>
      </c>
      <c r="AL80" s="2" t="s">
        <v>1243</v>
      </c>
      <c r="AM80" s="2"/>
      <c r="AN80" s="2"/>
      <c r="AO80" s="2"/>
      <c r="AP80" s="2"/>
      <c r="AQ80" s="2"/>
      <c r="AR80" s="2"/>
    </row>
    <row r="81" customFormat="false" ht="23.85" hidden="false" customHeight="false" outlineLevel="0" collapsed="false">
      <c r="A81" s="2" t="n">
        <v>80</v>
      </c>
      <c r="B81" s="2" t="s">
        <v>1546</v>
      </c>
      <c r="C81" s="2" t="s">
        <v>686</v>
      </c>
      <c r="D81" s="2" t="s">
        <v>34</v>
      </c>
      <c r="E81" s="2" t="s">
        <v>1098</v>
      </c>
      <c r="F81" s="2" t="s">
        <v>1099</v>
      </c>
      <c r="G81" s="2" t="s">
        <v>810</v>
      </c>
      <c r="H81" s="2" t="s">
        <v>42</v>
      </c>
      <c r="I81" s="2" t="s">
        <v>1108</v>
      </c>
      <c r="J81" s="2" t="s">
        <v>811</v>
      </c>
      <c r="K81" s="2" t="s">
        <v>43</v>
      </c>
      <c r="L81" s="2" t="s">
        <v>1124</v>
      </c>
      <c r="M81" s="2" t="s">
        <v>43</v>
      </c>
      <c r="N81" s="2" t="s">
        <v>812</v>
      </c>
      <c r="O81" s="2" t="s">
        <v>363</v>
      </c>
      <c r="P81" s="2" t="s">
        <v>837</v>
      </c>
      <c r="Q81" s="2" t="s">
        <v>69</v>
      </c>
      <c r="R81" s="2" t="s">
        <v>111</v>
      </c>
      <c r="S81" s="2" t="n">
        <v>2</v>
      </c>
      <c r="T81" s="2" t="s">
        <v>41</v>
      </c>
      <c r="U81" s="2"/>
      <c r="V81" s="2" t="s">
        <v>233</v>
      </c>
      <c r="W81" s="2" t="s">
        <v>60</v>
      </c>
      <c r="X81" s="2" t="n">
        <v>1618</v>
      </c>
      <c r="Y81" s="2" t="n">
        <v>119</v>
      </c>
      <c r="Z81" s="2" t="n">
        <v>50</v>
      </c>
      <c r="AA81" s="2" t="n">
        <v>117</v>
      </c>
      <c r="AB81" s="2" t="s">
        <v>1547</v>
      </c>
      <c r="AC81" s="2"/>
      <c r="AD81" s="2" t="s">
        <v>1238</v>
      </c>
      <c r="AE81" s="2" t="s">
        <v>692</v>
      </c>
      <c r="AF81" s="2" t="s">
        <v>212</v>
      </c>
      <c r="AG81" s="2" t="s">
        <v>1239</v>
      </c>
      <c r="AH81" s="2" t="s">
        <v>362</v>
      </c>
      <c r="AI81" s="2" t="s">
        <v>1548</v>
      </c>
      <c r="AJ81" s="2" t="s">
        <v>1549</v>
      </c>
      <c r="AK81" s="2" t="s">
        <v>1242</v>
      </c>
      <c r="AL81" s="2" t="s">
        <v>1243</v>
      </c>
      <c r="AM81" s="2"/>
      <c r="AN81" s="2"/>
      <c r="AO81" s="2"/>
      <c r="AP81" s="2"/>
      <c r="AQ81" s="2"/>
      <c r="AR81" s="2"/>
    </row>
    <row r="82" customFormat="false" ht="23.85" hidden="false" customHeight="false" outlineLevel="0" collapsed="false">
      <c r="A82" s="2" t="n">
        <v>81</v>
      </c>
      <c r="B82" s="2" t="s">
        <v>1550</v>
      </c>
      <c r="C82" s="2" t="s">
        <v>686</v>
      </c>
      <c r="D82" s="2" t="s">
        <v>34</v>
      </c>
      <c r="E82" s="2" t="s">
        <v>1098</v>
      </c>
      <c r="F82" s="2" t="s">
        <v>1099</v>
      </c>
      <c r="G82" s="2" t="s">
        <v>810</v>
      </c>
      <c r="H82" s="2" t="s">
        <v>42</v>
      </c>
      <c r="I82" s="2" t="s">
        <v>1108</v>
      </c>
      <c r="J82" s="2" t="s">
        <v>811</v>
      </c>
      <c r="K82" s="2" t="s">
        <v>43</v>
      </c>
      <c r="L82" s="2" t="s">
        <v>1124</v>
      </c>
      <c r="M82" s="2" t="s">
        <v>43</v>
      </c>
      <c r="N82" s="2" t="s">
        <v>812</v>
      </c>
      <c r="O82" s="2" t="s">
        <v>365</v>
      </c>
      <c r="P82" s="2" t="s">
        <v>840</v>
      </c>
      <c r="Q82" s="2" t="s">
        <v>75</v>
      </c>
      <c r="R82" s="2" t="s">
        <v>101</v>
      </c>
      <c r="S82" s="2" t="n">
        <v>2</v>
      </c>
      <c r="T82" s="2" t="s">
        <v>41</v>
      </c>
      <c r="U82" s="2"/>
      <c r="V82" s="2" t="s">
        <v>230</v>
      </c>
      <c r="W82" s="2" t="s">
        <v>40</v>
      </c>
      <c r="X82" s="2" t="n">
        <v>1545</v>
      </c>
      <c r="Y82" s="2" t="n">
        <v>255</v>
      </c>
      <c r="Z82" s="2" t="n">
        <v>120</v>
      </c>
      <c r="AA82" s="2" t="n">
        <v>28</v>
      </c>
      <c r="AB82" s="2" t="s">
        <v>1551</v>
      </c>
      <c r="AC82" s="2"/>
      <c r="AD82" s="2" t="s">
        <v>1238</v>
      </c>
      <c r="AE82" s="2" t="s">
        <v>692</v>
      </c>
      <c r="AF82" s="2" t="s">
        <v>212</v>
      </c>
      <c r="AG82" s="2" t="s">
        <v>1239</v>
      </c>
      <c r="AH82" s="2" t="s">
        <v>364</v>
      </c>
      <c r="AI82" s="2" t="s">
        <v>1552</v>
      </c>
      <c r="AJ82" s="2" t="s">
        <v>1553</v>
      </c>
      <c r="AK82" s="2" t="s">
        <v>1242</v>
      </c>
      <c r="AL82" s="2" t="s">
        <v>1243</v>
      </c>
      <c r="AM82" s="2"/>
      <c r="AN82" s="2"/>
      <c r="AO82" s="2"/>
      <c r="AP82" s="2"/>
      <c r="AQ82" s="2"/>
      <c r="AR82" s="2"/>
    </row>
    <row r="83" customFormat="false" ht="23.85" hidden="false" customHeight="false" outlineLevel="0" collapsed="false">
      <c r="A83" s="2" t="n">
        <v>82</v>
      </c>
      <c r="B83" s="2" t="s">
        <v>1344</v>
      </c>
      <c r="C83" s="2" t="s">
        <v>686</v>
      </c>
      <c r="D83" s="2" t="s">
        <v>34</v>
      </c>
      <c r="E83" s="2" t="s">
        <v>1098</v>
      </c>
      <c r="F83" s="2" t="s">
        <v>1099</v>
      </c>
      <c r="G83" s="2" t="s">
        <v>810</v>
      </c>
      <c r="H83" s="2" t="s">
        <v>42</v>
      </c>
      <c r="I83" s="2" t="s">
        <v>1108</v>
      </c>
      <c r="J83" s="2" t="s">
        <v>811</v>
      </c>
      <c r="K83" s="2" t="s">
        <v>43</v>
      </c>
      <c r="L83" s="2" t="s">
        <v>1124</v>
      </c>
      <c r="M83" s="2" t="s">
        <v>43</v>
      </c>
      <c r="N83" s="2" t="s">
        <v>812</v>
      </c>
      <c r="O83" s="2" t="s">
        <v>267</v>
      </c>
      <c r="P83" s="2" t="s">
        <v>841</v>
      </c>
      <c r="Q83" s="2" t="s">
        <v>75</v>
      </c>
      <c r="R83" s="2" t="s">
        <v>88</v>
      </c>
      <c r="S83" s="2" t="n">
        <v>1</v>
      </c>
      <c r="T83" s="2" t="s">
        <v>61</v>
      </c>
      <c r="U83" s="2"/>
      <c r="V83" s="2" t="s">
        <v>215</v>
      </c>
      <c r="W83" s="2" t="s">
        <v>47</v>
      </c>
      <c r="X83" s="2" t="n">
        <v>1509</v>
      </c>
      <c r="Y83" s="2" t="n">
        <v>223</v>
      </c>
      <c r="Z83" s="2" t="n">
        <v>154</v>
      </c>
      <c r="AA83" s="2" t="n">
        <v>72</v>
      </c>
      <c r="AB83" s="2" t="s">
        <v>1554</v>
      </c>
      <c r="AC83" s="2"/>
      <c r="AD83" s="2" t="s">
        <v>1238</v>
      </c>
      <c r="AE83" s="2" t="s">
        <v>692</v>
      </c>
      <c r="AF83" s="2" t="s">
        <v>212</v>
      </c>
      <c r="AG83" s="2" t="s">
        <v>1239</v>
      </c>
      <c r="AH83" s="2" t="s">
        <v>366</v>
      </c>
      <c r="AI83" s="2" t="s">
        <v>1555</v>
      </c>
      <c r="AJ83" s="2" t="s">
        <v>1556</v>
      </c>
      <c r="AK83" s="2" t="s">
        <v>1242</v>
      </c>
      <c r="AL83" s="2" t="s">
        <v>1243</v>
      </c>
      <c r="AM83" s="2"/>
      <c r="AN83" s="2"/>
      <c r="AO83" s="2"/>
      <c r="AP83" s="2"/>
      <c r="AQ83" s="2"/>
      <c r="AR83" s="2"/>
    </row>
    <row r="84" customFormat="false" ht="23.85" hidden="false" customHeight="false" outlineLevel="0" collapsed="false">
      <c r="A84" s="2" t="n">
        <v>83</v>
      </c>
      <c r="B84" s="2" t="s">
        <v>1557</v>
      </c>
      <c r="C84" s="2" t="s">
        <v>686</v>
      </c>
      <c r="D84" s="2" t="s">
        <v>34</v>
      </c>
      <c r="E84" s="2" t="s">
        <v>1098</v>
      </c>
      <c r="F84" s="2" t="s">
        <v>1099</v>
      </c>
      <c r="G84" s="2" t="s">
        <v>810</v>
      </c>
      <c r="H84" s="2" t="s">
        <v>42</v>
      </c>
      <c r="I84" s="2" t="s">
        <v>1108</v>
      </c>
      <c r="J84" s="2" t="s">
        <v>811</v>
      </c>
      <c r="K84" s="2" t="s">
        <v>43</v>
      </c>
      <c r="L84" s="2" t="s">
        <v>1124</v>
      </c>
      <c r="M84" s="2" t="s">
        <v>43</v>
      </c>
      <c r="N84" s="2" t="s">
        <v>812</v>
      </c>
      <c r="O84" s="2" t="s">
        <v>368</v>
      </c>
      <c r="P84" s="2" t="s">
        <v>842</v>
      </c>
      <c r="Q84" s="2" t="s">
        <v>66</v>
      </c>
      <c r="R84" s="2" t="s">
        <v>145</v>
      </c>
      <c r="S84" s="2" t="n">
        <v>2</v>
      </c>
      <c r="T84" s="2" t="s">
        <v>41</v>
      </c>
      <c r="U84" s="2"/>
      <c r="V84" s="2" t="s">
        <v>230</v>
      </c>
      <c r="W84" s="2" t="s">
        <v>40</v>
      </c>
      <c r="X84" s="2" t="n">
        <v>1710</v>
      </c>
      <c r="Y84" s="2" t="n">
        <v>237</v>
      </c>
      <c r="Z84" s="2" t="n">
        <v>96</v>
      </c>
      <c r="AA84" s="2" t="n">
        <v>47</v>
      </c>
      <c r="AB84" s="2" t="s">
        <v>1558</v>
      </c>
      <c r="AC84" s="2"/>
      <c r="AD84" s="2" t="s">
        <v>1238</v>
      </c>
      <c r="AE84" s="2" t="s">
        <v>692</v>
      </c>
      <c r="AF84" s="2" t="s">
        <v>212</v>
      </c>
      <c r="AG84" s="2" t="s">
        <v>1239</v>
      </c>
      <c r="AH84" s="2" t="s">
        <v>367</v>
      </c>
      <c r="AI84" s="2" t="s">
        <v>1559</v>
      </c>
      <c r="AJ84" s="2" t="s">
        <v>1560</v>
      </c>
      <c r="AK84" s="2" t="s">
        <v>1242</v>
      </c>
      <c r="AL84" s="2" t="s">
        <v>1243</v>
      </c>
      <c r="AM84" s="2"/>
      <c r="AN84" s="2"/>
      <c r="AO84" s="2"/>
      <c r="AP84" s="2"/>
      <c r="AQ84" s="2"/>
      <c r="AR84" s="2"/>
    </row>
    <row r="85" customFormat="false" ht="23.85" hidden="false" customHeight="false" outlineLevel="0" collapsed="false">
      <c r="A85" s="2" t="n">
        <v>84</v>
      </c>
      <c r="B85" s="2" t="s">
        <v>1356</v>
      </c>
      <c r="C85" s="2" t="s">
        <v>686</v>
      </c>
      <c r="D85" s="2" t="s">
        <v>34</v>
      </c>
      <c r="E85" s="2" t="s">
        <v>1098</v>
      </c>
      <c r="F85" s="2" t="s">
        <v>1099</v>
      </c>
      <c r="G85" s="2" t="s">
        <v>810</v>
      </c>
      <c r="H85" s="2" t="s">
        <v>42</v>
      </c>
      <c r="I85" s="2" t="s">
        <v>1108</v>
      </c>
      <c r="J85" s="2" t="s">
        <v>811</v>
      </c>
      <c r="K85" s="2" t="s">
        <v>43</v>
      </c>
      <c r="L85" s="2" t="s">
        <v>1124</v>
      </c>
      <c r="M85" s="2" t="s">
        <v>43</v>
      </c>
      <c r="N85" s="2" t="s">
        <v>812</v>
      </c>
      <c r="O85" s="2" t="s">
        <v>273</v>
      </c>
      <c r="P85" s="2" t="s">
        <v>844</v>
      </c>
      <c r="Q85" s="2" t="s">
        <v>58</v>
      </c>
      <c r="R85" s="2" t="s">
        <v>91</v>
      </c>
      <c r="S85" s="2" t="n">
        <v>1</v>
      </c>
      <c r="T85" s="2" t="s">
        <v>61</v>
      </c>
      <c r="U85" s="2"/>
      <c r="V85" s="2" t="s">
        <v>215</v>
      </c>
      <c r="W85" s="2" t="s">
        <v>40</v>
      </c>
      <c r="X85" s="2" t="n">
        <v>2178</v>
      </c>
      <c r="Y85" s="2" t="n">
        <v>78</v>
      </c>
      <c r="Z85" s="2" t="n">
        <v>107</v>
      </c>
      <c r="AA85" s="2" t="n">
        <v>82</v>
      </c>
      <c r="AB85" s="2" t="s">
        <v>1561</v>
      </c>
      <c r="AC85" s="2"/>
      <c r="AD85" s="2" t="s">
        <v>1238</v>
      </c>
      <c r="AE85" s="2" t="s">
        <v>692</v>
      </c>
      <c r="AF85" s="2" t="s">
        <v>212</v>
      </c>
      <c r="AG85" s="2" t="s">
        <v>1239</v>
      </c>
      <c r="AH85" s="2" t="s">
        <v>369</v>
      </c>
      <c r="AI85" s="2" t="s">
        <v>1562</v>
      </c>
      <c r="AJ85" s="2" t="s">
        <v>1563</v>
      </c>
      <c r="AK85" s="2" t="s">
        <v>1242</v>
      </c>
      <c r="AL85" s="2" t="s">
        <v>1243</v>
      </c>
      <c r="AM85" s="2"/>
      <c r="AN85" s="2"/>
      <c r="AO85" s="2"/>
      <c r="AP85" s="2"/>
      <c r="AQ85" s="2"/>
      <c r="AR85" s="2"/>
    </row>
    <row r="86" customFormat="false" ht="23.85" hidden="false" customHeight="false" outlineLevel="0" collapsed="false">
      <c r="A86" s="2" t="n">
        <v>85</v>
      </c>
      <c r="B86" s="2" t="s">
        <v>1564</v>
      </c>
      <c r="C86" s="2" t="s">
        <v>686</v>
      </c>
      <c r="D86" s="2" t="s">
        <v>34</v>
      </c>
      <c r="E86" s="2" t="s">
        <v>1098</v>
      </c>
      <c r="F86" s="2" t="s">
        <v>1099</v>
      </c>
      <c r="G86" s="2" t="s">
        <v>810</v>
      </c>
      <c r="H86" s="2" t="s">
        <v>42</v>
      </c>
      <c r="I86" s="2" t="s">
        <v>1108</v>
      </c>
      <c r="J86" s="2" t="s">
        <v>811</v>
      </c>
      <c r="K86" s="2" t="s">
        <v>43</v>
      </c>
      <c r="L86" s="2" t="s">
        <v>1124</v>
      </c>
      <c r="M86" s="2" t="s">
        <v>43</v>
      </c>
      <c r="N86" s="2" t="s">
        <v>812</v>
      </c>
      <c r="O86" s="2" t="s">
        <v>275</v>
      </c>
      <c r="P86" s="2" t="s">
        <v>845</v>
      </c>
      <c r="Q86" s="2" t="s">
        <v>69</v>
      </c>
      <c r="R86" s="2" t="s">
        <v>112</v>
      </c>
      <c r="S86" s="2" t="n">
        <v>1</v>
      </c>
      <c r="T86" s="2" t="s">
        <v>61</v>
      </c>
      <c r="U86" s="2"/>
      <c r="V86" s="2" t="s">
        <v>230</v>
      </c>
      <c r="W86" s="2" t="s">
        <v>40</v>
      </c>
      <c r="X86" s="2" t="n">
        <v>1489</v>
      </c>
      <c r="Y86" s="2" t="n">
        <v>156</v>
      </c>
      <c r="Z86" s="2" t="n">
        <v>44</v>
      </c>
      <c r="AA86" s="2" t="n">
        <v>60</v>
      </c>
      <c r="AB86" s="2" t="s">
        <v>1565</v>
      </c>
      <c r="AC86" s="2"/>
      <c r="AD86" s="2" t="s">
        <v>1238</v>
      </c>
      <c r="AE86" s="2" t="s">
        <v>692</v>
      </c>
      <c r="AF86" s="2" t="s">
        <v>212</v>
      </c>
      <c r="AG86" s="2" t="s">
        <v>1239</v>
      </c>
      <c r="AH86" s="2" t="s">
        <v>370</v>
      </c>
      <c r="AI86" s="2" t="s">
        <v>1566</v>
      </c>
      <c r="AJ86" s="2" t="s">
        <v>1567</v>
      </c>
      <c r="AK86" s="2" t="s">
        <v>1242</v>
      </c>
      <c r="AL86" s="2" t="s">
        <v>1243</v>
      </c>
      <c r="AM86" s="2"/>
      <c r="AN86" s="2"/>
      <c r="AO86" s="2"/>
      <c r="AP86" s="2"/>
      <c r="AQ86" s="2"/>
      <c r="AR86" s="2"/>
    </row>
    <row r="87" customFormat="false" ht="23.85" hidden="false" customHeight="false" outlineLevel="0" collapsed="false">
      <c r="A87" s="2" t="n">
        <v>86</v>
      </c>
      <c r="B87" s="2" t="s">
        <v>1568</v>
      </c>
      <c r="C87" s="2" t="s">
        <v>686</v>
      </c>
      <c r="D87" s="2" t="s">
        <v>34</v>
      </c>
      <c r="E87" s="2" t="s">
        <v>1098</v>
      </c>
      <c r="F87" s="2" t="s">
        <v>1099</v>
      </c>
      <c r="G87" s="2" t="s">
        <v>810</v>
      </c>
      <c r="H87" s="2" t="s">
        <v>42</v>
      </c>
      <c r="I87" s="2" t="s">
        <v>1108</v>
      </c>
      <c r="J87" s="2" t="s">
        <v>811</v>
      </c>
      <c r="K87" s="2" t="s">
        <v>43</v>
      </c>
      <c r="L87" s="2" t="s">
        <v>1124</v>
      </c>
      <c r="M87" s="2" t="s">
        <v>43</v>
      </c>
      <c r="N87" s="2" t="s">
        <v>812</v>
      </c>
      <c r="O87" s="2" t="s">
        <v>372</v>
      </c>
      <c r="P87" s="2" t="s">
        <v>847</v>
      </c>
      <c r="Q87" s="2" t="s">
        <v>71</v>
      </c>
      <c r="R87" s="2" t="s">
        <v>127</v>
      </c>
      <c r="S87" s="2" t="n">
        <v>1</v>
      </c>
      <c r="T87" s="2" t="s">
        <v>61</v>
      </c>
      <c r="U87" s="2"/>
      <c r="V87" s="2" t="s">
        <v>215</v>
      </c>
      <c r="W87" s="2" t="s">
        <v>40</v>
      </c>
      <c r="X87" s="2" t="n">
        <v>1469</v>
      </c>
      <c r="Y87" s="2" t="n">
        <v>76</v>
      </c>
      <c r="Z87" s="2" t="n">
        <v>53</v>
      </c>
      <c r="AA87" s="2" t="n">
        <v>66</v>
      </c>
      <c r="AB87" s="2" t="s">
        <v>1569</v>
      </c>
      <c r="AC87" s="2"/>
      <c r="AD87" s="2" t="s">
        <v>1238</v>
      </c>
      <c r="AE87" s="2" t="s">
        <v>692</v>
      </c>
      <c r="AF87" s="2" t="s">
        <v>212</v>
      </c>
      <c r="AG87" s="2" t="s">
        <v>1239</v>
      </c>
      <c r="AH87" s="2" t="s">
        <v>371</v>
      </c>
      <c r="AI87" s="2" t="s">
        <v>1570</v>
      </c>
      <c r="AJ87" s="2" t="s">
        <v>1571</v>
      </c>
      <c r="AK87" s="2" t="s">
        <v>1242</v>
      </c>
      <c r="AL87" s="2" t="s">
        <v>1243</v>
      </c>
      <c r="AM87" s="2"/>
      <c r="AN87" s="2"/>
      <c r="AO87" s="2"/>
      <c r="AP87" s="2"/>
      <c r="AQ87" s="2"/>
      <c r="AR87" s="2"/>
    </row>
    <row r="88" customFormat="false" ht="23.85" hidden="false" customHeight="false" outlineLevel="0" collapsed="false">
      <c r="A88" s="2" t="n">
        <v>87</v>
      </c>
      <c r="B88" s="2" t="s">
        <v>1572</v>
      </c>
      <c r="C88" s="2" t="s">
        <v>686</v>
      </c>
      <c r="D88" s="2" t="s">
        <v>34</v>
      </c>
      <c r="E88" s="2" t="s">
        <v>1098</v>
      </c>
      <c r="F88" s="2" t="s">
        <v>1099</v>
      </c>
      <c r="G88" s="2" t="s">
        <v>810</v>
      </c>
      <c r="H88" s="2" t="s">
        <v>42</v>
      </c>
      <c r="I88" s="2" t="s">
        <v>1108</v>
      </c>
      <c r="J88" s="2" t="s">
        <v>811</v>
      </c>
      <c r="K88" s="2" t="s">
        <v>43</v>
      </c>
      <c r="L88" s="2" t="s">
        <v>1124</v>
      </c>
      <c r="M88" s="2" t="s">
        <v>43</v>
      </c>
      <c r="N88" s="2" t="s">
        <v>812</v>
      </c>
      <c r="O88" s="2" t="s">
        <v>374</v>
      </c>
      <c r="P88" s="2" t="s">
        <v>849</v>
      </c>
      <c r="Q88" s="2" t="s">
        <v>69</v>
      </c>
      <c r="R88" s="2" t="s">
        <v>124</v>
      </c>
      <c r="S88" s="2" t="n">
        <v>1</v>
      </c>
      <c r="T88" s="2" t="s">
        <v>61</v>
      </c>
      <c r="U88" s="2"/>
      <c r="V88" s="2" t="s">
        <v>215</v>
      </c>
      <c r="W88" s="2" t="s">
        <v>40</v>
      </c>
      <c r="X88" s="2" t="n">
        <v>1759</v>
      </c>
      <c r="Y88" s="2" t="n">
        <v>157</v>
      </c>
      <c r="Z88" s="2" t="n">
        <v>49</v>
      </c>
      <c r="AA88" s="2" t="n">
        <v>67</v>
      </c>
      <c r="AB88" s="2" t="s">
        <v>1573</v>
      </c>
      <c r="AC88" s="2"/>
      <c r="AD88" s="2" t="s">
        <v>1238</v>
      </c>
      <c r="AE88" s="2" t="s">
        <v>692</v>
      </c>
      <c r="AF88" s="2" t="s">
        <v>212</v>
      </c>
      <c r="AG88" s="2" t="s">
        <v>1239</v>
      </c>
      <c r="AH88" s="2" t="s">
        <v>373</v>
      </c>
      <c r="AI88" s="2" t="s">
        <v>1574</v>
      </c>
      <c r="AJ88" s="2" t="s">
        <v>1575</v>
      </c>
      <c r="AK88" s="2" t="s">
        <v>1242</v>
      </c>
      <c r="AL88" s="2" t="s">
        <v>1243</v>
      </c>
      <c r="AM88" s="2"/>
      <c r="AN88" s="2"/>
      <c r="AO88" s="2"/>
      <c r="AP88" s="2"/>
      <c r="AQ88" s="2"/>
      <c r="AR88" s="2"/>
    </row>
    <row r="89" customFormat="false" ht="23.85" hidden="false" customHeight="false" outlineLevel="0" collapsed="false">
      <c r="A89" s="2" t="n">
        <v>88</v>
      </c>
      <c r="B89" s="2" t="s">
        <v>1372</v>
      </c>
      <c r="C89" s="2" t="s">
        <v>686</v>
      </c>
      <c r="D89" s="2" t="s">
        <v>34</v>
      </c>
      <c r="E89" s="2" t="s">
        <v>1098</v>
      </c>
      <c r="F89" s="2" t="s">
        <v>1099</v>
      </c>
      <c r="G89" s="2" t="s">
        <v>810</v>
      </c>
      <c r="H89" s="2" t="s">
        <v>42</v>
      </c>
      <c r="I89" s="2" t="s">
        <v>1108</v>
      </c>
      <c r="J89" s="2" t="s">
        <v>811</v>
      </c>
      <c r="K89" s="2" t="s">
        <v>43</v>
      </c>
      <c r="L89" s="2" t="s">
        <v>1124</v>
      </c>
      <c r="M89" s="2" t="s">
        <v>43</v>
      </c>
      <c r="N89" s="2" t="s">
        <v>812</v>
      </c>
      <c r="O89" s="2" t="s">
        <v>281</v>
      </c>
      <c r="P89" s="2" t="s">
        <v>850</v>
      </c>
      <c r="Q89" s="2" t="s">
        <v>38</v>
      </c>
      <c r="R89" s="2" t="s">
        <v>84</v>
      </c>
      <c r="S89" s="2" t="n">
        <v>1</v>
      </c>
      <c r="T89" s="2" t="s">
        <v>61</v>
      </c>
      <c r="U89" s="2"/>
      <c r="V89" s="2" t="s">
        <v>215</v>
      </c>
      <c r="W89" s="2" t="s">
        <v>40</v>
      </c>
      <c r="X89" s="2" t="n">
        <v>1405</v>
      </c>
      <c r="Y89" s="2" t="n">
        <v>59</v>
      </c>
      <c r="Z89" s="2" t="n">
        <v>54</v>
      </c>
      <c r="AA89" s="2" t="n">
        <v>53</v>
      </c>
      <c r="AB89" s="2" t="s">
        <v>1576</v>
      </c>
      <c r="AC89" s="2"/>
      <c r="AD89" s="2" t="s">
        <v>1238</v>
      </c>
      <c r="AE89" s="2" t="s">
        <v>692</v>
      </c>
      <c r="AF89" s="2" t="s">
        <v>212</v>
      </c>
      <c r="AG89" s="2" t="s">
        <v>1239</v>
      </c>
      <c r="AH89" s="2" t="s">
        <v>375</v>
      </c>
      <c r="AI89" s="2" t="s">
        <v>1577</v>
      </c>
      <c r="AJ89" s="2" t="s">
        <v>1578</v>
      </c>
      <c r="AK89" s="2" t="s">
        <v>1242</v>
      </c>
      <c r="AL89" s="2" t="s">
        <v>1243</v>
      </c>
      <c r="AM89" s="2"/>
      <c r="AN89" s="2"/>
      <c r="AO89" s="2"/>
      <c r="AP89" s="2"/>
      <c r="AQ89" s="2"/>
      <c r="AR89" s="2"/>
    </row>
    <row r="90" customFormat="false" ht="23.85" hidden="false" customHeight="false" outlineLevel="0" collapsed="false">
      <c r="A90" s="2" t="n">
        <v>89</v>
      </c>
      <c r="B90" s="2" t="s">
        <v>1579</v>
      </c>
      <c r="C90" s="2" t="s">
        <v>686</v>
      </c>
      <c r="D90" s="2" t="s">
        <v>34</v>
      </c>
      <c r="E90" s="2" t="s">
        <v>1098</v>
      </c>
      <c r="F90" s="2" t="s">
        <v>1099</v>
      </c>
      <c r="G90" s="2" t="s">
        <v>810</v>
      </c>
      <c r="H90" s="2" t="s">
        <v>42</v>
      </c>
      <c r="I90" s="2" t="s">
        <v>1108</v>
      </c>
      <c r="J90" s="2" t="s">
        <v>811</v>
      </c>
      <c r="K90" s="2" t="s">
        <v>43</v>
      </c>
      <c r="L90" s="2" t="s">
        <v>1124</v>
      </c>
      <c r="M90" s="2" t="s">
        <v>43</v>
      </c>
      <c r="N90" s="2" t="s">
        <v>812</v>
      </c>
      <c r="O90" s="2" t="s">
        <v>377</v>
      </c>
      <c r="P90" s="2" t="s">
        <v>851</v>
      </c>
      <c r="Q90" s="2" t="s">
        <v>69</v>
      </c>
      <c r="R90" s="2" t="s">
        <v>114</v>
      </c>
      <c r="S90" s="2" t="n">
        <v>1</v>
      </c>
      <c r="T90" s="2" t="s">
        <v>61</v>
      </c>
      <c r="U90" s="2"/>
      <c r="V90" s="2" t="s">
        <v>215</v>
      </c>
      <c r="W90" s="2" t="s">
        <v>40</v>
      </c>
      <c r="X90" s="2" t="n">
        <v>1421</v>
      </c>
      <c r="Y90" s="2" t="n">
        <v>125</v>
      </c>
      <c r="Z90" s="2" t="n">
        <v>54</v>
      </c>
      <c r="AA90" s="2" t="n">
        <v>69</v>
      </c>
      <c r="AB90" s="2" t="s">
        <v>1580</v>
      </c>
      <c r="AC90" s="2"/>
      <c r="AD90" s="2" t="s">
        <v>1238</v>
      </c>
      <c r="AE90" s="2" t="s">
        <v>692</v>
      </c>
      <c r="AF90" s="2" t="s">
        <v>212</v>
      </c>
      <c r="AG90" s="2" t="s">
        <v>1239</v>
      </c>
      <c r="AH90" s="2" t="s">
        <v>376</v>
      </c>
      <c r="AI90" s="2" t="s">
        <v>1581</v>
      </c>
      <c r="AJ90" s="2" t="s">
        <v>1582</v>
      </c>
      <c r="AK90" s="2" t="s">
        <v>1242</v>
      </c>
      <c r="AL90" s="2" t="s">
        <v>1243</v>
      </c>
      <c r="AM90" s="2"/>
      <c r="AN90" s="2"/>
      <c r="AO90" s="2"/>
      <c r="AP90" s="2"/>
      <c r="AQ90" s="2"/>
      <c r="AR90" s="2"/>
    </row>
    <row r="91" customFormat="false" ht="23.85" hidden="false" customHeight="false" outlineLevel="0" collapsed="false">
      <c r="A91" s="2" t="n">
        <v>90</v>
      </c>
      <c r="B91" s="2" t="s">
        <v>1583</v>
      </c>
      <c r="C91" s="2" t="s">
        <v>686</v>
      </c>
      <c r="D91" s="2" t="s">
        <v>34</v>
      </c>
      <c r="E91" s="2" t="s">
        <v>1098</v>
      </c>
      <c r="F91" s="2" t="s">
        <v>1099</v>
      </c>
      <c r="G91" s="2" t="s">
        <v>810</v>
      </c>
      <c r="H91" s="2" t="s">
        <v>42</v>
      </c>
      <c r="I91" s="2" t="s">
        <v>1108</v>
      </c>
      <c r="J91" s="2" t="s">
        <v>811</v>
      </c>
      <c r="K91" s="2" t="s">
        <v>43</v>
      </c>
      <c r="L91" s="2" t="s">
        <v>1124</v>
      </c>
      <c r="M91" s="2" t="s">
        <v>43</v>
      </c>
      <c r="N91" s="2" t="s">
        <v>812</v>
      </c>
      <c r="O91" s="2" t="s">
        <v>379</v>
      </c>
      <c r="P91" s="2" t="s">
        <v>853</v>
      </c>
      <c r="Q91" s="2" t="s">
        <v>75</v>
      </c>
      <c r="R91" s="2" t="s">
        <v>145</v>
      </c>
      <c r="S91" s="2" t="n">
        <v>1</v>
      </c>
      <c r="T91" s="2" t="s">
        <v>61</v>
      </c>
      <c r="U91" s="2"/>
      <c r="V91" s="2" t="s">
        <v>230</v>
      </c>
      <c r="W91" s="2" t="s">
        <v>40</v>
      </c>
      <c r="X91" s="2" t="n">
        <v>1495</v>
      </c>
      <c r="Y91" s="2" t="n">
        <v>255</v>
      </c>
      <c r="Z91" s="2" t="n">
        <v>179</v>
      </c>
      <c r="AA91" s="2" t="n">
        <v>0</v>
      </c>
      <c r="AB91" s="2" t="s">
        <v>1584</v>
      </c>
      <c r="AC91" s="2"/>
      <c r="AD91" s="2" t="s">
        <v>1238</v>
      </c>
      <c r="AE91" s="2" t="s">
        <v>692</v>
      </c>
      <c r="AF91" s="2" t="s">
        <v>212</v>
      </c>
      <c r="AG91" s="2" t="s">
        <v>1239</v>
      </c>
      <c r="AH91" s="2" t="s">
        <v>378</v>
      </c>
      <c r="AI91" s="2" t="s">
        <v>1585</v>
      </c>
      <c r="AJ91" s="2" t="s">
        <v>1586</v>
      </c>
      <c r="AK91" s="2" t="s">
        <v>1242</v>
      </c>
      <c r="AL91" s="2" t="s">
        <v>1243</v>
      </c>
      <c r="AM91" s="2"/>
      <c r="AN91" s="2"/>
      <c r="AO91" s="2"/>
      <c r="AP91" s="2"/>
      <c r="AQ91" s="2"/>
      <c r="AR91" s="2"/>
    </row>
    <row r="92" customFormat="false" ht="23.85" hidden="false" customHeight="false" outlineLevel="0" collapsed="false">
      <c r="A92" s="2" t="n">
        <v>91</v>
      </c>
      <c r="B92" s="2" t="s">
        <v>1587</v>
      </c>
      <c r="C92" s="2" t="s">
        <v>686</v>
      </c>
      <c r="D92" s="2" t="s">
        <v>34</v>
      </c>
      <c r="E92" s="2" t="s">
        <v>1098</v>
      </c>
      <c r="F92" s="2" t="s">
        <v>1099</v>
      </c>
      <c r="G92" s="2" t="s">
        <v>810</v>
      </c>
      <c r="H92" s="2" t="s">
        <v>42</v>
      </c>
      <c r="I92" s="2" t="s">
        <v>1108</v>
      </c>
      <c r="J92" s="2" t="s">
        <v>811</v>
      </c>
      <c r="K92" s="2" t="s">
        <v>43</v>
      </c>
      <c r="L92" s="2" t="s">
        <v>1124</v>
      </c>
      <c r="M92" s="2" t="s">
        <v>43</v>
      </c>
      <c r="N92" s="2" t="s">
        <v>812</v>
      </c>
      <c r="O92" s="2" t="s">
        <v>381</v>
      </c>
      <c r="P92" s="2" t="s">
        <v>854</v>
      </c>
      <c r="Q92" s="2" t="s">
        <v>73</v>
      </c>
      <c r="R92" s="2" t="s">
        <v>131</v>
      </c>
      <c r="S92" s="2" t="n">
        <v>1</v>
      </c>
      <c r="T92" s="2" t="s">
        <v>61</v>
      </c>
      <c r="U92" s="2"/>
      <c r="V92" s="2" t="s">
        <v>215</v>
      </c>
      <c r="W92" s="2" t="s">
        <v>40</v>
      </c>
      <c r="X92" s="2" t="n">
        <v>2350</v>
      </c>
      <c r="Y92" s="2" t="n">
        <v>255</v>
      </c>
      <c r="Z92" s="2" t="n">
        <v>245</v>
      </c>
      <c r="AA92" s="2" t="n">
        <v>251</v>
      </c>
      <c r="AB92" s="2" t="s">
        <v>1588</v>
      </c>
      <c r="AC92" s="2"/>
      <c r="AD92" s="2" t="s">
        <v>1238</v>
      </c>
      <c r="AE92" s="2" t="s">
        <v>692</v>
      </c>
      <c r="AF92" s="2" t="s">
        <v>212</v>
      </c>
      <c r="AG92" s="2" t="s">
        <v>1239</v>
      </c>
      <c r="AH92" s="2" t="s">
        <v>380</v>
      </c>
      <c r="AI92" s="2" t="s">
        <v>1589</v>
      </c>
      <c r="AJ92" s="2" t="s">
        <v>1590</v>
      </c>
      <c r="AK92" s="2" t="s">
        <v>1242</v>
      </c>
      <c r="AL92" s="2" t="s">
        <v>1243</v>
      </c>
      <c r="AM92" s="2"/>
      <c r="AN92" s="2"/>
      <c r="AO92" s="2"/>
      <c r="AP92" s="2"/>
      <c r="AQ92" s="2"/>
      <c r="AR92" s="2"/>
    </row>
    <row r="93" customFormat="false" ht="23.85" hidden="false" customHeight="false" outlineLevel="0" collapsed="false">
      <c r="A93" s="2" t="n">
        <v>92</v>
      </c>
      <c r="B93" s="2" t="s">
        <v>1591</v>
      </c>
      <c r="C93" s="2" t="s">
        <v>686</v>
      </c>
      <c r="D93" s="2" t="s">
        <v>34</v>
      </c>
      <c r="E93" s="2" t="s">
        <v>1098</v>
      </c>
      <c r="F93" s="2" t="s">
        <v>1099</v>
      </c>
      <c r="G93" s="2" t="s">
        <v>810</v>
      </c>
      <c r="H93" s="2" t="s">
        <v>42</v>
      </c>
      <c r="I93" s="2" t="s">
        <v>1108</v>
      </c>
      <c r="J93" s="2" t="s">
        <v>811</v>
      </c>
      <c r="K93" s="2" t="s">
        <v>43</v>
      </c>
      <c r="L93" s="2" t="s">
        <v>1124</v>
      </c>
      <c r="M93" s="2" t="s">
        <v>43</v>
      </c>
      <c r="N93" s="2" t="s">
        <v>812</v>
      </c>
      <c r="O93" s="2" t="s">
        <v>383</v>
      </c>
      <c r="P93" s="2" t="s">
        <v>855</v>
      </c>
      <c r="Q93" s="2" t="s">
        <v>45</v>
      </c>
      <c r="R93" s="2" t="s">
        <v>51</v>
      </c>
      <c r="S93" s="2" t="n">
        <v>1</v>
      </c>
      <c r="T93" s="2" t="s">
        <v>61</v>
      </c>
      <c r="U93" s="2"/>
      <c r="V93" s="2" t="s">
        <v>215</v>
      </c>
      <c r="W93" s="2" t="s">
        <v>40</v>
      </c>
      <c r="X93" s="2" t="n">
        <v>1841</v>
      </c>
      <c r="Y93" s="2" t="n">
        <v>0</v>
      </c>
      <c r="Z93" s="2" t="n">
        <v>128</v>
      </c>
      <c r="AA93" s="2" t="n">
        <v>203</v>
      </c>
      <c r="AB93" s="2" t="s">
        <v>1592</v>
      </c>
      <c r="AC93" s="2"/>
      <c r="AD93" s="2" t="s">
        <v>1238</v>
      </c>
      <c r="AE93" s="2" t="s">
        <v>692</v>
      </c>
      <c r="AF93" s="2" t="s">
        <v>212</v>
      </c>
      <c r="AG93" s="2" t="s">
        <v>1239</v>
      </c>
      <c r="AH93" s="2" t="s">
        <v>382</v>
      </c>
      <c r="AI93" s="2" t="s">
        <v>1593</v>
      </c>
      <c r="AJ93" s="2" t="s">
        <v>1594</v>
      </c>
      <c r="AK93" s="2" t="s">
        <v>1242</v>
      </c>
      <c r="AL93" s="2" t="s">
        <v>1243</v>
      </c>
      <c r="AM93" s="2"/>
      <c r="AN93" s="2"/>
      <c r="AO93" s="2"/>
      <c r="AP93" s="2"/>
      <c r="AQ93" s="2"/>
      <c r="AR93" s="2"/>
    </row>
    <row r="94" customFormat="false" ht="23.85" hidden="false" customHeight="false" outlineLevel="0" collapsed="false">
      <c r="A94" s="2" t="n">
        <v>93</v>
      </c>
      <c r="B94" s="2" t="s">
        <v>1595</v>
      </c>
      <c r="C94" s="2" t="s">
        <v>686</v>
      </c>
      <c r="D94" s="2" t="s">
        <v>34</v>
      </c>
      <c r="E94" s="2" t="s">
        <v>1098</v>
      </c>
      <c r="F94" s="2" t="s">
        <v>1099</v>
      </c>
      <c r="G94" s="2" t="s">
        <v>810</v>
      </c>
      <c r="H94" s="2" t="s">
        <v>42</v>
      </c>
      <c r="I94" s="2" t="s">
        <v>1108</v>
      </c>
      <c r="J94" s="2" t="s">
        <v>811</v>
      </c>
      <c r="K94" s="2" t="s">
        <v>43</v>
      </c>
      <c r="L94" s="2" t="s">
        <v>1124</v>
      </c>
      <c r="M94" s="2" t="s">
        <v>43</v>
      </c>
      <c r="N94" s="2" t="s">
        <v>812</v>
      </c>
      <c r="O94" s="2" t="s">
        <v>385</v>
      </c>
      <c r="P94" s="2" t="s">
        <v>856</v>
      </c>
      <c r="Q94" s="2" t="s">
        <v>69</v>
      </c>
      <c r="R94" s="2" t="s">
        <v>110</v>
      </c>
      <c r="S94" s="2" t="n">
        <v>1</v>
      </c>
      <c r="T94" s="2" t="s">
        <v>61</v>
      </c>
      <c r="U94" s="2"/>
      <c r="V94" s="2" t="s">
        <v>230</v>
      </c>
      <c r="W94" s="2" t="s">
        <v>54</v>
      </c>
      <c r="X94" s="2" t="n">
        <v>1540</v>
      </c>
      <c r="Y94" s="2" t="n">
        <v>196</v>
      </c>
      <c r="Z94" s="2" t="n">
        <v>10</v>
      </c>
      <c r="AA94" s="2" t="n">
        <v>73</v>
      </c>
      <c r="AB94" s="2" t="s">
        <v>1596</v>
      </c>
      <c r="AC94" s="2"/>
      <c r="AD94" s="2" t="s">
        <v>1238</v>
      </c>
      <c r="AE94" s="2" t="s">
        <v>692</v>
      </c>
      <c r="AF94" s="2" t="s">
        <v>212</v>
      </c>
      <c r="AG94" s="2" t="s">
        <v>1239</v>
      </c>
      <c r="AH94" s="2" t="s">
        <v>384</v>
      </c>
      <c r="AI94" s="2" t="s">
        <v>1597</v>
      </c>
      <c r="AJ94" s="2" t="s">
        <v>1598</v>
      </c>
      <c r="AK94" s="2" t="s">
        <v>1242</v>
      </c>
      <c r="AL94" s="2" t="s">
        <v>1243</v>
      </c>
      <c r="AM94" s="2"/>
      <c r="AN94" s="2"/>
      <c r="AO94" s="2"/>
      <c r="AP94" s="2"/>
      <c r="AQ94" s="2"/>
      <c r="AR94" s="2"/>
    </row>
    <row r="95" customFormat="false" ht="23.85" hidden="false" customHeight="false" outlineLevel="0" collapsed="false">
      <c r="A95" s="2" t="n">
        <v>94</v>
      </c>
      <c r="B95" s="2" t="s">
        <v>1599</v>
      </c>
      <c r="C95" s="2" t="s">
        <v>686</v>
      </c>
      <c r="D95" s="2" t="s">
        <v>34</v>
      </c>
      <c r="E95" s="2" t="s">
        <v>1098</v>
      </c>
      <c r="F95" s="2" t="s">
        <v>1099</v>
      </c>
      <c r="G95" s="2" t="s">
        <v>810</v>
      </c>
      <c r="H95" s="2" t="s">
        <v>42</v>
      </c>
      <c r="I95" s="2" t="s">
        <v>1108</v>
      </c>
      <c r="J95" s="2" t="s">
        <v>811</v>
      </c>
      <c r="K95" s="2" t="s">
        <v>43</v>
      </c>
      <c r="L95" s="2" t="s">
        <v>1124</v>
      </c>
      <c r="M95" s="2" t="s">
        <v>43</v>
      </c>
      <c r="N95" s="2" t="s">
        <v>812</v>
      </c>
      <c r="O95" s="2" t="s">
        <v>387</v>
      </c>
      <c r="P95" s="2" t="s">
        <v>857</v>
      </c>
      <c r="Q95" s="2" t="s">
        <v>75</v>
      </c>
      <c r="R95" s="2" t="s">
        <v>147</v>
      </c>
      <c r="S95" s="2" t="n">
        <v>2</v>
      </c>
      <c r="T95" s="2" t="s">
        <v>41</v>
      </c>
      <c r="U95" s="2"/>
      <c r="V95" s="2" t="s">
        <v>230</v>
      </c>
      <c r="W95" s="2" t="s">
        <v>40</v>
      </c>
      <c r="X95" s="2" t="n">
        <v>1496</v>
      </c>
      <c r="Y95" s="2" t="n">
        <v>255</v>
      </c>
      <c r="Z95" s="2" t="n">
        <v>222</v>
      </c>
      <c r="AA95" s="2" t="n">
        <v>0</v>
      </c>
      <c r="AB95" s="2" t="s">
        <v>1257</v>
      </c>
      <c r="AC95" s="2"/>
      <c r="AD95" s="2" t="s">
        <v>1238</v>
      </c>
      <c r="AE95" s="2" t="s">
        <v>692</v>
      </c>
      <c r="AF95" s="2" t="s">
        <v>212</v>
      </c>
      <c r="AG95" s="2" t="s">
        <v>1239</v>
      </c>
      <c r="AH95" s="2" t="s">
        <v>386</v>
      </c>
      <c r="AI95" s="2" t="s">
        <v>1600</v>
      </c>
      <c r="AJ95" s="2" t="s">
        <v>1601</v>
      </c>
      <c r="AK95" s="2" t="s">
        <v>1242</v>
      </c>
      <c r="AL95" s="2" t="s">
        <v>1243</v>
      </c>
      <c r="AM95" s="2"/>
      <c r="AN95" s="2"/>
      <c r="AO95" s="2"/>
      <c r="AP95" s="2"/>
      <c r="AQ95" s="2"/>
      <c r="AR95" s="2"/>
    </row>
    <row r="96" customFormat="false" ht="23.85" hidden="false" customHeight="false" outlineLevel="0" collapsed="false">
      <c r="A96" s="2" t="n">
        <v>95</v>
      </c>
      <c r="B96" s="2" t="s">
        <v>1376</v>
      </c>
      <c r="C96" s="2" t="s">
        <v>686</v>
      </c>
      <c r="D96" s="2" t="s">
        <v>34</v>
      </c>
      <c r="E96" s="2" t="s">
        <v>1098</v>
      </c>
      <c r="F96" s="2" t="s">
        <v>1099</v>
      </c>
      <c r="G96" s="2" t="s">
        <v>810</v>
      </c>
      <c r="H96" s="2" t="s">
        <v>42</v>
      </c>
      <c r="I96" s="2" t="s">
        <v>1108</v>
      </c>
      <c r="J96" s="2" t="s">
        <v>811</v>
      </c>
      <c r="K96" s="2" t="s">
        <v>43</v>
      </c>
      <c r="L96" s="2" t="s">
        <v>1124</v>
      </c>
      <c r="M96" s="2" t="s">
        <v>43</v>
      </c>
      <c r="N96" s="2" t="s">
        <v>812</v>
      </c>
      <c r="O96" s="2" t="s">
        <v>283</v>
      </c>
      <c r="P96" s="2" t="s">
        <v>858</v>
      </c>
      <c r="Q96" s="2" t="s">
        <v>45</v>
      </c>
      <c r="R96" s="2" t="s">
        <v>68</v>
      </c>
      <c r="S96" s="2" t="n">
        <v>1</v>
      </c>
      <c r="T96" s="2" t="s">
        <v>61</v>
      </c>
      <c r="U96" s="2"/>
      <c r="V96" s="2" t="s">
        <v>215</v>
      </c>
      <c r="W96" s="2" t="s">
        <v>40</v>
      </c>
      <c r="X96" s="2" t="n">
        <v>1159</v>
      </c>
      <c r="Y96" s="2" t="n">
        <v>27</v>
      </c>
      <c r="Z96" s="2" t="n">
        <v>64</v>
      </c>
      <c r="AA96" s="2" t="n">
        <v>111</v>
      </c>
      <c r="AB96" s="2" t="s">
        <v>1602</v>
      </c>
      <c r="AC96" s="2"/>
      <c r="AD96" s="2" t="s">
        <v>1238</v>
      </c>
      <c r="AE96" s="2" t="s">
        <v>692</v>
      </c>
      <c r="AF96" s="2" t="s">
        <v>212</v>
      </c>
      <c r="AG96" s="2" t="s">
        <v>1239</v>
      </c>
      <c r="AH96" s="2" t="s">
        <v>388</v>
      </c>
      <c r="AI96" s="2" t="s">
        <v>1603</v>
      </c>
      <c r="AJ96" s="2" t="s">
        <v>1604</v>
      </c>
      <c r="AK96" s="2" t="s">
        <v>1242</v>
      </c>
      <c r="AL96" s="2" t="s">
        <v>1243</v>
      </c>
      <c r="AM96" s="2"/>
      <c r="AN96" s="2"/>
      <c r="AO96" s="2"/>
      <c r="AP96" s="2"/>
      <c r="AQ96" s="2"/>
      <c r="AR96" s="2"/>
    </row>
    <row r="97" customFormat="false" ht="23.85" hidden="false" customHeight="false" outlineLevel="0" collapsed="false">
      <c r="A97" s="2" t="n">
        <v>96</v>
      </c>
      <c r="B97" s="2" t="s">
        <v>1388</v>
      </c>
      <c r="C97" s="2" t="s">
        <v>686</v>
      </c>
      <c r="D97" s="2" t="s">
        <v>34</v>
      </c>
      <c r="E97" s="2" t="s">
        <v>1098</v>
      </c>
      <c r="F97" s="2" t="s">
        <v>1099</v>
      </c>
      <c r="G97" s="2" t="s">
        <v>810</v>
      </c>
      <c r="H97" s="2" t="s">
        <v>42</v>
      </c>
      <c r="I97" s="2" t="s">
        <v>1108</v>
      </c>
      <c r="J97" s="2" t="s">
        <v>811</v>
      </c>
      <c r="K97" s="2" t="s">
        <v>43</v>
      </c>
      <c r="L97" s="2" t="s">
        <v>1124</v>
      </c>
      <c r="M97" s="2" t="s">
        <v>43</v>
      </c>
      <c r="N97" s="2" t="s">
        <v>812</v>
      </c>
      <c r="O97" s="2" t="s">
        <v>289</v>
      </c>
      <c r="P97" s="2" t="s">
        <v>859</v>
      </c>
      <c r="Q97" s="2" t="s">
        <v>66</v>
      </c>
      <c r="R97" s="2" t="s">
        <v>142</v>
      </c>
      <c r="S97" s="2" t="n">
        <v>3</v>
      </c>
      <c r="T97" s="2" t="s">
        <v>41</v>
      </c>
      <c r="U97" s="2"/>
      <c r="V97" s="2" t="s">
        <v>215</v>
      </c>
      <c r="W97" s="2" t="s">
        <v>47</v>
      </c>
      <c r="X97" s="2" t="n">
        <v>1905</v>
      </c>
      <c r="Y97" s="2" t="n">
        <v>191</v>
      </c>
      <c r="Z97" s="2" t="n">
        <v>119</v>
      </c>
      <c r="AA97" s="2" t="n">
        <v>66</v>
      </c>
      <c r="AB97" s="2" t="s">
        <v>1605</v>
      </c>
      <c r="AC97" s="2"/>
      <c r="AD97" s="2" t="s">
        <v>1238</v>
      </c>
      <c r="AE97" s="2" t="s">
        <v>692</v>
      </c>
      <c r="AF97" s="2" t="s">
        <v>212</v>
      </c>
      <c r="AG97" s="2" t="s">
        <v>1239</v>
      </c>
      <c r="AH97" s="2" t="s">
        <v>389</v>
      </c>
      <c r="AI97" s="2" t="s">
        <v>1606</v>
      </c>
      <c r="AJ97" s="2" t="s">
        <v>1607</v>
      </c>
      <c r="AK97" s="2" t="s">
        <v>1242</v>
      </c>
      <c r="AL97" s="2" t="s">
        <v>1243</v>
      </c>
      <c r="AM97" s="2"/>
      <c r="AN97" s="2"/>
      <c r="AO97" s="2"/>
      <c r="AP97" s="2"/>
      <c r="AQ97" s="2"/>
      <c r="AR97" s="2"/>
    </row>
    <row r="98" customFormat="false" ht="23.85" hidden="false" customHeight="false" outlineLevel="0" collapsed="false">
      <c r="A98" s="2" t="n">
        <v>97</v>
      </c>
      <c r="B98" s="2" t="s">
        <v>1392</v>
      </c>
      <c r="C98" s="2" t="s">
        <v>686</v>
      </c>
      <c r="D98" s="2" t="s">
        <v>34</v>
      </c>
      <c r="E98" s="2" t="s">
        <v>1098</v>
      </c>
      <c r="F98" s="2" t="s">
        <v>1099</v>
      </c>
      <c r="G98" s="2" t="s">
        <v>810</v>
      </c>
      <c r="H98" s="2" t="s">
        <v>42</v>
      </c>
      <c r="I98" s="2" t="s">
        <v>1108</v>
      </c>
      <c r="J98" s="2" t="s">
        <v>811</v>
      </c>
      <c r="K98" s="2" t="s">
        <v>43</v>
      </c>
      <c r="L98" s="2" t="s">
        <v>1124</v>
      </c>
      <c r="M98" s="2" t="s">
        <v>43</v>
      </c>
      <c r="N98" s="2" t="s">
        <v>812</v>
      </c>
      <c r="O98" s="2" t="s">
        <v>291</v>
      </c>
      <c r="P98" s="2" t="s">
        <v>860</v>
      </c>
      <c r="Q98" s="2" t="s">
        <v>52</v>
      </c>
      <c r="R98" s="2" t="s">
        <v>142</v>
      </c>
      <c r="S98" s="2" t="n">
        <v>2</v>
      </c>
      <c r="T98" s="2" t="s">
        <v>41</v>
      </c>
      <c r="U98" s="2"/>
      <c r="V98" s="2" t="s">
        <v>215</v>
      </c>
      <c r="W98" s="2" t="s">
        <v>47</v>
      </c>
      <c r="X98" s="2" t="n">
        <v>1694</v>
      </c>
      <c r="Y98" s="2" t="n">
        <v>151</v>
      </c>
      <c r="Z98" s="2" t="n">
        <v>112</v>
      </c>
      <c r="AA98" s="2" t="n">
        <v>74</v>
      </c>
      <c r="AB98" s="2" t="s">
        <v>1608</v>
      </c>
      <c r="AC98" s="2"/>
      <c r="AD98" s="2" t="s">
        <v>1238</v>
      </c>
      <c r="AE98" s="2" t="s">
        <v>692</v>
      </c>
      <c r="AF98" s="2" t="s">
        <v>212</v>
      </c>
      <c r="AG98" s="2" t="s">
        <v>1239</v>
      </c>
      <c r="AH98" s="2" t="s">
        <v>390</v>
      </c>
      <c r="AI98" s="2" t="s">
        <v>1609</v>
      </c>
      <c r="AJ98" s="2" t="s">
        <v>1610</v>
      </c>
      <c r="AK98" s="2" t="s">
        <v>1242</v>
      </c>
      <c r="AL98" s="2" t="s">
        <v>1243</v>
      </c>
      <c r="AM98" s="2"/>
      <c r="AN98" s="2"/>
      <c r="AO98" s="2"/>
      <c r="AP98" s="2"/>
      <c r="AQ98" s="2"/>
      <c r="AR98" s="2"/>
    </row>
    <row r="99" customFormat="false" ht="23.85" hidden="false" customHeight="false" outlineLevel="0" collapsed="false">
      <c r="A99" s="2" t="n">
        <v>98</v>
      </c>
      <c r="B99" s="2" t="s">
        <v>1611</v>
      </c>
      <c r="C99" s="2" t="s">
        <v>686</v>
      </c>
      <c r="D99" s="2" t="s">
        <v>34</v>
      </c>
      <c r="E99" s="2" t="s">
        <v>1098</v>
      </c>
      <c r="F99" s="2" t="s">
        <v>1099</v>
      </c>
      <c r="G99" s="2" t="s">
        <v>810</v>
      </c>
      <c r="H99" s="2" t="s">
        <v>42</v>
      </c>
      <c r="I99" s="2" t="s">
        <v>1108</v>
      </c>
      <c r="J99" s="2" t="s">
        <v>811</v>
      </c>
      <c r="K99" s="2" t="s">
        <v>43</v>
      </c>
      <c r="L99" s="2" t="s">
        <v>1124</v>
      </c>
      <c r="M99" s="2" t="s">
        <v>43</v>
      </c>
      <c r="N99" s="2" t="s">
        <v>812</v>
      </c>
      <c r="O99" s="2" t="s">
        <v>392</v>
      </c>
      <c r="P99" s="2" t="s">
        <v>861</v>
      </c>
      <c r="Q99" s="2" t="s">
        <v>75</v>
      </c>
      <c r="R99" s="2" t="s">
        <v>104</v>
      </c>
      <c r="S99" s="2" t="n">
        <v>2</v>
      </c>
      <c r="T99" s="2" t="s">
        <v>41</v>
      </c>
      <c r="U99" s="2"/>
      <c r="V99" s="2" t="s">
        <v>215</v>
      </c>
      <c r="W99" s="2" t="s">
        <v>40</v>
      </c>
      <c r="X99" s="2" t="n">
        <v>2322</v>
      </c>
      <c r="Y99" s="2" t="n">
        <v>118</v>
      </c>
      <c r="Z99" s="2" t="n">
        <v>61</v>
      </c>
      <c r="AA99" s="2" t="n">
        <v>65</v>
      </c>
      <c r="AB99" s="2" t="s">
        <v>1612</v>
      </c>
      <c r="AC99" s="2"/>
      <c r="AD99" s="2" t="s">
        <v>1238</v>
      </c>
      <c r="AE99" s="2" t="s">
        <v>692</v>
      </c>
      <c r="AF99" s="2" t="s">
        <v>212</v>
      </c>
      <c r="AG99" s="2" t="s">
        <v>1239</v>
      </c>
      <c r="AH99" s="2" t="s">
        <v>391</v>
      </c>
      <c r="AI99" s="2" t="s">
        <v>1613</v>
      </c>
      <c r="AJ99" s="2" t="s">
        <v>1614</v>
      </c>
      <c r="AK99" s="2" t="s">
        <v>1242</v>
      </c>
      <c r="AL99" s="2" t="s">
        <v>1243</v>
      </c>
      <c r="AM99" s="2"/>
      <c r="AN99" s="2"/>
      <c r="AO99" s="2"/>
      <c r="AP99" s="2"/>
      <c r="AQ99" s="2"/>
      <c r="AR99" s="2"/>
    </row>
    <row r="100" customFormat="false" ht="23.85" hidden="false" customHeight="false" outlineLevel="0" collapsed="false">
      <c r="A100" s="2" t="n">
        <v>99</v>
      </c>
      <c r="B100" s="2" t="s">
        <v>1615</v>
      </c>
      <c r="C100" s="2" t="s">
        <v>686</v>
      </c>
      <c r="D100" s="2" t="s">
        <v>34</v>
      </c>
      <c r="E100" s="2" t="s">
        <v>1098</v>
      </c>
      <c r="F100" s="2" t="s">
        <v>1099</v>
      </c>
      <c r="G100" s="2" t="s">
        <v>810</v>
      </c>
      <c r="H100" s="2" t="s">
        <v>42</v>
      </c>
      <c r="I100" s="2" t="s">
        <v>1108</v>
      </c>
      <c r="J100" s="2" t="s">
        <v>811</v>
      </c>
      <c r="K100" s="2" t="s">
        <v>43</v>
      </c>
      <c r="L100" s="2" t="s">
        <v>1124</v>
      </c>
      <c r="M100" s="2" t="s">
        <v>43</v>
      </c>
      <c r="N100" s="2" t="s">
        <v>812</v>
      </c>
      <c r="O100" s="2" t="s">
        <v>394</v>
      </c>
      <c r="P100" s="2" t="s">
        <v>862</v>
      </c>
      <c r="Q100" s="2" t="s">
        <v>69</v>
      </c>
      <c r="R100" s="2" t="s">
        <v>111</v>
      </c>
      <c r="S100" s="2" t="n">
        <v>1</v>
      </c>
      <c r="T100" s="2" t="s">
        <v>61</v>
      </c>
      <c r="U100" s="2"/>
      <c r="V100" s="2" t="s">
        <v>230</v>
      </c>
      <c r="W100" s="2" t="s">
        <v>60</v>
      </c>
      <c r="X100" s="2" t="n">
        <v>1480</v>
      </c>
      <c r="Y100" s="2" t="n">
        <v>171</v>
      </c>
      <c r="Z100" s="2" t="n">
        <v>0</v>
      </c>
      <c r="AA100" s="2" t="n">
        <v>106</v>
      </c>
      <c r="AB100" s="2" t="s">
        <v>1616</v>
      </c>
      <c r="AC100" s="2"/>
      <c r="AD100" s="2" t="s">
        <v>1238</v>
      </c>
      <c r="AE100" s="2" t="s">
        <v>692</v>
      </c>
      <c r="AF100" s="2" t="s">
        <v>212</v>
      </c>
      <c r="AG100" s="2" t="s">
        <v>1239</v>
      </c>
      <c r="AH100" s="2" t="s">
        <v>393</v>
      </c>
      <c r="AI100" s="2" t="s">
        <v>1617</v>
      </c>
      <c r="AJ100" s="2" t="s">
        <v>1618</v>
      </c>
      <c r="AK100" s="2" t="s">
        <v>1242</v>
      </c>
      <c r="AL100" s="2" t="s">
        <v>1243</v>
      </c>
      <c r="AM100" s="2"/>
      <c r="AN100" s="2"/>
      <c r="AO100" s="2"/>
      <c r="AP100" s="2"/>
      <c r="AQ100" s="2"/>
      <c r="AR100" s="2"/>
    </row>
    <row r="101" customFormat="false" ht="23.85" hidden="false" customHeight="false" outlineLevel="0" collapsed="false">
      <c r="A101" s="2" t="n">
        <v>100</v>
      </c>
      <c r="B101" s="2" t="s">
        <v>1619</v>
      </c>
      <c r="C101" s="2" t="s">
        <v>686</v>
      </c>
      <c r="D101" s="2" t="s">
        <v>34</v>
      </c>
      <c r="E101" s="2" t="s">
        <v>1098</v>
      </c>
      <c r="F101" s="2" t="s">
        <v>1099</v>
      </c>
      <c r="G101" s="2" t="s">
        <v>810</v>
      </c>
      <c r="H101" s="2" t="s">
        <v>42</v>
      </c>
      <c r="I101" s="2" t="s">
        <v>1108</v>
      </c>
      <c r="J101" s="2" t="s">
        <v>811</v>
      </c>
      <c r="K101" s="2" t="s">
        <v>43</v>
      </c>
      <c r="L101" s="2" t="s">
        <v>1124</v>
      </c>
      <c r="M101" s="2" t="s">
        <v>43</v>
      </c>
      <c r="N101" s="2" t="s">
        <v>812</v>
      </c>
      <c r="O101" s="2" t="s">
        <v>396</v>
      </c>
      <c r="P101" s="2" t="s">
        <v>863</v>
      </c>
      <c r="Q101" s="2" t="s">
        <v>69</v>
      </c>
      <c r="R101" s="2" t="s">
        <v>110</v>
      </c>
      <c r="S101" s="2" t="n">
        <v>2</v>
      </c>
      <c r="T101" s="2" t="s">
        <v>41</v>
      </c>
      <c r="U101" s="2"/>
      <c r="V101" s="2" t="s">
        <v>215</v>
      </c>
      <c r="W101" s="2" t="s">
        <v>40</v>
      </c>
      <c r="X101" s="2" t="n">
        <v>1523</v>
      </c>
      <c r="Y101" s="2" t="n">
        <v>173</v>
      </c>
      <c r="Z101" s="2" t="n">
        <v>60</v>
      </c>
      <c r="AA101" s="2" t="n">
        <v>65</v>
      </c>
      <c r="AB101" s="2" t="s">
        <v>1620</v>
      </c>
      <c r="AC101" s="2"/>
      <c r="AD101" s="2" t="s">
        <v>1238</v>
      </c>
      <c r="AE101" s="2" t="s">
        <v>692</v>
      </c>
      <c r="AF101" s="2" t="s">
        <v>212</v>
      </c>
      <c r="AG101" s="2" t="s">
        <v>1239</v>
      </c>
      <c r="AH101" s="2" t="s">
        <v>395</v>
      </c>
      <c r="AI101" s="2" t="s">
        <v>1621</v>
      </c>
      <c r="AJ101" s="2" t="s">
        <v>1622</v>
      </c>
      <c r="AK101" s="2" t="s">
        <v>1242</v>
      </c>
      <c r="AL101" s="2" t="s">
        <v>1243</v>
      </c>
      <c r="AM101" s="2"/>
      <c r="AN101" s="2"/>
      <c r="AO101" s="2"/>
      <c r="AP101" s="2"/>
      <c r="AQ101" s="2"/>
      <c r="AR101" s="2"/>
    </row>
    <row r="102" customFormat="false" ht="23.85" hidden="false" customHeight="false" outlineLevel="0" collapsed="false">
      <c r="A102" s="2" t="n">
        <v>101</v>
      </c>
      <c r="B102" s="2" t="s">
        <v>1623</v>
      </c>
      <c r="C102" s="2" t="s">
        <v>686</v>
      </c>
      <c r="D102" s="2" t="s">
        <v>34</v>
      </c>
      <c r="E102" s="2" t="s">
        <v>1098</v>
      </c>
      <c r="F102" s="2" t="s">
        <v>1099</v>
      </c>
      <c r="G102" s="2" t="s">
        <v>810</v>
      </c>
      <c r="H102" s="2" t="s">
        <v>42</v>
      </c>
      <c r="I102" s="2" t="s">
        <v>1108</v>
      </c>
      <c r="J102" s="2" t="s">
        <v>811</v>
      </c>
      <c r="K102" s="2" t="s">
        <v>43</v>
      </c>
      <c r="L102" s="2" t="s">
        <v>1124</v>
      </c>
      <c r="M102" s="2" t="s">
        <v>43</v>
      </c>
      <c r="N102" s="2" t="s">
        <v>812</v>
      </c>
      <c r="O102" s="2" t="s">
        <v>398</v>
      </c>
      <c r="P102" s="2" t="s">
        <v>864</v>
      </c>
      <c r="Q102" s="2" t="s">
        <v>71</v>
      </c>
      <c r="R102" s="2" t="s">
        <v>128</v>
      </c>
      <c r="S102" s="2" t="n">
        <v>1</v>
      </c>
      <c r="T102" s="2" t="s">
        <v>61</v>
      </c>
      <c r="U102" s="2"/>
      <c r="V102" s="2" t="s">
        <v>215</v>
      </c>
      <c r="W102" s="2" t="s">
        <v>54</v>
      </c>
      <c r="X102" s="2" t="n">
        <v>1549</v>
      </c>
      <c r="Y102" s="2" t="n">
        <v>81</v>
      </c>
      <c r="Z102" s="2" t="n">
        <v>51</v>
      </c>
      <c r="AA102" s="2" t="n">
        <v>161</v>
      </c>
      <c r="AB102" s="2" t="s">
        <v>1624</v>
      </c>
      <c r="AC102" s="2"/>
      <c r="AD102" s="2" t="s">
        <v>1238</v>
      </c>
      <c r="AE102" s="2" t="s">
        <v>692</v>
      </c>
      <c r="AF102" s="2" t="s">
        <v>212</v>
      </c>
      <c r="AG102" s="2" t="s">
        <v>1239</v>
      </c>
      <c r="AH102" s="2" t="s">
        <v>397</v>
      </c>
      <c r="AI102" s="2" t="s">
        <v>1625</v>
      </c>
      <c r="AJ102" s="2" t="s">
        <v>1626</v>
      </c>
      <c r="AK102" s="2" t="s">
        <v>1242</v>
      </c>
      <c r="AL102" s="2" t="s">
        <v>1243</v>
      </c>
      <c r="AM102" s="2"/>
      <c r="AN102" s="2"/>
      <c r="AO102" s="2"/>
      <c r="AP102" s="2"/>
      <c r="AQ102" s="2"/>
      <c r="AR102" s="2"/>
    </row>
    <row r="103" customFormat="false" ht="23.85" hidden="false" customHeight="false" outlineLevel="0" collapsed="false">
      <c r="A103" s="2" t="n">
        <v>102</v>
      </c>
      <c r="B103" s="2" t="s">
        <v>1627</v>
      </c>
      <c r="C103" s="2" t="s">
        <v>686</v>
      </c>
      <c r="D103" s="2" t="s">
        <v>34</v>
      </c>
      <c r="E103" s="2" t="s">
        <v>1098</v>
      </c>
      <c r="F103" s="2" t="s">
        <v>1099</v>
      </c>
      <c r="G103" s="2" t="s">
        <v>810</v>
      </c>
      <c r="H103" s="2" t="s">
        <v>42</v>
      </c>
      <c r="I103" s="2" t="s">
        <v>1108</v>
      </c>
      <c r="J103" s="2" t="s">
        <v>811</v>
      </c>
      <c r="K103" s="2" t="s">
        <v>43</v>
      </c>
      <c r="L103" s="2" t="s">
        <v>1124</v>
      </c>
      <c r="M103" s="2" t="s">
        <v>43</v>
      </c>
      <c r="N103" s="2" t="s">
        <v>812</v>
      </c>
      <c r="O103" s="2" t="s">
        <v>400</v>
      </c>
      <c r="P103" s="2" t="s">
        <v>865</v>
      </c>
      <c r="Q103" s="2" t="s">
        <v>45</v>
      </c>
      <c r="R103" s="2" t="s">
        <v>72</v>
      </c>
      <c r="S103" s="2" t="n">
        <v>1</v>
      </c>
      <c r="T103" s="2" t="s">
        <v>61</v>
      </c>
      <c r="U103" s="2"/>
      <c r="V103" s="2" t="s">
        <v>215</v>
      </c>
      <c r="W103" s="2" t="s">
        <v>40</v>
      </c>
      <c r="X103" s="2" t="n">
        <v>2021</v>
      </c>
      <c r="Y103" s="2" t="n">
        <v>49</v>
      </c>
      <c r="Z103" s="2" t="n">
        <v>52</v>
      </c>
      <c r="AA103" s="2" t="n">
        <v>174</v>
      </c>
      <c r="AB103" s="2" t="s">
        <v>1628</v>
      </c>
      <c r="AC103" s="2"/>
      <c r="AD103" s="2" t="s">
        <v>1238</v>
      </c>
      <c r="AE103" s="2" t="s">
        <v>692</v>
      </c>
      <c r="AF103" s="2" t="s">
        <v>212</v>
      </c>
      <c r="AG103" s="2" t="s">
        <v>1239</v>
      </c>
      <c r="AH103" s="2" t="s">
        <v>399</v>
      </c>
      <c r="AI103" s="2" t="s">
        <v>1629</v>
      </c>
      <c r="AJ103" s="2" t="s">
        <v>1630</v>
      </c>
      <c r="AK103" s="2" t="s">
        <v>1242</v>
      </c>
      <c r="AL103" s="2" t="s">
        <v>1243</v>
      </c>
      <c r="AM103" s="2"/>
      <c r="AN103" s="2"/>
      <c r="AO103" s="2"/>
      <c r="AP103" s="2"/>
      <c r="AQ103" s="2"/>
      <c r="AR103" s="2"/>
    </row>
    <row r="104" customFormat="false" ht="23.85" hidden="false" customHeight="false" outlineLevel="0" collapsed="false">
      <c r="A104" s="2" t="n">
        <v>103</v>
      </c>
      <c r="B104" s="2" t="s">
        <v>1631</v>
      </c>
      <c r="C104" s="2" t="s">
        <v>686</v>
      </c>
      <c r="D104" s="2" t="s">
        <v>34</v>
      </c>
      <c r="E104" s="2" t="s">
        <v>1098</v>
      </c>
      <c r="F104" s="2" t="s">
        <v>1099</v>
      </c>
      <c r="G104" s="2" t="s">
        <v>810</v>
      </c>
      <c r="H104" s="2" t="s">
        <v>42</v>
      </c>
      <c r="I104" s="2" t="s">
        <v>1108</v>
      </c>
      <c r="J104" s="2" t="s">
        <v>811</v>
      </c>
      <c r="K104" s="2" t="s">
        <v>43</v>
      </c>
      <c r="L104" s="2" t="s">
        <v>1124</v>
      </c>
      <c r="M104" s="2" t="s">
        <v>43</v>
      </c>
      <c r="N104" s="2" t="s">
        <v>812</v>
      </c>
      <c r="O104" s="2" t="s">
        <v>402</v>
      </c>
      <c r="P104" s="2" t="s">
        <v>866</v>
      </c>
      <c r="Q104" s="2" t="s">
        <v>45</v>
      </c>
      <c r="R104" s="2" t="s">
        <v>72</v>
      </c>
      <c r="S104" s="2" t="n">
        <v>1</v>
      </c>
      <c r="T104" s="2" t="s">
        <v>61</v>
      </c>
      <c r="U104" s="2"/>
      <c r="V104" s="2" t="s">
        <v>215</v>
      </c>
      <c r="W104" s="2" t="s">
        <v>40</v>
      </c>
      <c r="X104" s="2" t="n">
        <v>1692</v>
      </c>
      <c r="Y104" s="2" t="n">
        <v>58</v>
      </c>
      <c r="Z104" s="2" t="n">
        <v>109</v>
      </c>
      <c r="AA104" s="2" t="n">
        <v>218</v>
      </c>
      <c r="AB104" s="2" t="s">
        <v>1632</v>
      </c>
      <c r="AC104" s="2"/>
      <c r="AD104" s="2" t="s">
        <v>1238</v>
      </c>
      <c r="AE104" s="2" t="s">
        <v>692</v>
      </c>
      <c r="AF104" s="2" t="s">
        <v>212</v>
      </c>
      <c r="AG104" s="2" t="s">
        <v>1239</v>
      </c>
      <c r="AH104" s="2" t="s">
        <v>401</v>
      </c>
      <c r="AI104" s="2" t="s">
        <v>1633</v>
      </c>
      <c r="AJ104" s="2" t="s">
        <v>1634</v>
      </c>
      <c r="AK104" s="2" t="s">
        <v>1242</v>
      </c>
      <c r="AL104" s="2" t="s">
        <v>1243</v>
      </c>
      <c r="AM104" s="2"/>
      <c r="AN104" s="2"/>
      <c r="AO104" s="2"/>
      <c r="AP104" s="2"/>
      <c r="AQ104" s="2"/>
      <c r="AR104" s="2"/>
    </row>
    <row r="105" customFormat="false" ht="23.85" hidden="false" customHeight="false" outlineLevel="0" collapsed="false">
      <c r="A105" s="2" t="n">
        <v>104</v>
      </c>
      <c r="B105" s="2" t="s">
        <v>1440</v>
      </c>
      <c r="C105" s="2" t="s">
        <v>686</v>
      </c>
      <c r="D105" s="2" t="s">
        <v>34</v>
      </c>
      <c r="E105" s="2" t="s">
        <v>1098</v>
      </c>
      <c r="F105" s="2" t="s">
        <v>1099</v>
      </c>
      <c r="G105" s="2" t="s">
        <v>810</v>
      </c>
      <c r="H105" s="2" t="s">
        <v>42</v>
      </c>
      <c r="I105" s="2" t="s">
        <v>1108</v>
      </c>
      <c r="J105" s="2" t="s">
        <v>811</v>
      </c>
      <c r="K105" s="2" t="s">
        <v>43</v>
      </c>
      <c r="L105" s="2" t="s">
        <v>1124</v>
      </c>
      <c r="M105" s="2" t="s">
        <v>43</v>
      </c>
      <c r="N105" s="2" t="s">
        <v>812</v>
      </c>
      <c r="O105" s="2" t="s">
        <v>315</v>
      </c>
      <c r="P105" s="2" t="s">
        <v>867</v>
      </c>
      <c r="Q105" s="2" t="s">
        <v>58</v>
      </c>
      <c r="R105" s="2" t="s">
        <v>92</v>
      </c>
      <c r="S105" s="2" t="n">
        <v>1</v>
      </c>
      <c r="T105" s="2" t="s">
        <v>61</v>
      </c>
      <c r="U105" s="2"/>
      <c r="V105" s="2" t="s">
        <v>211</v>
      </c>
      <c r="W105" s="2" t="s">
        <v>47</v>
      </c>
      <c r="X105" s="2" t="n">
        <v>1667</v>
      </c>
      <c r="Y105" s="2" t="n">
        <v>49</v>
      </c>
      <c r="Z105" s="2" t="n">
        <v>65</v>
      </c>
      <c r="AA105" s="2" t="n">
        <v>65</v>
      </c>
      <c r="AB105" s="2" t="s">
        <v>1635</v>
      </c>
      <c r="AC105" s="2"/>
      <c r="AD105" s="2" t="s">
        <v>1238</v>
      </c>
      <c r="AE105" s="2" t="s">
        <v>692</v>
      </c>
      <c r="AF105" s="2" t="s">
        <v>212</v>
      </c>
      <c r="AG105" s="2" t="s">
        <v>1239</v>
      </c>
      <c r="AH105" s="2" t="s">
        <v>403</v>
      </c>
      <c r="AI105" s="2" t="s">
        <v>1636</v>
      </c>
      <c r="AJ105" s="2" t="s">
        <v>1637</v>
      </c>
      <c r="AK105" s="2" t="s">
        <v>1242</v>
      </c>
      <c r="AL105" s="2" t="s">
        <v>1243</v>
      </c>
      <c r="AM105" s="2"/>
      <c r="AN105" s="2"/>
      <c r="AO105" s="2"/>
      <c r="AP105" s="2"/>
      <c r="AQ105" s="2"/>
      <c r="AR105" s="2"/>
    </row>
    <row r="106" customFormat="false" ht="23.85" hidden="false" customHeight="false" outlineLevel="0" collapsed="false">
      <c r="A106" s="2" t="n">
        <v>105</v>
      </c>
      <c r="B106" s="2" t="s">
        <v>1638</v>
      </c>
      <c r="C106" s="2" t="s">
        <v>686</v>
      </c>
      <c r="D106" s="2" t="s">
        <v>34</v>
      </c>
      <c r="E106" s="2" t="s">
        <v>1098</v>
      </c>
      <c r="F106" s="2" t="s">
        <v>1099</v>
      </c>
      <c r="G106" s="2" t="s">
        <v>810</v>
      </c>
      <c r="H106" s="2" t="s">
        <v>42</v>
      </c>
      <c r="I106" s="2" t="s">
        <v>1108</v>
      </c>
      <c r="J106" s="2" t="s">
        <v>811</v>
      </c>
      <c r="K106" s="2" t="s">
        <v>43</v>
      </c>
      <c r="L106" s="2" t="s">
        <v>1124</v>
      </c>
      <c r="M106" s="2" t="s">
        <v>43</v>
      </c>
      <c r="N106" s="2" t="s">
        <v>812</v>
      </c>
      <c r="O106" s="2" t="s">
        <v>405</v>
      </c>
      <c r="P106" s="2" t="s">
        <v>868</v>
      </c>
      <c r="Q106" s="2" t="s">
        <v>45</v>
      </c>
      <c r="R106" s="2" t="s">
        <v>51</v>
      </c>
      <c r="S106" s="2" t="n">
        <v>1</v>
      </c>
      <c r="T106" s="2" t="s">
        <v>61</v>
      </c>
      <c r="U106" s="2"/>
      <c r="V106" s="2" t="s">
        <v>215</v>
      </c>
      <c r="W106" s="2" t="s">
        <v>40</v>
      </c>
      <c r="X106" s="2" t="n">
        <v>1631</v>
      </c>
      <c r="Y106" s="2" t="n">
        <v>62</v>
      </c>
      <c r="Z106" s="2" t="n">
        <v>50</v>
      </c>
      <c r="AA106" s="2" t="n">
        <v>87</v>
      </c>
      <c r="AB106" s="2" t="s">
        <v>1639</v>
      </c>
      <c r="AC106" s="2"/>
      <c r="AD106" s="2" t="s">
        <v>1238</v>
      </c>
      <c r="AE106" s="2" t="s">
        <v>692</v>
      </c>
      <c r="AF106" s="2" t="s">
        <v>212</v>
      </c>
      <c r="AG106" s="2" t="s">
        <v>1239</v>
      </c>
      <c r="AH106" s="2" t="s">
        <v>404</v>
      </c>
      <c r="AI106" s="2" t="s">
        <v>1640</v>
      </c>
      <c r="AJ106" s="2" t="s">
        <v>1641</v>
      </c>
      <c r="AK106" s="2" t="s">
        <v>1242</v>
      </c>
      <c r="AL106" s="2" t="s">
        <v>1243</v>
      </c>
      <c r="AM106" s="2"/>
      <c r="AN106" s="2"/>
      <c r="AO106" s="2"/>
      <c r="AP106" s="2"/>
      <c r="AQ106" s="2"/>
      <c r="AR106" s="2"/>
    </row>
    <row r="107" customFormat="false" ht="23.85" hidden="false" customHeight="false" outlineLevel="0" collapsed="false">
      <c r="A107" s="2" t="n">
        <v>106</v>
      </c>
      <c r="B107" s="2" t="s">
        <v>1448</v>
      </c>
      <c r="C107" s="2" t="s">
        <v>686</v>
      </c>
      <c r="D107" s="2" t="s">
        <v>34</v>
      </c>
      <c r="E107" s="2" t="s">
        <v>1098</v>
      </c>
      <c r="F107" s="2" t="s">
        <v>1099</v>
      </c>
      <c r="G107" s="2" t="s">
        <v>810</v>
      </c>
      <c r="H107" s="2" t="s">
        <v>42</v>
      </c>
      <c r="I107" s="2" t="s">
        <v>1108</v>
      </c>
      <c r="J107" s="2" t="s">
        <v>811</v>
      </c>
      <c r="K107" s="2" t="s">
        <v>43</v>
      </c>
      <c r="L107" s="2" t="s">
        <v>1124</v>
      </c>
      <c r="M107" s="2" t="s">
        <v>43</v>
      </c>
      <c r="N107" s="2" t="s">
        <v>812</v>
      </c>
      <c r="O107" s="2" t="s">
        <v>407</v>
      </c>
      <c r="P107" s="2" t="s">
        <v>869</v>
      </c>
      <c r="Q107" s="2" t="s">
        <v>58</v>
      </c>
      <c r="R107" s="2" t="s">
        <v>97</v>
      </c>
      <c r="S107" s="2" t="n">
        <v>1</v>
      </c>
      <c r="T107" s="2" t="s">
        <v>61</v>
      </c>
      <c r="U107" s="2"/>
      <c r="V107" s="2" t="s">
        <v>215</v>
      </c>
      <c r="W107" s="2" t="s">
        <v>40</v>
      </c>
      <c r="X107" s="2" t="n">
        <v>1839</v>
      </c>
      <c r="Y107" s="2" t="n">
        <v>30</v>
      </c>
      <c r="Z107" s="2" t="n">
        <v>83</v>
      </c>
      <c r="AA107" s="2" t="n">
        <v>74</v>
      </c>
      <c r="AB107" s="2" t="s">
        <v>1642</v>
      </c>
      <c r="AC107" s="2"/>
      <c r="AD107" s="2" t="s">
        <v>1238</v>
      </c>
      <c r="AE107" s="2" t="s">
        <v>692</v>
      </c>
      <c r="AF107" s="2" t="s">
        <v>212</v>
      </c>
      <c r="AG107" s="2" t="s">
        <v>1239</v>
      </c>
      <c r="AH107" s="2" t="s">
        <v>406</v>
      </c>
      <c r="AI107" s="2" t="s">
        <v>1643</v>
      </c>
      <c r="AJ107" s="2" t="s">
        <v>1644</v>
      </c>
      <c r="AK107" s="2" t="s">
        <v>1242</v>
      </c>
      <c r="AL107" s="2" t="s">
        <v>1243</v>
      </c>
      <c r="AM107" s="2"/>
      <c r="AN107" s="2"/>
      <c r="AO107" s="2"/>
      <c r="AP107" s="2"/>
      <c r="AQ107" s="2"/>
      <c r="AR107" s="2"/>
    </row>
    <row r="108" customFormat="false" ht="23.85" hidden="false" customHeight="false" outlineLevel="0" collapsed="false">
      <c r="A108" s="2" t="n">
        <v>107</v>
      </c>
      <c r="B108" s="2" t="s">
        <v>1476</v>
      </c>
      <c r="C108" s="2" t="s">
        <v>686</v>
      </c>
      <c r="D108" s="2" t="s">
        <v>34</v>
      </c>
      <c r="E108" s="2" t="s">
        <v>1098</v>
      </c>
      <c r="F108" s="2" t="s">
        <v>1099</v>
      </c>
      <c r="G108" s="2" t="s">
        <v>810</v>
      </c>
      <c r="H108" s="2" t="s">
        <v>42</v>
      </c>
      <c r="I108" s="2" t="s">
        <v>1108</v>
      </c>
      <c r="J108" s="2" t="s">
        <v>811</v>
      </c>
      <c r="K108" s="2" t="s">
        <v>43</v>
      </c>
      <c r="L108" s="2" t="s">
        <v>1124</v>
      </c>
      <c r="M108" s="2" t="s">
        <v>43</v>
      </c>
      <c r="N108" s="2" t="s">
        <v>812</v>
      </c>
      <c r="O108" s="2" t="s">
        <v>333</v>
      </c>
      <c r="P108" s="2" t="s">
        <v>870</v>
      </c>
      <c r="Q108" s="2" t="s">
        <v>71</v>
      </c>
      <c r="R108" s="2" t="s">
        <v>126</v>
      </c>
      <c r="S108" s="2" t="n">
        <v>1</v>
      </c>
      <c r="T108" s="2" t="s">
        <v>61</v>
      </c>
      <c r="U108" s="2"/>
      <c r="V108" s="2" t="s">
        <v>215</v>
      </c>
      <c r="W108" s="2" t="s">
        <v>40</v>
      </c>
      <c r="X108" s="2" t="n">
        <v>1574</v>
      </c>
      <c r="Y108" s="2" t="n">
        <v>86</v>
      </c>
      <c r="Z108" s="2" t="n">
        <v>61</v>
      </c>
      <c r="AA108" s="2" t="n">
        <v>124</v>
      </c>
      <c r="AB108" s="2" t="s">
        <v>1645</v>
      </c>
      <c r="AC108" s="2"/>
      <c r="AD108" s="2" t="s">
        <v>1238</v>
      </c>
      <c r="AE108" s="2" t="s">
        <v>692</v>
      </c>
      <c r="AF108" s="2" t="s">
        <v>212</v>
      </c>
      <c r="AG108" s="2" t="s">
        <v>1239</v>
      </c>
      <c r="AH108" s="2" t="s">
        <v>408</v>
      </c>
      <c r="AI108" s="2" t="s">
        <v>1646</v>
      </c>
      <c r="AJ108" s="2" t="s">
        <v>1647</v>
      </c>
      <c r="AK108" s="2" t="s">
        <v>1242</v>
      </c>
      <c r="AL108" s="2" t="s">
        <v>1243</v>
      </c>
      <c r="AM108" s="2"/>
      <c r="AN108" s="2"/>
      <c r="AO108" s="2"/>
      <c r="AP108" s="2"/>
      <c r="AQ108" s="2"/>
      <c r="AR108" s="2"/>
    </row>
    <row r="109" customFormat="false" ht="23.85" hidden="false" customHeight="false" outlineLevel="0" collapsed="false">
      <c r="A109" s="2" t="n">
        <v>108</v>
      </c>
      <c r="B109" s="2" t="s">
        <v>1648</v>
      </c>
      <c r="C109" s="2" t="s">
        <v>686</v>
      </c>
      <c r="D109" s="2" t="s">
        <v>34</v>
      </c>
      <c r="E109" s="2" t="s">
        <v>1098</v>
      </c>
      <c r="F109" s="2" t="s">
        <v>1099</v>
      </c>
      <c r="G109" s="2" t="s">
        <v>810</v>
      </c>
      <c r="H109" s="2" t="s">
        <v>42</v>
      </c>
      <c r="I109" s="2" t="s">
        <v>1108</v>
      </c>
      <c r="J109" s="2" t="s">
        <v>811</v>
      </c>
      <c r="K109" s="2" t="s">
        <v>43</v>
      </c>
      <c r="L109" s="2" t="s">
        <v>1124</v>
      </c>
      <c r="M109" s="2" t="s">
        <v>43</v>
      </c>
      <c r="N109" s="2" t="s">
        <v>812</v>
      </c>
      <c r="O109" s="2" t="s">
        <v>410</v>
      </c>
      <c r="P109" s="2" t="s">
        <v>871</v>
      </c>
      <c r="Q109" s="2" t="s">
        <v>75</v>
      </c>
      <c r="R109" s="2" t="s">
        <v>142</v>
      </c>
      <c r="S109" s="2" t="n">
        <v>1</v>
      </c>
      <c r="T109" s="2" t="s">
        <v>61</v>
      </c>
      <c r="U109" s="2"/>
      <c r="V109" s="2" t="s">
        <v>215</v>
      </c>
      <c r="W109" s="2" t="s">
        <v>47</v>
      </c>
      <c r="X109" s="2" t="n">
        <v>1799</v>
      </c>
      <c r="Y109" s="2" t="n">
        <v>209</v>
      </c>
      <c r="Z109" s="2" t="n">
        <v>148</v>
      </c>
      <c r="AA109" s="2" t="n">
        <v>75</v>
      </c>
      <c r="AB109" s="2" t="s">
        <v>1649</v>
      </c>
      <c r="AC109" s="2"/>
      <c r="AD109" s="2" t="s">
        <v>1238</v>
      </c>
      <c r="AE109" s="2" t="s">
        <v>692</v>
      </c>
      <c r="AF109" s="2" t="s">
        <v>212</v>
      </c>
      <c r="AG109" s="2" t="s">
        <v>1239</v>
      </c>
      <c r="AH109" s="2" t="s">
        <v>409</v>
      </c>
      <c r="AI109" s="2" t="s">
        <v>1650</v>
      </c>
      <c r="AJ109" s="2" t="s">
        <v>1651</v>
      </c>
      <c r="AK109" s="2" t="s">
        <v>1242</v>
      </c>
      <c r="AL109" s="2" t="s">
        <v>1243</v>
      </c>
      <c r="AM109" s="2"/>
      <c r="AN109" s="2"/>
      <c r="AO109" s="2"/>
      <c r="AP109" s="2"/>
      <c r="AQ109" s="2"/>
      <c r="AR109" s="2"/>
    </row>
    <row r="110" customFormat="false" ht="23.85" hidden="false" customHeight="false" outlineLevel="0" collapsed="false">
      <c r="A110" s="2" t="n">
        <v>109</v>
      </c>
      <c r="B110" s="2" t="s">
        <v>1480</v>
      </c>
      <c r="C110" s="2" t="s">
        <v>686</v>
      </c>
      <c r="D110" s="2" t="s">
        <v>34</v>
      </c>
      <c r="E110" s="2" t="s">
        <v>1098</v>
      </c>
      <c r="F110" s="2" t="s">
        <v>1099</v>
      </c>
      <c r="G110" s="2" t="s">
        <v>810</v>
      </c>
      <c r="H110" s="2" t="s">
        <v>42</v>
      </c>
      <c r="I110" s="2" t="s">
        <v>1108</v>
      </c>
      <c r="J110" s="2" t="s">
        <v>811</v>
      </c>
      <c r="K110" s="2" t="s">
        <v>43</v>
      </c>
      <c r="L110" s="2" t="s">
        <v>1124</v>
      </c>
      <c r="M110" s="2" t="s">
        <v>43</v>
      </c>
      <c r="N110" s="2" t="s">
        <v>812</v>
      </c>
      <c r="O110" s="2" t="s">
        <v>335</v>
      </c>
      <c r="P110" s="2" t="s">
        <v>872</v>
      </c>
      <c r="Q110" s="2" t="s">
        <v>73</v>
      </c>
      <c r="R110" s="2" t="s">
        <v>130</v>
      </c>
      <c r="S110" s="2" t="n">
        <v>1</v>
      </c>
      <c r="T110" s="2" t="s">
        <v>61</v>
      </c>
      <c r="U110" s="2"/>
      <c r="V110" s="2" t="s">
        <v>215</v>
      </c>
      <c r="W110" s="2" t="s">
        <v>40</v>
      </c>
      <c r="X110" s="2" t="n">
        <v>2904</v>
      </c>
      <c r="Y110" s="2" t="n">
        <v>246</v>
      </c>
      <c r="Z110" s="2" t="n">
        <v>238</v>
      </c>
      <c r="AA110" s="2" t="n">
        <v>242</v>
      </c>
      <c r="AB110" s="2" t="s">
        <v>1652</v>
      </c>
      <c r="AC110" s="2"/>
      <c r="AD110" s="2" t="s">
        <v>1238</v>
      </c>
      <c r="AE110" s="2" t="s">
        <v>692</v>
      </c>
      <c r="AF110" s="2" t="s">
        <v>212</v>
      </c>
      <c r="AG110" s="2" t="s">
        <v>1239</v>
      </c>
      <c r="AH110" s="2" t="s">
        <v>411</v>
      </c>
      <c r="AI110" s="2" t="s">
        <v>1653</v>
      </c>
      <c r="AJ110" s="2" t="s">
        <v>1654</v>
      </c>
      <c r="AK110" s="2" t="s">
        <v>1242</v>
      </c>
      <c r="AL110" s="2" t="s">
        <v>1243</v>
      </c>
      <c r="AM110" s="2"/>
      <c r="AN110" s="2"/>
      <c r="AO110" s="2"/>
      <c r="AP110" s="2"/>
      <c r="AQ110" s="2"/>
      <c r="AR110" s="2"/>
    </row>
    <row r="111" customFormat="false" ht="23.85" hidden="false" customHeight="false" outlineLevel="0" collapsed="false">
      <c r="A111" s="2" t="n">
        <v>110</v>
      </c>
      <c r="B111" s="2" t="s">
        <v>1655</v>
      </c>
      <c r="C111" s="2" t="s">
        <v>686</v>
      </c>
      <c r="D111" s="2" t="s">
        <v>34</v>
      </c>
      <c r="E111" s="2" t="s">
        <v>1098</v>
      </c>
      <c r="F111" s="2" t="s">
        <v>1099</v>
      </c>
      <c r="G111" s="2" t="s">
        <v>873</v>
      </c>
      <c r="H111" s="2" t="s">
        <v>35</v>
      </c>
      <c r="I111" s="2" t="s">
        <v>1111</v>
      </c>
      <c r="J111" s="2" t="s">
        <v>874</v>
      </c>
      <c r="K111" s="2" t="s">
        <v>50</v>
      </c>
      <c r="L111" s="2" t="s">
        <v>1127</v>
      </c>
      <c r="M111" s="2" t="s">
        <v>50</v>
      </c>
      <c r="N111" s="2" t="s">
        <v>875</v>
      </c>
      <c r="O111" s="2" t="s">
        <v>413</v>
      </c>
      <c r="P111" s="2" t="s">
        <v>876</v>
      </c>
      <c r="Q111" s="2" t="s">
        <v>73</v>
      </c>
      <c r="R111" s="2" t="s">
        <v>131</v>
      </c>
      <c r="S111" s="2" t="n">
        <v>4</v>
      </c>
      <c r="T111" s="2" t="s">
        <v>41</v>
      </c>
      <c r="U111" s="2"/>
      <c r="V111" s="2" t="s">
        <v>215</v>
      </c>
      <c r="W111" s="2" t="s">
        <v>47</v>
      </c>
      <c r="X111" s="2" t="n">
        <v>1165</v>
      </c>
      <c r="Y111" s="2" t="n">
        <v>224</v>
      </c>
      <c r="Z111" s="2" t="n">
        <v>186</v>
      </c>
      <c r="AA111" s="2" t="n">
        <v>144</v>
      </c>
      <c r="AB111" s="2" t="s">
        <v>1656</v>
      </c>
      <c r="AC111" s="2"/>
      <c r="AD111" s="2" t="s">
        <v>1238</v>
      </c>
      <c r="AE111" s="2" t="s">
        <v>692</v>
      </c>
      <c r="AF111" s="2" t="s">
        <v>212</v>
      </c>
      <c r="AG111" s="2" t="s">
        <v>1239</v>
      </c>
      <c r="AH111" s="2" t="s">
        <v>412</v>
      </c>
      <c r="AI111" s="2" t="s">
        <v>1657</v>
      </c>
      <c r="AJ111" s="2" t="s">
        <v>1658</v>
      </c>
      <c r="AK111" s="2" t="s">
        <v>1242</v>
      </c>
      <c r="AL111" s="2" t="s">
        <v>1243</v>
      </c>
      <c r="AM111" s="2"/>
      <c r="AN111" s="2"/>
      <c r="AO111" s="2"/>
      <c r="AP111" s="2"/>
      <c r="AQ111" s="2"/>
      <c r="AR111" s="2"/>
    </row>
    <row r="112" customFormat="false" ht="23.85" hidden="false" customHeight="false" outlineLevel="0" collapsed="false">
      <c r="A112" s="2" t="n">
        <v>111</v>
      </c>
      <c r="B112" s="2" t="s">
        <v>1252</v>
      </c>
      <c r="C112" s="2" t="s">
        <v>686</v>
      </c>
      <c r="D112" s="2" t="s">
        <v>34</v>
      </c>
      <c r="E112" s="2" t="s">
        <v>1098</v>
      </c>
      <c r="F112" s="2" t="s">
        <v>1099</v>
      </c>
      <c r="G112" s="2" t="s">
        <v>873</v>
      </c>
      <c r="H112" s="2" t="s">
        <v>35</v>
      </c>
      <c r="I112" s="2" t="s">
        <v>1111</v>
      </c>
      <c r="J112" s="2" t="s">
        <v>874</v>
      </c>
      <c r="K112" s="2" t="s">
        <v>50</v>
      </c>
      <c r="L112" s="2" t="s">
        <v>1127</v>
      </c>
      <c r="M112" s="2" t="s">
        <v>50</v>
      </c>
      <c r="N112" s="2" t="s">
        <v>875</v>
      </c>
      <c r="O112" s="2" t="s">
        <v>219</v>
      </c>
      <c r="P112" s="2" t="s">
        <v>877</v>
      </c>
      <c r="Q112" s="2" t="s">
        <v>66</v>
      </c>
      <c r="R112" s="2" t="s">
        <v>104</v>
      </c>
      <c r="S112" s="2" t="n">
        <v>3</v>
      </c>
      <c r="T112" s="2" t="s">
        <v>41</v>
      </c>
      <c r="U112" s="2"/>
      <c r="V112" s="2" t="s">
        <v>211</v>
      </c>
      <c r="W112" s="2" t="s">
        <v>47</v>
      </c>
      <c r="X112" s="2" t="n">
        <v>1023</v>
      </c>
      <c r="Y112" s="2" t="n">
        <v>87</v>
      </c>
      <c r="Z112" s="2" t="n">
        <v>51</v>
      </c>
      <c r="AA112" s="2" t="n">
        <v>47</v>
      </c>
      <c r="AB112" s="2" t="s">
        <v>1659</v>
      </c>
      <c r="AC112" s="2"/>
      <c r="AD112" s="2" t="s">
        <v>1238</v>
      </c>
      <c r="AE112" s="2" t="s">
        <v>692</v>
      </c>
      <c r="AF112" s="2" t="s">
        <v>212</v>
      </c>
      <c r="AG112" s="2" t="s">
        <v>1239</v>
      </c>
      <c r="AH112" s="2" t="s">
        <v>414</v>
      </c>
      <c r="AI112" s="2" t="s">
        <v>1660</v>
      </c>
      <c r="AJ112" s="2" t="s">
        <v>1661</v>
      </c>
      <c r="AK112" s="2" t="s">
        <v>1242</v>
      </c>
      <c r="AL112" s="2" t="s">
        <v>1243</v>
      </c>
      <c r="AM112" s="2"/>
      <c r="AN112" s="2"/>
      <c r="AO112" s="2"/>
      <c r="AP112" s="2"/>
      <c r="AQ112" s="2"/>
      <c r="AR112" s="2"/>
    </row>
    <row r="113" customFormat="false" ht="23.85" hidden="false" customHeight="false" outlineLevel="0" collapsed="false">
      <c r="A113" s="2" t="n">
        <v>112</v>
      </c>
      <c r="B113" s="2" t="s">
        <v>1490</v>
      </c>
      <c r="C113" s="2" t="s">
        <v>686</v>
      </c>
      <c r="D113" s="2" t="s">
        <v>34</v>
      </c>
      <c r="E113" s="2" t="s">
        <v>1098</v>
      </c>
      <c r="F113" s="2" t="s">
        <v>1099</v>
      </c>
      <c r="G113" s="2" t="s">
        <v>873</v>
      </c>
      <c r="H113" s="2" t="s">
        <v>35</v>
      </c>
      <c r="I113" s="2" t="s">
        <v>1111</v>
      </c>
      <c r="J113" s="2" t="s">
        <v>874</v>
      </c>
      <c r="K113" s="2" t="s">
        <v>50</v>
      </c>
      <c r="L113" s="2" t="s">
        <v>1127</v>
      </c>
      <c r="M113" s="2" t="s">
        <v>50</v>
      </c>
      <c r="N113" s="2" t="s">
        <v>875</v>
      </c>
      <c r="O113" s="2" t="s">
        <v>339</v>
      </c>
      <c r="P113" s="2" t="s">
        <v>878</v>
      </c>
      <c r="Q113" s="2" t="s">
        <v>52</v>
      </c>
      <c r="R113" s="2" t="s">
        <v>90</v>
      </c>
      <c r="S113" s="2" t="n">
        <v>1</v>
      </c>
      <c r="T113" s="2" t="s">
        <v>61</v>
      </c>
      <c r="U113" s="2"/>
      <c r="V113" s="2" t="s">
        <v>230</v>
      </c>
      <c r="W113" s="2" t="s">
        <v>47</v>
      </c>
      <c r="X113" s="2" t="n">
        <v>1037</v>
      </c>
      <c r="Y113" s="2" t="n">
        <v>73</v>
      </c>
      <c r="Z113" s="2" t="n">
        <v>57</v>
      </c>
      <c r="AA113" s="2" t="n">
        <v>55</v>
      </c>
      <c r="AB113" s="2" t="s">
        <v>1662</v>
      </c>
      <c r="AC113" s="2"/>
      <c r="AD113" s="2" t="s">
        <v>1238</v>
      </c>
      <c r="AE113" s="2" t="s">
        <v>692</v>
      </c>
      <c r="AF113" s="2" t="s">
        <v>212</v>
      </c>
      <c r="AG113" s="2" t="s">
        <v>1239</v>
      </c>
      <c r="AH113" s="2" t="s">
        <v>415</v>
      </c>
      <c r="AI113" s="2" t="s">
        <v>1663</v>
      </c>
      <c r="AJ113" s="2" t="s">
        <v>1664</v>
      </c>
      <c r="AK113" s="2" t="s">
        <v>1242</v>
      </c>
      <c r="AL113" s="2" t="s">
        <v>1243</v>
      </c>
      <c r="AM113" s="2"/>
      <c r="AN113" s="2"/>
      <c r="AO113" s="2"/>
      <c r="AP113" s="2"/>
      <c r="AQ113" s="2"/>
      <c r="AR113" s="2"/>
    </row>
    <row r="114" customFormat="false" ht="23.85" hidden="false" customHeight="false" outlineLevel="0" collapsed="false">
      <c r="A114" s="2" t="n">
        <v>113</v>
      </c>
      <c r="B114" s="2" t="s">
        <v>1665</v>
      </c>
      <c r="C114" s="2" t="s">
        <v>686</v>
      </c>
      <c r="D114" s="2" t="s">
        <v>34</v>
      </c>
      <c r="E114" s="2" t="s">
        <v>1098</v>
      </c>
      <c r="F114" s="2" t="s">
        <v>1099</v>
      </c>
      <c r="G114" s="2" t="s">
        <v>873</v>
      </c>
      <c r="H114" s="2" t="s">
        <v>35</v>
      </c>
      <c r="I114" s="2" t="s">
        <v>1111</v>
      </c>
      <c r="J114" s="2" t="s">
        <v>874</v>
      </c>
      <c r="K114" s="2" t="s">
        <v>50</v>
      </c>
      <c r="L114" s="2" t="s">
        <v>1127</v>
      </c>
      <c r="M114" s="2" t="s">
        <v>50</v>
      </c>
      <c r="N114" s="2" t="s">
        <v>875</v>
      </c>
      <c r="O114" s="2" t="s">
        <v>417</v>
      </c>
      <c r="P114" s="2" t="s">
        <v>879</v>
      </c>
      <c r="Q114" s="2" t="s">
        <v>69</v>
      </c>
      <c r="R114" s="2" t="s">
        <v>107</v>
      </c>
      <c r="S114" s="2" t="n">
        <v>1</v>
      </c>
      <c r="T114" s="2" t="s">
        <v>61</v>
      </c>
      <c r="U114" s="2"/>
      <c r="V114" s="2" t="s">
        <v>230</v>
      </c>
      <c r="W114" s="2" t="s">
        <v>40</v>
      </c>
      <c r="X114" s="2" t="n">
        <v>993</v>
      </c>
      <c r="Y114" s="2" t="n">
        <v>190</v>
      </c>
      <c r="Z114" s="2" t="n">
        <v>37</v>
      </c>
      <c r="AA114" s="2" t="n">
        <v>37</v>
      </c>
      <c r="AB114" s="2" t="s">
        <v>1666</v>
      </c>
      <c r="AC114" s="2"/>
      <c r="AD114" s="2" t="s">
        <v>1238</v>
      </c>
      <c r="AE114" s="2" t="s">
        <v>692</v>
      </c>
      <c r="AF114" s="2" t="s">
        <v>212</v>
      </c>
      <c r="AG114" s="2" t="s">
        <v>1239</v>
      </c>
      <c r="AH114" s="2" t="s">
        <v>416</v>
      </c>
      <c r="AI114" s="2" t="s">
        <v>1667</v>
      </c>
      <c r="AJ114" s="2" t="s">
        <v>1668</v>
      </c>
      <c r="AK114" s="2" t="s">
        <v>1242</v>
      </c>
      <c r="AL114" s="2" t="s">
        <v>1243</v>
      </c>
      <c r="AM114" s="2"/>
      <c r="AN114" s="2"/>
      <c r="AO114" s="2"/>
      <c r="AP114" s="2"/>
      <c r="AQ114" s="2"/>
      <c r="AR114" s="2"/>
    </row>
    <row r="115" customFormat="false" ht="23.85" hidden="false" customHeight="false" outlineLevel="0" collapsed="false">
      <c r="A115" s="2" t="n">
        <v>114</v>
      </c>
      <c r="B115" s="2" t="s">
        <v>1669</v>
      </c>
      <c r="C115" s="2" t="s">
        <v>686</v>
      </c>
      <c r="D115" s="2" t="s">
        <v>34</v>
      </c>
      <c r="E115" s="2" t="s">
        <v>1098</v>
      </c>
      <c r="F115" s="2" t="s">
        <v>1099</v>
      </c>
      <c r="G115" s="2" t="s">
        <v>873</v>
      </c>
      <c r="H115" s="2" t="s">
        <v>35</v>
      </c>
      <c r="I115" s="2" t="s">
        <v>1111</v>
      </c>
      <c r="J115" s="2" t="s">
        <v>874</v>
      </c>
      <c r="K115" s="2" t="s">
        <v>50</v>
      </c>
      <c r="L115" s="2" t="s">
        <v>1127</v>
      </c>
      <c r="M115" s="2" t="s">
        <v>50</v>
      </c>
      <c r="N115" s="2" t="s">
        <v>875</v>
      </c>
      <c r="O115" s="2" t="s">
        <v>419</v>
      </c>
      <c r="P115" s="2" t="s">
        <v>881</v>
      </c>
      <c r="Q115" s="2" t="s">
        <v>75</v>
      </c>
      <c r="R115" s="2" t="s">
        <v>145</v>
      </c>
      <c r="S115" s="2" t="n">
        <v>1</v>
      </c>
      <c r="T115" s="2" t="s">
        <v>61</v>
      </c>
      <c r="U115" s="2"/>
      <c r="V115" s="2" t="s">
        <v>230</v>
      </c>
      <c r="W115" s="2" t="s">
        <v>40</v>
      </c>
      <c r="X115" s="2" t="n">
        <v>1064</v>
      </c>
      <c r="Y115" s="2" t="n">
        <v>255</v>
      </c>
      <c r="Z115" s="2" t="n">
        <v>161</v>
      </c>
      <c r="AA115" s="2" t="n">
        <v>0</v>
      </c>
      <c r="AB115" s="2" t="s">
        <v>1670</v>
      </c>
      <c r="AC115" s="2"/>
      <c r="AD115" s="2" t="s">
        <v>1238</v>
      </c>
      <c r="AE115" s="2" t="s">
        <v>692</v>
      </c>
      <c r="AF115" s="2" t="s">
        <v>212</v>
      </c>
      <c r="AG115" s="2" t="s">
        <v>1239</v>
      </c>
      <c r="AH115" s="2" t="s">
        <v>418</v>
      </c>
      <c r="AI115" s="2" t="s">
        <v>1671</v>
      </c>
      <c r="AJ115" s="2" t="s">
        <v>1672</v>
      </c>
      <c r="AK115" s="2" t="s">
        <v>1242</v>
      </c>
      <c r="AL115" s="2" t="s">
        <v>1243</v>
      </c>
      <c r="AM115" s="2"/>
      <c r="AN115" s="2"/>
      <c r="AO115" s="2"/>
      <c r="AP115" s="2"/>
      <c r="AQ115" s="2"/>
      <c r="AR115" s="2"/>
    </row>
    <row r="116" customFormat="false" ht="23.85" hidden="false" customHeight="false" outlineLevel="0" collapsed="false">
      <c r="A116" s="2" t="n">
        <v>115</v>
      </c>
      <c r="B116" s="2" t="s">
        <v>1673</v>
      </c>
      <c r="C116" s="2" t="s">
        <v>686</v>
      </c>
      <c r="D116" s="2" t="s">
        <v>34</v>
      </c>
      <c r="E116" s="2" t="s">
        <v>1098</v>
      </c>
      <c r="F116" s="2" t="s">
        <v>1099</v>
      </c>
      <c r="G116" s="2" t="s">
        <v>873</v>
      </c>
      <c r="H116" s="2" t="s">
        <v>35</v>
      </c>
      <c r="I116" s="2" t="s">
        <v>1111</v>
      </c>
      <c r="J116" s="2" t="s">
        <v>874</v>
      </c>
      <c r="K116" s="2" t="s">
        <v>50</v>
      </c>
      <c r="L116" s="2" t="s">
        <v>1127</v>
      </c>
      <c r="M116" s="2" t="s">
        <v>50</v>
      </c>
      <c r="N116" s="2" t="s">
        <v>875</v>
      </c>
      <c r="O116" s="2" t="s">
        <v>421</v>
      </c>
      <c r="P116" s="2" t="s">
        <v>882</v>
      </c>
      <c r="Q116" s="2" t="s">
        <v>75</v>
      </c>
      <c r="R116" s="2" t="s">
        <v>146</v>
      </c>
      <c r="S116" s="2" t="n">
        <v>2</v>
      </c>
      <c r="T116" s="2" t="s">
        <v>41</v>
      </c>
      <c r="U116" s="2"/>
      <c r="V116" s="2" t="s">
        <v>215</v>
      </c>
      <c r="W116" s="2" t="s">
        <v>40</v>
      </c>
      <c r="X116" s="2" t="n">
        <v>963</v>
      </c>
      <c r="Y116" s="2" t="n">
        <v>255</v>
      </c>
      <c r="Z116" s="2" t="n">
        <v>186</v>
      </c>
      <c r="AA116" s="2" t="n">
        <v>0</v>
      </c>
      <c r="AB116" s="2" t="s">
        <v>1674</v>
      </c>
      <c r="AC116" s="2"/>
      <c r="AD116" s="2" t="s">
        <v>1238</v>
      </c>
      <c r="AE116" s="2" t="s">
        <v>692</v>
      </c>
      <c r="AF116" s="2" t="s">
        <v>212</v>
      </c>
      <c r="AG116" s="2" t="s">
        <v>1239</v>
      </c>
      <c r="AH116" s="2" t="s">
        <v>420</v>
      </c>
      <c r="AI116" s="2" t="s">
        <v>1675</v>
      </c>
      <c r="AJ116" s="2" t="s">
        <v>1676</v>
      </c>
      <c r="AK116" s="2" t="s">
        <v>1242</v>
      </c>
      <c r="AL116" s="2" t="s">
        <v>1243</v>
      </c>
      <c r="AM116" s="2"/>
      <c r="AN116" s="2"/>
      <c r="AO116" s="2"/>
      <c r="AP116" s="2"/>
      <c r="AQ116" s="2"/>
      <c r="AR116" s="2"/>
    </row>
    <row r="117" customFormat="false" ht="23.85" hidden="false" customHeight="false" outlineLevel="0" collapsed="false">
      <c r="A117" s="2" t="n">
        <v>116</v>
      </c>
      <c r="B117" s="2" t="s">
        <v>1276</v>
      </c>
      <c r="C117" s="2" t="s">
        <v>686</v>
      </c>
      <c r="D117" s="2" t="s">
        <v>34</v>
      </c>
      <c r="E117" s="2" t="s">
        <v>1098</v>
      </c>
      <c r="F117" s="2" t="s">
        <v>1099</v>
      </c>
      <c r="G117" s="2" t="s">
        <v>873</v>
      </c>
      <c r="H117" s="2" t="s">
        <v>35</v>
      </c>
      <c r="I117" s="2" t="s">
        <v>1111</v>
      </c>
      <c r="J117" s="2" t="s">
        <v>874</v>
      </c>
      <c r="K117" s="2" t="s">
        <v>50</v>
      </c>
      <c r="L117" s="2" t="s">
        <v>1127</v>
      </c>
      <c r="M117" s="2" t="s">
        <v>50</v>
      </c>
      <c r="N117" s="2" t="s">
        <v>875</v>
      </c>
      <c r="O117" s="2" t="s">
        <v>232</v>
      </c>
      <c r="P117" s="2" t="s">
        <v>885</v>
      </c>
      <c r="Q117" s="2" t="s">
        <v>45</v>
      </c>
      <c r="R117" s="2" t="s">
        <v>423</v>
      </c>
      <c r="S117" s="2" t="n">
        <v>0</v>
      </c>
      <c r="T117" s="2" t="s">
        <v>55</v>
      </c>
      <c r="U117" s="2"/>
      <c r="V117" s="2" t="s">
        <v>230</v>
      </c>
      <c r="W117" s="2" t="s">
        <v>47</v>
      </c>
      <c r="X117" s="2" t="n">
        <v>1117</v>
      </c>
      <c r="Y117" s="2" t="n">
        <v>37</v>
      </c>
      <c r="Z117" s="2" t="n">
        <v>80</v>
      </c>
      <c r="AA117" s="2" t="n">
        <v>180</v>
      </c>
      <c r="AB117" s="2" t="s">
        <v>1677</v>
      </c>
      <c r="AC117" s="2"/>
      <c r="AD117" s="2" t="s">
        <v>1238</v>
      </c>
      <c r="AE117" s="2" t="s">
        <v>692</v>
      </c>
      <c r="AF117" s="2" t="s">
        <v>212</v>
      </c>
      <c r="AG117" s="2" t="s">
        <v>1678</v>
      </c>
      <c r="AH117" s="2" t="s">
        <v>422</v>
      </c>
      <c r="AI117" s="2" t="s">
        <v>1679</v>
      </c>
      <c r="AJ117" s="2" t="s">
        <v>1680</v>
      </c>
      <c r="AK117" s="2" t="s">
        <v>1242</v>
      </c>
      <c r="AL117" s="2" t="s">
        <v>1243</v>
      </c>
      <c r="AM117" s="2"/>
      <c r="AN117" s="2"/>
      <c r="AO117" s="2"/>
      <c r="AP117" s="2"/>
      <c r="AQ117" s="2"/>
      <c r="AR117" s="2"/>
    </row>
    <row r="118" customFormat="false" ht="23.85" hidden="false" customHeight="false" outlineLevel="0" collapsed="false">
      <c r="A118" s="2" t="n">
        <v>117</v>
      </c>
      <c r="B118" s="2" t="s">
        <v>1681</v>
      </c>
      <c r="C118" s="2" t="s">
        <v>686</v>
      </c>
      <c r="D118" s="2" t="s">
        <v>34</v>
      </c>
      <c r="E118" s="2" t="s">
        <v>1098</v>
      </c>
      <c r="F118" s="2" t="s">
        <v>1099</v>
      </c>
      <c r="G118" s="2" t="s">
        <v>873</v>
      </c>
      <c r="H118" s="2" t="s">
        <v>35</v>
      </c>
      <c r="I118" s="2" t="s">
        <v>1111</v>
      </c>
      <c r="J118" s="2" t="s">
        <v>874</v>
      </c>
      <c r="K118" s="2" t="s">
        <v>50</v>
      </c>
      <c r="L118" s="2" t="s">
        <v>1127</v>
      </c>
      <c r="M118" s="2" t="s">
        <v>50</v>
      </c>
      <c r="N118" s="2" t="s">
        <v>875</v>
      </c>
      <c r="O118" s="2" t="s">
        <v>425</v>
      </c>
      <c r="P118" s="2" t="s">
        <v>887</v>
      </c>
      <c r="Q118" s="2" t="s">
        <v>69</v>
      </c>
      <c r="R118" s="2" t="s">
        <v>110</v>
      </c>
      <c r="S118" s="2" t="n">
        <v>1</v>
      </c>
      <c r="T118" s="2" t="s">
        <v>61</v>
      </c>
      <c r="U118" s="2"/>
      <c r="V118" s="2" t="s">
        <v>211</v>
      </c>
      <c r="W118" s="2" t="s">
        <v>40</v>
      </c>
      <c r="X118" s="2" t="n">
        <v>1068</v>
      </c>
      <c r="Y118" s="2" t="n">
        <v>167</v>
      </c>
      <c r="Z118" s="2" t="n">
        <v>1</v>
      </c>
      <c r="AA118" s="2" t="n">
        <v>33</v>
      </c>
      <c r="AB118" s="2" t="s">
        <v>1682</v>
      </c>
      <c r="AC118" s="2"/>
      <c r="AD118" s="2" t="s">
        <v>1238</v>
      </c>
      <c r="AE118" s="2" t="s">
        <v>692</v>
      </c>
      <c r="AF118" s="2" t="s">
        <v>212</v>
      </c>
      <c r="AG118" s="2" t="s">
        <v>1239</v>
      </c>
      <c r="AH118" s="2" t="s">
        <v>424</v>
      </c>
      <c r="AI118" s="2" t="s">
        <v>1683</v>
      </c>
      <c r="AJ118" s="2" t="s">
        <v>1684</v>
      </c>
      <c r="AK118" s="2" t="s">
        <v>1242</v>
      </c>
      <c r="AL118" s="2" t="s">
        <v>1243</v>
      </c>
      <c r="AM118" s="2"/>
      <c r="AN118" s="2"/>
      <c r="AO118" s="2"/>
      <c r="AP118" s="2"/>
      <c r="AQ118" s="2"/>
      <c r="AR118" s="2"/>
    </row>
    <row r="119" customFormat="false" ht="23.85" hidden="false" customHeight="false" outlineLevel="0" collapsed="false">
      <c r="A119" s="2" t="n">
        <v>118</v>
      </c>
      <c r="B119" s="2" t="s">
        <v>1312</v>
      </c>
      <c r="C119" s="2" t="s">
        <v>686</v>
      </c>
      <c r="D119" s="2" t="s">
        <v>34</v>
      </c>
      <c r="E119" s="2" t="s">
        <v>1098</v>
      </c>
      <c r="F119" s="2" t="s">
        <v>1099</v>
      </c>
      <c r="G119" s="2" t="s">
        <v>873</v>
      </c>
      <c r="H119" s="2" t="s">
        <v>35</v>
      </c>
      <c r="I119" s="2" t="s">
        <v>1111</v>
      </c>
      <c r="J119" s="2" t="s">
        <v>874</v>
      </c>
      <c r="K119" s="2" t="s">
        <v>50</v>
      </c>
      <c r="L119" s="2" t="s">
        <v>1127</v>
      </c>
      <c r="M119" s="2" t="s">
        <v>50</v>
      </c>
      <c r="N119" s="2" t="s">
        <v>875</v>
      </c>
      <c r="O119" s="2" t="s">
        <v>251</v>
      </c>
      <c r="P119" s="2" t="s">
        <v>888</v>
      </c>
      <c r="Q119" s="2" t="s">
        <v>75</v>
      </c>
      <c r="R119" s="2" t="s">
        <v>134</v>
      </c>
      <c r="S119" s="2" t="n">
        <v>1</v>
      </c>
      <c r="T119" s="2" t="s">
        <v>61</v>
      </c>
      <c r="U119" s="2"/>
      <c r="V119" s="2" t="s">
        <v>233</v>
      </c>
      <c r="W119" s="2" t="s">
        <v>40</v>
      </c>
      <c r="X119" s="2" t="n">
        <v>1100</v>
      </c>
      <c r="Y119" s="2" t="n">
        <v>147</v>
      </c>
      <c r="Z119" s="2" t="n">
        <v>127</v>
      </c>
      <c r="AA119" s="2" t="n">
        <v>46</v>
      </c>
      <c r="AB119" s="2" t="s">
        <v>1685</v>
      </c>
      <c r="AC119" s="2"/>
      <c r="AD119" s="2" t="s">
        <v>1238</v>
      </c>
      <c r="AE119" s="2" t="s">
        <v>692</v>
      </c>
      <c r="AF119" s="2" t="s">
        <v>212</v>
      </c>
      <c r="AG119" s="2" t="s">
        <v>1239</v>
      </c>
      <c r="AH119" s="2" t="s">
        <v>426</v>
      </c>
      <c r="AI119" s="2" t="s">
        <v>1686</v>
      </c>
      <c r="AJ119" s="2" t="s">
        <v>1687</v>
      </c>
      <c r="AK119" s="2" t="s">
        <v>1242</v>
      </c>
      <c r="AL119" s="2" t="s">
        <v>1243</v>
      </c>
      <c r="AM119" s="2"/>
      <c r="AN119" s="2"/>
      <c r="AO119" s="2"/>
      <c r="AP119" s="2"/>
      <c r="AQ119" s="2"/>
      <c r="AR119" s="2"/>
    </row>
    <row r="120" customFormat="false" ht="23.85" hidden="false" customHeight="false" outlineLevel="0" collapsed="false">
      <c r="A120" s="2" t="n">
        <v>119</v>
      </c>
      <c r="B120" s="2" t="s">
        <v>1688</v>
      </c>
      <c r="C120" s="2" t="s">
        <v>686</v>
      </c>
      <c r="D120" s="2" t="s">
        <v>34</v>
      </c>
      <c r="E120" s="2" t="s">
        <v>1098</v>
      </c>
      <c r="F120" s="2" t="s">
        <v>1099</v>
      </c>
      <c r="G120" s="2" t="s">
        <v>873</v>
      </c>
      <c r="H120" s="2" t="s">
        <v>35</v>
      </c>
      <c r="I120" s="2" t="s">
        <v>1111</v>
      </c>
      <c r="J120" s="2" t="s">
        <v>874</v>
      </c>
      <c r="K120" s="2" t="s">
        <v>50</v>
      </c>
      <c r="L120" s="2" t="s">
        <v>1127</v>
      </c>
      <c r="M120" s="2" t="s">
        <v>50</v>
      </c>
      <c r="N120" s="2" t="s">
        <v>875</v>
      </c>
      <c r="O120" s="2" t="s">
        <v>428</v>
      </c>
      <c r="P120" s="2" t="s">
        <v>889</v>
      </c>
      <c r="Q120" s="2" t="s">
        <v>58</v>
      </c>
      <c r="R120" s="2" t="s">
        <v>51</v>
      </c>
      <c r="S120" s="2" t="n">
        <v>2</v>
      </c>
      <c r="T120" s="2" t="s">
        <v>41</v>
      </c>
      <c r="U120" s="2"/>
      <c r="V120" s="2" t="s">
        <v>230</v>
      </c>
      <c r="W120" s="2" t="s">
        <v>47</v>
      </c>
      <c r="X120" s="2" t="n">
        <v>1086</v>
      </c>
      <c r="Y120" s="2" t="n">
        <v>47</v>
      </c>
      <c r="Z120" s="2" t="n">
        <v>58</v>
      </c>
      <c r="AA120" s="2" t="n">
        <v>52</v>
      </c>
      <c r="AB120" s="2" t="s">
        <v>1689</v>
      </c>
      <c r="AC120" s="2"/>
      <c r="AD120" s="2" t="s">
        <v>1238</v>
      </c>
      <c r="AE120" s="2" t="s">
        <v>692</v>
      </c>
      <c r="AF120" s="2" t="s">
        <v>212</v>
      </c>
      <c r="AG120" s="2" t="s">
        <v>1239</v>
      </c>
      <c r="AH120" s="2" t="s">
        <v>427</v>
      </c>
      <c r="AI120" s="2" t="s">
        <v>1690</v>
      </c>
      <c r="AJ120" s="2" t="s">
        <v>1691</v>
      </c>
      <c r="AK120" s="2" t="s">
        <v>1242</v>
      </c>
      <c r="AL120" s="2" t="s">
        <v>1243</v>
      </c>
      <c r="AM120" s="2"/>
      <c r="AN120" s="2"/>
      <c r="AO120" s="2"/>
      <c r="AP120" s="2"/>
      <c r="AQ120" s="2"/>
      <c r="AR120" s="2"/>
    </row>
    <row r="121" customFormat="false" ht="23.85" hidden="false" customHeight="false" outlineLevel="0" collapsed="false">
      <c r="A121" s="2" t="n">
        <v>120</v>
      </c>
      <c r="B121" s="2" t="s">
        <v>1328</v>
      </c>
      <c r="C121" s="2" t="s">
        <v>686</v>
      </c>
      <c r="D121" s="2" t="s">
        <v>34</v>
      </c>
      <c r="E121" s="2" t="s">
        <v>1098</v>
      </c>
      <c r="F121" s="2" t="s">
        <v>1099</v>
      </c>
      <c r="G121" s="2" t="s">
        <v>873</v>
      </c>
      <c r="H121" s="2" t="s">
        <v>35</v>
      </c>
      <c r="I121" s="2" t="s">
        <v>1111</v>
      </c>
      <c r="J121" s="2" t="s">
        <v>874</v>
      </c>
      <c r="K121" s="2" t="s">
        <v>50</v>
      </c>
      <c r="L121" s="2" t="s">
        <v>1127</v>
      </c>
      <c r="M121" s="2" t="s">
        <v>50</v>
      </c>
      <c r="N121" s="2" t="s">
        <v>875</v>
      </c>
      <c r="O121" s="2" t="s">
        <v>259</v>
      </c>
      <c r="P121" s="2" t="s">
        <v>890</v>
      </c>
      <c r="Q121" s="2" t="s">
        <v>38</v>
      </c>
      <c r="R121" s="2" t="s">
        <v>87</v>
      </c>
      <c r="S121" s="2" t="n">
        <v>1</v>
      </c>
      <c r="T121" s="2" t="s">
        <v>61</v>
      </c>
      <c r="U121" s="2"/>
      <c r="V121" s="2" t="s">
        <v>230</v>
      </c>
      <c r="W121" s="2" t="s">
        <v>47</v>
      </c>
      <c r="X121" s="2" t="n">
        <v>991</v>
      </c>
      <c r="Y121" s="2" t="n">
        <v>43</v>
      </c>
      <c r="Z121" s="2" t="n">
        <v>41</v>
      </c>
      <c r="AA121" s="2" t="n">
        <v>44</v>
      </c>
      <c r="AB121" s="2" t="s">
        <v>1692</v>
      </c>
      <c r="AC121" s="2"/>
      <c r="AD121" s="2" t="s">
        <v>1238</v>
      </c>
      <c r="AE121" s="2" t="s">
        <v>692</v>
      </c>
      <c r="AF121" s="2" t="s">
        <v>212</v>
      </c>
      <c r="AG121" s="2" t="s">
        <v>1239</v>
      </c>
      <c r="AH121" s="2" t="s">
        <v>429</v>
      </c>
      <c r="AI121" s="2" t="s">
        <v>1693</v>
      </c>
      <c r="AJ121" s="2" t="s">
        <v>1694</v>
      </c>
      <c r="AK121" s="2" t="s">
        <v>1242</v>
      </c>
      <c r="AL121" s="2" t="s">
        <v>1243</v>
      </c>
      <c r="AM121" s="2"/>
      <c r="AN121" s="2"/>
      <c r="AO121" s="2"/>
      <c r="AP121" s="2"/>
      <c r="AQ121" s="2"/>
      <c r="AR121" s="2"/>
    </row>
    <row r="122" customFormat="false" ht="23.85" hidden="false" customHeight="false" outlineLevel="0" collapsed="false">
      <c r="A122" s="2" t="n">
        <v>121</v>
      </c>
      <c r="B122" s="2" t="s">
        <v>1332</v>
      </c>
      <c r="C122" s="2" t="s">
        <v>686</v>
      </c>
      <c r="D122" s="2" t="s">
        <v>34</v>
      </c>
      <c r="E122" s="2" t="s">
        <v>1098</v>
      </c>
      <c r="F122" s="2" t="s">
        <v>1099</v>
      </c>
      <c r="G122" s="2" t="s">
        <v>873</v>
      </c>
      <c r="H122" s="2" t="s">
        <v>35</v>
      </c>
      <c r="I122" s="2" t="s">
        <v>1111</v>
      </c>
      <c r="J122" s="2" t="s">
        <v>874</v>
      </c>
      <c r="K122" s="2" t="s">
        <v>50</v>
      </c>
      <c r="L122" s="2" t="s">
        <v>1127</v>
      </c>
      <c r="M122" s="2" t="s">
        <v>50</v>
      </c>
      <c r="N122" s="2" t="s">
        <v>875</v>
      </c>
      <c r="O122" s="2" t="s">
        <v>261</v>
      </c>
      <c r="P122" s="2" t="s">
        <v>891</v>
      </c>
      <c r="Q122" s="2" t="s">
        <v>38</v>
      </c>
      <c r="R122" s="2" t="s">
        <v>85</v>
      </c>
      <c r="S122" s="2" t="n">
        <v>1</v>
      </c>
      <c r="T122" s="2" t="s">
        <v>61</v>
      </c>
      <c r="U122" s="2"/>
      <c r="V122" s="2" t="s">
        <v>215</v>
      </c>
      <c r="W122" s="2" t="s">
        <v>47</v>
      </c>
      <c r="X122" s="2" t="n">
        <v>1121</v>
      </c>
      <c r="Y122" s="2" t="n">
        <v>42</v>
      </c>
      <c r="Z122" s="2" t="n">
        <v>41</v>
      </c>
      <c r="AA122" s="2" t="n">
        <v>45</v>
      </c>
      <c r="AB122" s="2" t="s">
        <v>1695</v>
      </c>
      <c r="AC122" s="2"/>
      <c r="AD122" s="2" t="s">
        <v>1238</v>
      </c>
      <c r="AE122" s="2" t="s">
        <v>692</v>
      </c>
      <c r="AF122" s="2" t="s">
        <v>212</v>
      </c>
      <c r="AG122" s="2" t="s">
        <v>1239</v>
      </c>
      <c r="AH122" s="2" t="s">
        <v>430</v>
      </c>
      <c r="AI122" s="2" t="s">
        <v>1696</v>
      </c>
      <c r="AJ122" s="2" t="s">
        <v>1697</v>
      </c>
      <c r="AK122" s="2" t="s">
        <v>1242</v>
      </c>
      <c r="AL122" s="2" t="s">
        <v>1243</v>
      </c>
      <c r="AM122" s="2"/>
      <c r="AN122" s="2"/>
      <c r="AO122" s="2"/>
      <c r="AP122" s="2"/>
      <c r="AQ122" s="2"/>
      <c r="AR122" s="2"/>
    </row>
    <row r="123" customFormat="false" ht="23.85" hidden="false" customHeight="false" outlineLevel="0" collapsed="false">
      <c r="A123" s="2" t="n">
        <v>122</v>
      </c>
      <c r="B123" s="2" t="s">
        <v>1698</v>
      </c>
      <c r="C123" s="2" t="s">
        <v>686</v>
      </c>
      <c r="D123" s="2" t="s">
        <v>34</v>
      </c>
      <c r="E123" s="2" t="s">
        <v>1098</v>
      </c>
      <c r="F123" s="2" t="s">
        <v>1099</v>
      </c>
      <c r="G123" s="2" t="s">
        <v>873</v>
      </c>
      <c r="H123" s="2" t="s">
        <v>35</v>
      </c>
      <c r="I123" s="2" t="s">
        <v>1111</v>
      </c>
      <c r="J123" s="2" t="s">
        <v>874</v>
      </c>
      <c r="K123" s="2" t="s">
        <v>50</v>
      </c>
      <c r="L123" s="2" t="s">
        <v>1127</v>
      </c>
      <c r="M123" s="2" t="s">
        <v>50</v>
      </c>
      <c r="N123" s="2" t="s">
        <v>875</v>
      </c>
      <c r="O123" s="2" t="s">
        <v>359</v>
      </c>
      <c r="P123" s="2" t="s">
        <v>892</v>
      </c>
      <c r="Q123" s="2" t="s">
        <v>75</v>
      </c>
      <c r="R123" s="2" t="s">
        <v>140</v>
      </c>
      <c r="S123" s="2" t="n">
        <v>1</v>
      </c>
      <c r="T123" s="2" t="s">
        <v>61</v>
      </c>
      <c r="U123" s="2"/>
      <c r="V123" s="2" t="s">
        <v>233</v>
      </c>
      <c r="W123" s="2" t="s">
        <v>40</v>
      </c>
      <c r="X123" s="2" t="n">
        <v>1083</v>
      </c>
      <c r="Y123" s="2" t="n">
        <v>255</v>
      </c>
      <c r="Z123" s="2" t="n">
        <v>227</v>
      </c>
      <c r="AA123" s="2" t="n">
        <v>0</v>
      </c>
      <c r="AB123" s="2" t="s">
        <v>1699</v>
      </c>
      <c r="AC123" s="2"/>
      <c r="AD123" s="2" t="s">
        <v>1238</v>
      </c>
      <c r="AE123" s="2" t="s">
        <v>692</v>
      </c>
      <c r="AF123" s="2" t="s">
        <v>212</v>
      </c>
      <c r="AG123" s="2" t="s">
        <v>1239</v>
      </c>
      <c r="AH123" s="2" t="s">
        <v>431</v>
      </c>
      <c r="AI123" s="2" t="s">
        <v>1700</v>
      </c>
      <c r="AJ123" s="2" t="s">
        <v>1701</v>
      </c>
      <c r="AK123" s="2" t="s">
        <v>1242</v>
      </c>
      <c r="AL123" s="2" t="s">
        <v>1243</v>
      </c>
      <c r="AM123" s="2"/>
      <c r="AN123" s="2"/>
      <c r="AO123" s="2"/>
      <c r="AP123" s="2"/>
      <c r="AQ123" s="2"/>
      <c r="AR123" s="2"/>
    </row>
    <row r="124" customFormat="false" ht="23.85" hidden="false" customHeight="false" outlineLevel="0" collapsed="false">
      <c r="A124" s="2" t="n">
        <v>123</v>
      </c>
      <c r="B124" s="2" t="s">
        <v>1702</v>
      </c>
      <c r="C124" s="2" t="s">
        <v>686</v>
      </c>
      <c r="D124" s="2" t="s">
        <v>34</v>
      </c>
      <c r="E124" s="2" t="s">
        <v>1098</v>
      </c>
      <c r="F124" s="2" t="s">
        <v>1099</v>
      </c>
      <c r="G124" s="2" t="s">
        <v>873</v>
      </c>
      <c r="H124" s="2" t="s">
        <v>35</v>
      </c>
      <c r="I124" s="2" t="s">
        <v>1111</v>
      </c>
      <c r="J124" s="2" t="s">
        <v>874</v>
      </c>
      <c r="K124" s="2" t="s">
        <v>50</v>
      </c>
      <c r="L124" s="2" t="s">
        <v>1127</v>
      </c>
      <c r="M124" s="2" t="s">
        <v>50</v>
      </c>
      <c r="N124" s="2" t="s">
        <v>875</v>
      </c>
      <c r="O124" s="2" t="s">
        <v>433</v>
      </c>
      <c r="P124" s="2" t="s">
        <v>893</v>
      </c>
      <c r="Q124" s="2" t="s">
        <v>73</v>
      </c>
      <c r="R124" s="2" t="s">
        <v>131</v>
      </c>
      <c r="S124" s="2" t="n">
        <v>1</v>
      </c>
      <c r="T124" s="2" t="s">
        <v>61</v>
      </c>
      <c r="U124" s="2"/>
      <c r="V124" s="2" t="s">
        <v>233</v>
      </c>
      <c r="W124" s="2" t="s">
        <v>47</v>
      </c>
      <c r="X124" s="2" t="n">
        <v>1038</v>
      </c>
      <c r="Y124" s="2" t="n">
        <v>255</v>
      </c>
      <c r="Z124" s="2" t="n">
        <v>247</v>
      </c>
      <c r="AA124" s="2" t="n">
        <v>254</v>
      </c>
      <c r="AB124" s="2" t="s">
        <v>1703</v>
      </c>
      <c r="AC124" s="2"/>
      <c r="AD124" s="2" t="s">
        <v>1238</v>
      </c>
      <c r="AE124" s="2" t="s">
        <v>692</v>
      </c>
      <c r="AF124" s="2" t="s">
        <v>212</v>
      </c>
      <c r="AG124" s="2" t="s">
        <v>1239</v>
      </c>
      <c r="AH124" s="2" t="s">
        <v>432</v>
      </c>
      <c r="AI124" s="2" t="s">
        <v>1704</v>
      </c>
      <c r="AJ124" s="2" t="s">
        <v>1705</v>
      </c>
      <c r="AK124" s="2" t="s">
        <v>1242</v>
      </c>
      <c r="AL124" s="2" t="s">
        <v>1243</v>
      </c>
      <c r="AM124" s="2"/>
      <c r="AN124" s="2"/>
      <c r="AO124" s="2"/>
      <c r="AP124" s="2"/>
      <c r="AQ124" s="2"/>
      <c r="AR124" s="2"/>
    </row>
    <row r="125" customFormat="false" ht="23.85" hidden="false" customHeight="false" outlineLevel="0" collapsed="false">
      <c r="A125" s="2" t="n">
        <v>124</v>
      </c>
      <c r="B125" s="2" t="s">
        <v>1706</v>
      </c>
      <c r="C125" s="2" t="s">
        <v>686</v>
      </c>
      <c r="D125" s="2" t="s">
        <v>34</v>
      </c>
      <c r="E125" s="2" t="s">
        <v>1098</v>
      </c>
      <c r="F125" s="2" t="s">
        <v>1099</v>
      </c>
      <c r="G125" s="2" t="s">
        <v>873</v>
      </c>
      <c r="H125" s="2" t="s">
        <v>35</v>
      </c>
      <c r="I125" s="2" t="s">
        <v>1111</v>
      </c>
      <c r="J125" s="2" t="s">
        <v>874</v>
      </c>
      <c r="K125" s="2" t="s">
        <v>50</v>
      </c>
      <c r="L125" s="2" t="s">
        <v>1127</v>
      </c>
      <c r="M125" s="2" t="s">
        <v>50</v>
      </c>
      <c r="N125" s="2" t="s">
        <v>875</v>
      </c>
      <c r="O125" s="2" t="s">
        <v>277</v>
      </c>
      <c r="P125" s="2" t="s">
        <v>894</v>
      </c>
      <c r="Q125" s="2" t="s">
        <v>69</v>
      </c>
      <c r="R125" s="2" t="s">
        <v>108</v>
      </c>
      <c r="S125" s="2" t="n">
        <v>2</v>
      </c>
      <c r="T125" s="2" t="s">
        <v>41</v>
      </c>
      <c r="U125" s="2"/>
      <c r="V125" s="2" t="s">
        <v>211</v>
      </c>
      <c r="W125" s="2" t="s">
        <v>40</v>
      </c>
      <c r="X125" s="2" t="n">
        <v>845</v>
      </c>
      <c r="Y125" s="2" t="n">
        <v>106</v>
      </c>
      <c r="Z125" s="2" t="n">
        <v>36</v>
      </c>
      <c r="AA125" s="2" t="n">
        <v>58</v>
      </c>
      <c r="AB125" s="2" t="s">
        <v>1707</v>
      </c>
      <c r="AC125" s="2"/>
      <c r="AD125" s="2" t="s">
        <v>1238</v>
      </c>
      <c r="AE125" s="2" t="s">
        <v>692</v>
      </c>
      <c r="AF125" s="2" t="s">
        <v>212</v>
      </c>
      <c r="AG125" s="2" t="s">
        <v>1239</v>
      </c>
      <c r="AH125" s="2" t="s">
        <v>434</v>
      </c>
      <c r="AI125" s="2" t="s">
        <v>1708</v>
      </c>
      <c r="AJ125" s="2" t="s">
        <v>1709</v>
      </c>
      <c r="AK125" s="2" t="s">
        <v>1242</v>
      </c>
      <c r="AL125" s="2" t="s">
        <v>1243</v>
      </c>
      <c r="AM125" s="2"/>
      <c r="AN125" s="2"/>
      <c r="AO125" s="2"/>
      <c r="AP125" s="2"/>
      <c r="AQ125" s="2"/>
      <c r="AR125" s="2"/>
    </row>
    <row r="126" customFormat="false" ht="23.85" hidden="false" customHeight="false" outlineLevel="0" collapsed="false">
      <c r="A126" s="2" t="n">
        <v>125</v>
      </c>
      <c r="B126" s="2" t="s">
        <v>1710</v>
      </c>
      <c r="C126" s="2" t="s">
        <v>686</v>
      </c>
      <c r="D126" s="2" t="s">
        <v>34</v>
      </c>
      <c r="E126" s="2" t="s">
        <v>1098</v>
      </c>
      <c r="F126" s="2" t="s">
        <v>1099</v>
      </c>
      <c r="G126" s="2" t="s">
        <v>873</v>
      </c>
      <c r="H126" s="2" t="s">
        <v>35</v>
      </c>
      <c r="I126" s="2" t="s">
        <v>1111</v>
      </c>
      <c r="J126" s="2" t="s">
        <v>874</v>
      </c>
      <c r="K126" s="2" t="s">
        <v>50</v>
      </c>
      <c r="L126" s="2" t="s">
        <v>1127</v>
      </c>
      <c r="M126" s="2" t="s">
        <v>50</v>
      </c>
      <c r="N126" s="2" t="s">
        <v>875</v>
      </c>
      <c r="O126" s="2" t="s">
        <v>436</v>
      </c>
      <c r="P126" s="2" t="s">
        <v>895</v>
      </c>
      <c r="Q126" s="2" t="s">
        <v>58</v>
      </c>
      <c r="R126" s="2" t="s">
        <v>97</v>
      </c>
      <c r="S126" s="2" t="n">
        <v>1</v>
      </c>
      <c r="T126" s="2" t="s">
        <v>61</v>
      </c>
      <c r="U126" s="2"/>
      <c r="V126" s="2" t="s">
        <v>211</v>
      </c>
      <c r="W126" s="2" t="s">
        <v>40</v>
      </c>
      <c r="X126" s="2" t="n">
        <v>1079</v>
      </c>
      <c r="Y126" s="2" t="n">
        <v>14</v>
      </c>
      <c r="Z126" s="2" t="n">
        <v>50</v>
      </c>
      <c r="AA126" s="2" t="n">
        <v>55</v>
      </c>
      <c r="AB126" s="2" t="s">
        <v>1711</v>
      </c>
      <c r="AC126" s="2"/>
      <c r="AD126" s="2" t="s">
        <v>1238</v>
      </c>
      <c r="AE126" s="2" t="s">
        <v>692</v>
      </c>
      <c r="AF126" s="2" t="s">
        <v>212</v>
      </c>
      <c r="AG126" s="2" t="s">
        <v>1239</v>
      </c>
      <c r="AH126" s="2" t="s">
        <v>435</v>
      </c>
      <c r="AI126" s="2" t="s">
        <v>1712</v>
      </c>
      <c r="AJ126" s="2" t="s">
        <v>1713</v>
      </c>
      <c r="AK126" s="2" t="s">
        <v>1242</v>
      </c>
      <c r="AL126" s="2" t="s">
        <v>1243</v>
      </c>
      <c r="AM126" s="2"/>
      <c r="AN126" s="2"/>
      <c r="AO126" s="2"/>
      <c r="AP126" s="2"/>
      <c r="AQ126" s="2"/>
      <c r="AR126" s="2"/>
    </row>
    <row r="127" customFormat="false" ht="23.85" hidden="false" customHeight="false" outlineLevel="0" collapsed="false">
      <c r="A127" s="2" t="n">
        <v>126</v>
      </c>
      <c r="B127" s="2" t="s">
        <v>1714</v>
      </c>
      <c r="C127" s="2" t="s">
        <v>686</v>
      </c>
      <c r="D127" s="2" t="s">
        <v>34</v>
      </c>
      <c r="E127" s="2" t="s">
        <v>1098</v>
      </c>
      <c r="F127" s="2" t="s">
        <v>1099</v>
      </c>
      <c r="G127" s="2" t="s">
        <v>873</v>
      </c>
      <c r="H127" s="2" t="s">
        <v>35</v>
      </c>
      <c r="I127" s="2" t="s">
        <v>1111</v>
      </c>
      <c r="J127" s="2" t="s">
        <v>874</v>
      </c>
      <c r="K127" s="2" t="s">
        <v>50</v>
      </c>
      <c r="L127" s="2" t="s">
        <v>1127</v>
      </c>
      <c r="M127" s="2" t="s">
        <v>50</v>
      </c>
      <c r="N127" s="2" t="s">
        <v>875</v>
      </c>
      <c r="O127" s="2" t="s">
        <v>438</v>
      </c>
      <c r="P127" s="2" t="s">
        <v>896</v>
      </c>
      <c r="Q127" s="2" t="s">
        <v>69</v>
      </c>
      <c r="R127" s="2" t="s">
        <v>124</v>
      </c>
      <c r="S127" s="2" t="n">
        <v>1</v>
      </c>
      <c r="T127" s="2" t="s">
        <v>61</v>
      </c>
      <c r="U127" s="2"/>
      <c r="V127" s="2" t="s">
        <v>211</v>
      </c>
      <c r="W127" s="2" t="s">
        <v>40</v>
      </c>
      <c r="X127" s="2" t="n">
        <v>982</v>
      </c>
      <c r="Y127" s="2" t="n">
        <v>182</v>
      </c>
      <c r="Z127" s="2" t="n">
        <v>34</v>
      </c>
      <c r="AA127" s="2" t="n">
        <v>60</v>
      </c>
      <c r="AB127" s="2" t="s">
        <v>1715</v>
      </c>
      <c r="AC127" s="2"/>
      <c r="AD127" s="2" t="s">
        <v>1238</v>
      </c>
      <c r="AE127" s="2" t="s">
        <v>692</v>
      </c>
      <c r="AF127" s="2" t="s">
        <v>212</v>
      </c>
      <c r="AG127" s="2" t="s">
        <v>1239</v>
      </c>
      <c r="AH127" s="2" t="s">
        <v>437</v>
      </c>
      <c r="AI127" s="2" t="s">
        <v>1716</v>
      </c>
      <c r="AJ127" s="2" t="s">
        <v>1717</v>
      </c>
      <c r="AK127" s="2" t="s">
        <v>1242</v>
      </c>
      <c r="AL127" s="2" t="s">
        <v>1243</v>
      </c>
      <c r="AM127" s="2"/>
      <c r="AN127" s="2"/>
      <c r="AO127" s="2"/>
      <c r="AP127" s="2"/>
      <c r="AQ127" s="2"/>
      <c r="AR127" s="2"/>
    </row>
    <row r="128" customFormat="false" ht="23.85" hidden="false" customHeight="false" outlineLevel="0" collapsed="false">
      <c r="A128" s="2" t="n">
        <v>127</v>
      </c>
      <c r="B128" s="2" t="s">
        <v>1718</v>
      </c>
      <c r="C128" s="2" t="s">
        <v>686</v>
      </c>
      <c r="D128" s="2" t="s">
        <v>34</v>
      </c>
      <c r="E128" s="2" t="s">
        <v>1098</v>
      </c>
      <c r="F128" s="2" t="s">
        <v>1099</v>
      </c>
      <c r="G128" s="2" t="s">
        <v>873</v>
      </c>
      <c r="H128" s="2" t="s">
        <v>35</v>
      </c>
      <c r="I128" s="2" t="s">
        <v>1111</v>
      </c>
      <c r="J128" s="2" t="s">
        <v>874</v>
      </c>
      <c r="K128" s="2" t="s">
        <v>50</v>
      </c>
      <c r="L128" s="2" t="s">
        <v>1127</v>
      </c>
      <c r="M128" s="2" t="s">
        <v>50</v>
      </c>
      <c r="N128" s="2" t="s">
        <v>875</v>
      </c>
      <c r="O128" s="2" t="s">
        <v>440</v>
      </c>
      <c r="P128" s="2" t="s">
        <v>897</v>
      </c>
      <c r="Q128" s="2" t="s">
        <v>45</v>
      </c>
      <c r="R128" s="2" t="s">
        <v>62</v>
      </c>
      <c r="S128" s="2" t="n">
        <v>2</v>
      </c>
      <c r="T128" s="2" t="s">
        <v>41</v>
      </c>
      <c r="U128" s="2"/>
      <c r="V128" s="2" t="s">
        <v>233</v>
      </c>
      <c r="W128" s="2" t="s">
        <v>40</v>
      </c>
      <c r="X128" s="2" t="n">
        <v>1054</v>
      </c>
      <c r="Y128" s="2" t="n">
        <v>26</v>
      </c>
      <c r="Z128" s="2" t="n">
        <v>54</v>
      </c>
      <c r="AA128" s="2" t="n">
        <v>118</v>
      </c>
      <c r="AB128" s="2" t="s">
        <v>1719</v>
      </c>
      <c r="AC128" s="2"/>
      <c r="AD128" s="2" t="s">
        <v>1238</v>
      </c>
      <c r="AE128" s="2" t="s">
        <v>692</v>
      </c>
      <c r="AF128" s="2" t="s">
        <v>212</v>
      </c>
      <c r="AG128" s="2" t="s">
        <v>1239</v>
      </c>
      <c r="AH128" s="2" t="s">
        <v>439</v>
      </c>
      <c r="AI128" s="2" t="s">
        <v>1720</v>
      </c>
      <c r="AJ128" s="2" t="s">
        <v>1721</v>
      </c>
      <c r="AK128" s="2" t="s">
        <v>1242</v>
      </c>
      <c r="AL128" s="2" t="s">
        <v>1243</v>
      </c>
      <c r="AM128" s="2"/>
      <c r="AN128" s="2"/>
      <c r="AO128" s="2"/>
      <c r="AP128" s="2"/>
      <c r="AQ128" s="2"/>
      <c r="AR128" s="2"/>
    </row>
    <row r="129" customFormat="false" ht="23.85" hidden="false" customHeight="false" outlineLevel="0" collapsed="false">
      <c r="A129" s="2" t="n">
        <v>128</v>
      </c>
      <c r="B129" s="2" t="s">
        <v>1722</v>
      </c>
      <c r="C129" s="2" t="s">
        <v>686</v>
      </c>
      <c r="D129" s="2" t="s">
        <v>34</v>
      </c>
      <c r="E129" s="2" t="s">
        <v>1098</v>
      </c>
      <c r="F129" s="2" t="s">
        <v>1099</v>
      </c>
      <c r="G129" s="2" t="s">
        <v>873</v>
      </c>
      <c r="H129" s="2" t="s">
        <v>35</v>
      </c>
      <c r="I129" s="2" t="s">
        <v>1111</v>
      </c>
      <c r="J129" s="2" t="s">
        <v>874</v>
      </c>
      <c r="K129" s="2" t="s">
        <v>50</v>
      </c>
      <c r="L129" s="2" t="s">
        <v>1127</v>
      </c>
      <c r="M129" s="2" t="s">
        <v>50</v>
      </c>
      <c r="N129" s="2" t="s">
        <v>875</v>
      </c>
      <c r="O129" s="2" t="s">
        <v>442</v>
      </c>
      <c r="P129" s="2" t="s">
        <v>899</v>
      </c>
      <c r="Q129" s="2" t="s">
        <v>75</v>
      </c>
      <c r="R129" s="2" t="s">
        <v>147</v>
      </c>
      <c r="S129" s="2" t="n">
        <v>1</v>
      </c>
      <c r="T129" s="2" t="s">
        <v>61</v>
      </c>
      <c r="U129" s="2"/>
      <c r="V129" s="2" t="s">
        <v>233</v>
      </c>
      <c r="W129" s="2" t="s">
        <v>40</v>
      </c>
      <c r="X129" s="2" t="n">
        <v>984</v>
      </c>
      <c r="Y129" s="2" t="n">
        <v>255</v>
      </c>
      <c r="Z129" s="2" t="n">
        <v>200</v>
      </c>
      <c r="AA129" s="2" t="n">
        <v>0</v>
      </c>
      <c r="AB129" s="2" t="s">
        <v>1723</v>
      </c>
      <c r="AC129" s="2"/>
      <c r="AD129" s="2" t="s">
        <v>1238</v>
      </c>
      <c r="AE129" s="2" t="s">
        <v>692</v>
      </c>
      <c r="AF129" s="2" t="s">
        <v>212</v>
      </c>
      <c r="AG129" s="2" t="s">
        <v>1239</v>
      </c>
      <c r="AH129" s="2" t="s">
        <v>441</v>
      </c>
      <c r="AI129" s="2" t="s">
        <v>1724</v>
      </c>
      <c r="AJ129" s="2" t="s">
        <v>1725</v>
      </c>
      <c r="AK129" s="2" t="s">
        <v>1242</v>
      </c>
      <c r="AL129" s="2" t="s">
        <v>1243</v>
      </c>
      <c r="AM129" s="2"/>
      <c r="AN129" s="2"/>
      <c r="AO129" s="2"/>
      <c r="AP129" s="2"/>
      <c r="AQ129" s="2"/>
      <c r="AR129" s="2"/>
    </row>
    <row r="130" customFormat="false" ht="23.85" hidden="false" customHeight="false" outlineLevel="0" collapsed="false">
      <c r="A130" s="2" t="n">
        <v>129</v>
      </c>
      <c r="B130" s="2" t="s">
        <v>1726</v>
      </c>
      <c r="C130" s="2" t="s">
        <v>686</v>
      </c>
      <c r="D130" s="2" t="s">
        <v>34</v>
      </c>
      <c r="E130" s="2" t="s">
        <v>1098</v>
      </c>
      <c r="F130" s="2" t="s">
        <v>1099</v>
      </c>
      <c r="G130" s="2" t="s">
        <v>873</v>
      </c>
      <c r="H130" s="2" t="s">
        <v>35</v>
      </c>
      <c r="I130" s="2" t="s">
        <v>1111</v>
      </c>
      <c r="J130" s="2" t="s">
        <v>874</v>
      </c>
      <c r="K130" s="2" t="s">
        <v>50</v>
      </c>
      <c r="L130" s="2" t="s">
        <v>1127</v>
      </c>
      <c r="M130" s="2" t="s">
        <v>50</v>
      </c>
      <c r="N130" s="2" t="s">
        <v>875</v>
      </c>
      <c r="O130" s="2" t="s">
        <v>444</v>
      </c>
      <c r="P130" s="2" t="s">
        <v>900</v>
      </c>
      <c r="Q130" s="2" t="s">
        <v>45</v>
      </c>
      <c r="R130" s="2" t="s">
        <v>72</v>
      </c>
      <c r="S130" s="2" t="n">
        <v>3</v>
      </c>
      <c r="T130" s="2" t="s">
        <v>41</v>
      </c>
      <c r="U130" s="2"/>
      <c r="V130" s="2" t="s">
        <v>230</v>
      </c>
      <c r="W130" s="2" t="s">
        <v>40</v>
      </c>
      <c r="X130" s="2" t="n">
        <v>999</v>
      </c>
      <c r="Y130" s="2" t="n">
        <v>42</v>
      </c>
      <c r="Z130" s="2" t="n">
        <v>37</v>
      </c>
      <c r="AA130" s="2" t="n">
        <v>54</v>
      </c>
      <c r="AB130" s="2" t="s">
        <v>1727</v>
      </c>
      <c r="AC130" s="2"/>
      <c r="AD130" s="2" t="s">
        <v>1238</v>
      </c>
      <c r="AE130" s="2" t="s">
        <v>692</v>
      </c>
      <c r="AF130" s="2" t="s">
        <v>212</v>
      </c>
      <c r="AG130" s="2" t="s">
        <v>1239</v>
      </c>
      <c r="AH130" s="2" t="s">
        <v>443</v>
      </c>
      <c r="AI130" s="2" t="s">
        <v>1728</v>
      </c>
      <c r="AJ130" s="2" t="s">
        <v>1729</v>
      </c>
      <c r="AK130" s="2" t="s">
        <v>1242</v>
      </c>
      <c r="AL130" s="2" t="s">
        <v>1243</v>
      </c>
      <c r="AM130" s="2"/>
      <c r="AN130" s="2"/>
      <c r="AO130" s="2"/>
      <c r="AP130" s="2"/>
      <c r="AQ130" s="2"/>
      <c r="AR130" s="2"/>
    </row>
    <row r="131" customFormat="false" ht="23.85" hidden="false" customHeight="false" outlineLevel="0" collapsed="false">
      <c r="A131" s="2" t="n">
        <v>130</v>
      </c>
      <c r="B131" s="2" t="s">
        <v>1388</v>
      </c>
      <c r="C131" s="2" t="s">
        <v>686</v>
      </c>
      <c r="D131" s="2" t="s">
        <v>34</v>
      </c>
      <c r="E131" s="2" t="s">
        <v>1098</v>
      </c>
      <c r="F131" s="2" t="s">
        <v>1099</v>
      </c>
      <c r="G131" s="2" t="s">
        <v>873</v>
      </c>
      <c r="H131" s="2" t="s">
        <v>35</v>
      </c>
      <c r="I131" s="2" t="s">
        <v>1111</v>
      </c>
      <c r="J131" s="2" t="s">
        <v>874</v>
      </c>
      <c r="K131" s="2" t="s">
        <v>50</v>
      </c>
      <c r="L131" s="2" t="s">
        <v>1127</v>
      </c>
      <c r="M131" s="2" t="s">
        <v>50</v>
      </c>
      <c r="N131" s="2" t="s">
        <v>875</v>
      </c>
      <c r="O131" s="2" t="s">
        <v>289</v>
      </c>
      <c r="P131" s="2" t="s">
        <v>901</v>
      </c>
      <c r="Q131" s="2" t="s">
        <v>66</v>
      </c>
      <c r="R131" s="2" t="s">
        <v>142</v>
      </c>
      <c r="S131" s="2" t="n">
        <v>3</v>
      </c>
      <c r="T131" s="2" t="s">
        <v>41</v>
      </c>
      <c r="U131" s="2"/>
      <c r="V131" s="2" t="s">
        <v>211</v>
      </c>
      <c r="W131" s="2" t="s">
        <v>47</v>
      </c>
      <c r="X131" s="2" t="n">
        <v>966</v>
      </c>
      <c r="Y131" s="2" t="n">
        <v>116</v>
      </c>
      <c r="Z131" s="2" t="n">
        <v>71</v>
      </c>
      <c r="AA131" s="2" t="n">
        <v>52</v>
      </c>
      <c r="AB131" s="2" t="s">
        <v>1730</v>
      </c>
      <c r="AC131" s="2"/>
      <c r="AD131" s="2" t="s">
        <v>1238</v>
      </c>
      <c r="AE131" s="2" t="s">
        <v>692</v>
      </c>
      <c r="AF131" s="2" t="s">
        <v>212</v>
      </c>
      <c r="AG131" s="2" t="s">
        <v>1239</v>
      </c>
      <c r="AH131" s="2" t="s">
        <v>445</v>
      </c>
      <c r="AI131" s="2" t="s">
        <v>1731</v>
      </c>
      <c r="AJ131" s="2" t="s">
        <v>1732</v>
      </c>
      <c r="AK131" s="2" t="s">
        <v>1242</v>
      </c>
      <c r="AL131" s="2" t="s">
        <v>1243</v>
      </c>
      <c r="AM131" s="2"/>
      <c r="AN131" s="2"/>
      <c r="AO131" s="2"/>
      <c r="AP131" s="2"/>
      <c r="AQ131" s="2"/>
      <c r="AR131" s="2"/>
    </row>
    <row r="132" customFormat="false" ht="23.85" hidden="false" customHeight="false" outlineLevel="0" collapsed="false">
      <c r="A132" s="2" t="n">
        <v>131</v>
      </c>
      <c r="B132" s="2" t="s">
        <v>1392</v>
      </c>
      <c r="C132" s="2" t="s">
        <v>686</v>
      </c>
      <c r="D132" s="2" t="s">
        <v>34</v>
      </c>
      <c r="E132" s="2" t="s">
        <v>1098</v>
      </c>
      <c r="F132" s="2" t="s">
        <v>1099</v>
      </c>
      <c r="G132" s="2" t="s">
        <v>873</v>
      </c>
      <c r="H132" s="2" t="s">
        <v>35</v>
      </c>
      <c r="I132" s="2" t="s">
        <v>1111</v>
      </c>
      <c r="J132" s="2" t="s">
        <v>874</v>
      </c>
      <c r="K132" s="2" t="s">
        <v>50</v>
      </c>
      <c r="L132" s="2" t="s">
        <v>1127</v>
      </c>
      <c r="M132" s="2" t="s">
        <v>50</v>
      </c>
      <c r="N132" s="2" t="s">
        <v>875</v>
      </c>
      <c r="O132" s="2" t="s">
        <v>291</v>
      </c>
      <c r="P132" s="2" t="s">
        <v>902</v>
      </c>
      <c r="Q132" s="2" t="s">
        <v>52</v>
      </c>
      <c r="R132" s="2" t="s">
        <v>90</v>
      </c>
      <c r="S132" s="2" t="n">
        <v>1</v>
      </c>
      <c r="T132" s="2" t="s">
        <v>61</v>
      </c>
      <c r="U132" s="2"/>
      <c r="V132" s="2" t="s">
        <v>230</v>
      </c>
      <c r="W132" s="2" t="s">
        <v>47</v>
      </c>
      <c r="X132" s="2" t="n">
        <v>1005</v>
      </c>
      <c r="Y132" s="2" t="n">
        <v>65</v>
      </c>
      <c r="Z132" s="2" t="n">
        <v>53</v>
      </c>
      <c r="AA132" s="2" t="n">
        <v>46</v>
      </c>
      <c r="AB132" s="2" t="s">
        <v>1733</v>
      </c>
      <c r="AC132" s="2"/>
      <c r="AD132" s="2" t="s">
        <v>1238</v>
      </c>
      <c r="AE132" s="2" t="s">
        <v>692</v>
      </c>
      <c r="AF132" s="2" t="s">
        <v>212</v>
      </c>
      <c r="AG132" s="2" t="s">
        <v>1239</v>
      </c>
      <c r="AH132" s="2" t="s">
        <v>446</v>
      </c>
      <c r="AI132" s="2" t="s">
        <v>1734</v>
      </c>
      <c r="AJ132" s="2" t="s">
        <v>1735</v>
      </c>
      <c r="AK132" s="2" t="s">
        <v>1242</v>
      </c>
      <c r="AL132" s="2" t="s">
        <v>1243</v>
      </c>
      <c r="AM132" s="2"/>
      <c r="AN132" s="2"/>
      <c r="AO132" s="2"/>
      <c r="AP132" s="2"/>
      <c r="AQ132" s="2"/>
      <c r="AR132" s="2"/>
    </row>
    <row r="133" customFormat="false" ht="23.85" hidden="false" customHeight="false" outlineLevel="0" collapsed="false">
      <c r="A133" s="2" t="n">
        <v>132</v>
      </c>
      <c r="B133" s="2" t="s">
        <v>1611</v>
      </c>
      <c r="C133" s="2" t="s">
        <v>686</v>
      </c>
      <c r="D133" s="2" t="s">
        <v>34</v>
      </c>
      <c r="E133" s="2" t="s">
        <v>1098</v>
      </c>
      <c r="F133" s="2" t="s">
        <v>1099</v>
      </c>
      <c r="G133" s="2" t="s">
        <v>873</v>
      </c>
      <c r="H133" s="2" t="s">
        <v>35</v>
      </c>
      <c r="I133" s="2" t="s">
        <v>1111</v>
      </c>
      <c r="J133" s="2" t="s">
        <v>874</v>
      </c>
      <c r="K133" s="2" t="s">
        <v>50</v>
      </c>
      <c r="L133" s="2" t="s">
        <v>1127</v>
      </c>
      <c r="M133" s="2" t="s">
        <v>50</v>
      </c>
      <c r="N133" s="2" t="s">
        <v>875</v>
      </c>
      <c r="O133" s="2" t="s">
        <v>392</v>
      </c>
      <c r="P133" s="2" t="s">
        <v>903</v>
      </c>
      <c r="Q133" s="2" t="s">
        <v>75</v>
      </c>
      <c r="R133" s="2" t="s">
        <v>104</v>
      </c>
      <c r="S133" s="2" t="n">
        <v>1</v>
      </c>
      <c r="T133" s="2" t="s">
        <v>61</v>
      </c>
      <c r="U133" s="2"/>
      <c r="V133" s="2" t="s">
        <v>448</v>
      </c>
      <c r="W133" s="2" t="s">
        <v>47</v>
      </c>
      <c r="X133" s="2" t="n">
        <v>975</v>
      </c>
      <c r="Y133" s="2" t="n">
        <v>126</v>
      </c>
      <c r="Z133" s="2" t="n">
        <v>43</v>
      </c>
      <c r="AA133" s="2" t="n">
        <v>36</v>
      </c>
      <c r="AB133" s="2" t="s">
        <v>1736</v>
      </c>
      <c r="AC133" s="2"/>
      <c r="AD133" s="2" t="s">
        <v>1238</v>
      </c>
      <c r="AE133" s="2" t="s">
        <v>692</v>
      </c>
      <c r="AF133" s="2" t="s">
        <v>212</v>
      </c>
      <c r="AG133" s="2" t="s">
        <v>1239</v>
      </c>
      <c r="AH133" s="2" t="s">
        <v>447</v>
      </c>
      <c r="AI133" s="2" t="s">
        <v>1737</v>
      </c>
      <c r="AJ133" s="2" t="s">
        <v>1738</v>
      </c>
      <c r="AK133" s="2" t="s">
        <v>1242</v>
      </c>
      <c r="AL133" s="2" t="s">
        <v>1243</v>
      </c>
      <c r="AM133" s="2"/>
      <c r="AN133" s="2"/>
      <c r="AO133" s="2"/>
      <c r="AP133" s="2"/>
      <c r="AQ133" s="2"/>
      <c r="AR133" s="2"/>
    </row>
    <row r="134" customFormat="false" ht="23.85" hidden="false" customHeight="false" outlineLevel="0" collapsed="false">
      <c r="A134" s="2" t="n">
        <v>133</v>
      </c>
      <c r="B134" s="2" t="s">
        <v>1739</v>
      </c>
      <c r="C134" s="2" t="s">
        <v>686</v>
      </c>
      <c r="D134" s="2" t="s">
        <v>34</v>
      </c>
      <c r="E134" s="2" t="s">
        <v>1098</v>
      </c>
      <c r="F134" s="2" t="s">
        <v>1099</v>
      </c>
      <c r="G134" s="2" t="s">
        <v>873</v>
      </c>
      <c r="H134" s="2" t="s">
        <v>35</v>
      </c>
      <c r="I134" s="2" t="s">
        <v>1111</v>
      </c>
      <c r="J134" s="2" t="s">
        <v>874</v>
      </c>
      <c r="K134" s="2" t="s">
        <v>50</v>
      </c>
      <c r="L134" s="2" t="s">
        <v>1127</v>
      </c>
      <c r="M134" s="2" t="s">
        <v>50</v>
      </c>
      <c r="N134" s="2" t="s">
        <v>875</v>
      </c>
      <c r="O134" s="2" t="s">
        <v>450</v>
      </c>
      <c r="P134" s="2" t="s">
        <v>904</v>
      </c>
      <c r="Q134" s="2" t="s">
        <v>58</v>
      </c>
      <c r="R134" s="2" t="s">
        <v>137</v>
      </c>
      <c r="S134" s="2" t="n">
        <v>4</v>
      </c>
      <c r="T134" s="2" t="s">
        <v>41</v>
      </c>
      <c r="U134" s="2"/>
      <c r="V134" s="2" t="s">
        <v>230</v>
      </c>
      <c r="W134" s="2" t="s">
        <v>40</v>
      </c>
      <c r="X134" s="2" t="n">
        <v>1079</v>
      </c>
      <c r="Y134" s="2" t="n">
        <v>51</v>
      </c>
      <c r="Z134" s="2" t="n">
        <v>100</v>
      </c>
      <c r="AA134" s="2" t="n">
        <v>58</v>
      </c>
      <c r="AB134" s="2" t="s">
        <v>1740</v>
      </c>
      <c r="AC134" s="2"/>
      <c r="AD134" s="2" t="s">
        <v>1238</v>
      </c>
      <c r="AE134" s="2" t="s">
        <v>692</v>
      </c>
      <c r="AF134" s="2" t="s">
        <v>212</v>
      </c>
      <c r="AG134" s="2" t="s">
        <v>1239</v>
      </c>
      <c r="AH134" s="2" t="s">
        <v>449</v>
      </c>
      <c r="AI134" s="2" t="s">
        <v>1741</v>
      </c>
      <c r="AJ134" s="2" t="s">
        <v>1742</v>
      </c>
      <c r="AK134" s="2" t="s">
        <v>1242</v>
      </c>
      <c r="AL134" s="2" t="s">
        <v>1243</v>
      </c>
      <c r="AM134" s="2"/>
      <c r="AN134" s="2"/>
      <c r="AO134" s="2"/>
      <c r="AP134" s="2"/>
      <c r="AQ134" s="2"/>
      <c r="AR134" s="2"/>
    </row>
    <row r="135" customFormat="false" ht="23.85" hidden="false" customHeight="false" outlineLevel="0" collapsed="false">
      <c r="A135" s="2" t="n">
        <v>134</v>
      </c>
      <c r="B135" s="2" t="s">
        <v>1412</v>
      </c>
      <c r="C135" s="2" t="s">
        <v>686</v>
      </c>
      <c r="D135" s="2" t="s">
        <v>34</v>
      </c>
      <c r="E135" s="2" t="s">
        <v>1098</v>
      </c>
      <c r="F135" s="2" t="s">
        <v>1099</v>
      </c>
      <c r="G135" s="2" t="s">
        <v>873</v>
      </c>
      <c r="H135" s="2" t="s">
        <v>35</v>
      </c>
      <c r="I135" s="2" t="s">
        <v>1111</v>
      </c>
      <c r="J135" s="2" t="s">
        <v>874</v>
      </c>
      <c r="K135" s="2" t="s">
        <v>50</v>
      </c>
      <c r="L135" s="2" t="s">
        <v>1127</v>
      </c>
      <c r="M135" s="2" t="s">
        <v>50</v>
      </c>
      <c r="N135" s="2" t="s">
        <v>875</v>
      </c>
      <c r="O135" s="2" t="s">
        <v>301</v>
      </c>
      <c r="P135" s="2" t="s">
        <v>906</v>
      </c>
      <c r="Q135" s="2" t="s">
        <v>73</v>
      </c>
      <c r="R135" s="2" t="s">
        <v>131</v>
      </c>
      <c r="S135" s="2" t="n">
        <v>1</v>
      </c>
      <c r="T135" s="2" t="s">
        <v>61</v>
      </c>
      <c r="U135" s="2"/>
      <c r="V135" s="2" t="s">
        <v>215</v>
      </c>
      <c r="W135" s="2" t="s">
        <v>47</v>
      </c>
      <c r="X135" s="2" t="n">
        <v>1185</v>
      </c>
      <c r="Y135" s="2" t="n">
        <v>254</v>
      </c>
      <c r="Z135" s="2" t="n">
        <v>246</v>
      </c>
      <c r="AA135" s="2" t="n">
        <v>253</v>
      </c>
      <c r="AB135" s="2" t="s">
        <v>1743</v>
      </c>
      <c r="AC135" s="2"/>
      <c r="AD135" s="2" t="s">
        <v>1238</v>
      </c>
      <c r="AE135" s="2" t="s">
        <v>692</v>
      </c>
      <c r="AF135" s="2" t="s">
        <v>212</v>
      </c>
      <c r="AG135" s="2" t="s">
        <v>1239</v>
      </c>
      <c r="AH135" s="2" t="s">
        <v>451</v>
      </c>
      <c r="AI135" s="2" t="s">
        <v>1744</v>
      </c>
      <c r="AJ135" s="2" t="s">
        <v>1745</v>
      </c>
      <c r="AK135" s="2" t="s">
        <v>1242</v>
      </c>
      <c r="AL135" s="2" t="s">
        <v>1243</v>
      </c>
      <c r="AM135" s="2"/>
      <c r="AN135" s="2"/>
      <c r="AO135" s="2"/>
      <c r="AP135" s="2"/>
      <c r="AQ135" s="2"/>
      <c r="AR135" s="2"/>
    </row>
    <row r="136" customFormat="false" ht="23.85" hidden="false" customHeight="false" outlineLevel="0" collapsed="false">
      <c r="A136" s="2" t="n">
        <v>135</v>
      </c>
      <c r="B136" s="2" t="s">
        <v>1420</v>
      </c>
      <c r="C136" s="2" t="s">
        <v>686</v>
      </c>
      <c r="D136" s="2" t="s">
        <v>34</v>
      </c>
      <c r="E136" s="2" t="s">
        <v>1098</v>
      </c>
      <c r="F136" s="2" t="s">
        <v>1099</v>
      </c>
      <c r="G136" s="2" t="s">
        <v>873</v>
      </c>
      <c r="H136" s="2" t="s">
        <v>35</v>
      </c>
      <c r="I136" s="2" t="s">
        <v>1111</v>
      </c>
      <c r="J136" s="2" t="s">
        <v>874</v>
      </c>
      <c r="K136" s="2" t="s">
        <v>50</v>
      </c>
      <c r="L136" s="2" t="s">
        <v>1127</v>
      </c>
      <c r="M136" s="2" t="s">
        <v>50</v>
      </c>
      <c r="N136" s="2" t="s">
        <v>875</v>
      </c>
      <c r="O136" s="2" t="s">
        <v>305</v>
      </c>
      <c r="P136" s="2" t="s">
        <v>907</v>
      </c>
      <c r="Q136" s="2" t="s">
        <v>75</v>
      </c>
      <c r="R136" s="2" t="s">
        <v>138</v>
      </c>
      <c r="S136" s="2" t="n">
        <v>2</v>
      </c>
      <c r="T136" s="2" t="s">
        <v>41</v>
      </c>
      <c r="U136" s="2"/>
      <c r="V136" s="2" t="s">
        <v>211</v>
      </c>
      <c r="W136" s="2" t="s">
        <v>40</v>
      </c>
      <c r="X136" s="2" t="n">
        <v>1099</v>
      </c>
      <c r="Y136" s="2" t="n">
        <v>191</v>
      </c>
      <c r="Z136" s="2" t="n">
        <v>137</v>
      </c>
      <c r="AA136" s="2" t="n">
        <v>31</v>
      </c>
      <c r="AB136" s="2" t="s">
        <v>1746</v>
      </c>
      <c r="AC136" s="2"/>
      <c r="AD136" s="2" t="s">
        <v>1238</v>
      </c>
      <c r="AE136" s="2" t="s">
        <v>692</v>
      </c>
      <c r="AF136" s="2" t="s">
        <v>212</v>
      </c>
      <c r="AG136" s="2" t="s">
        <v>1239</v>
      </c>
      <c r="AH136" s="2" t="s">
        <v>452</v>
      </c>
      <c r="AI136" s="2" t="s">
        <v>1747</v>
      </c>
      <c r="AJ136" s="2" t="s">
        <v>1748</v>
      </c>
      <c r="AK136" s="2" t="s">
        <v>1242</v>
      </c>
      <c r="AL136" s="2" t="s">
        <v>1243</v>
      </c>
      <c r="AM136" s="2"/>
      <c r="AN136" s="2"/>
      <c r="AO136" s="2"/>
      <c r="AP136" s="2"/>
      <c r="AQ136" s="2"/>
      <c r="AR136" s="2"/>
    </row>
    <row r="137" customFormat="false" ht="23.85" hidden="false" customHeight="false" outlineLevel="0" collapsed="false">
      <c r="A137" s="2" t="n">
        <v>136</v>
      </c>
      <c r="B137" s="2" t="s">
        <v>1627</v>
      </c>
      <c r="C137" s="2" t="s">
        <v>686</v>
      </c>
      <c r="D137" s="2" t="s">
        <v>34</v>
      </c>
      <c r="E137" s="2" t="s">
        <v>1098</v>
      </c>
      <c r="F137" s="2" t="s">
        <v>1099</v>
      </c>
      <c r="G137" s="2" t="s">
        <v>873</v>
      </c>
      <c r="H137" s="2" t="s">
        <v>35</v>
      </c>
      <c r="I137" s="2" t="s">
        <v>1111</v>
      </c>
      <c r="J137" s="2" t="s">
        <v>874</v>
      </c>
      <c r="K137" s="2" t="s">
        <v>50</v>
      </c>
      <c r="L137" s="2" t="s">
        <v>1127</v>
      </c>
      <c r="M137" s="2" t="s">
        <v>50</v>
      </c>
      <c r="N137" s="2" t="s">
        <v>875</v>
      </c>
      <c r="O137" s="2" t="s">
        <v>400</v>
      </c>
      <c r="P137" s="2" t="s">
        <v>908</v>
      </c>
      <c r="Q137" s="2" t="s">
        <v>45</v>
      </c>
      <c r="R137" s="2" t="s">
        <v>72</v>
      </c>
      <c r="S137" s="2" t="n">
        <v>1</v>
      </c>
      <c r="T137" s="2" t="s">
        <v>61</v>
      </c>
      <c r="U137" s="2"/>
      <c r="V137" s="2" t="s">
        <v>211</v>
      </c>
      <c r="W137" s="2" t="s">
        <v>40</v>
      </c>
      <c r="X137" s="2" t="n">
        <v>1060</v>
      </c>
      <c r="Y137" s="2" t="n">
        <v>54</v>
      </c>
      <c r="Z137" s="2" t="n">
        <v>47</v>
      </c>
      <c r="AA137" s="2" t="n">
        <v>83</v>
      </c>
      <c r="AB137" s="2" t="s">
        <v>1749</v>
      </c>
      <c r="AC137" s="2"/>
      <c r="AD137" s="2" t="s">
        <v>1238</v>
      </c>
      <c r="AE137" s="2" t="s">
        <v>692</v>
      </c>
      <c r="AF137" s="2" t="s">
        <v>212</v>
      </c>
      <c r="AG137" s="2" t="s">
        <v>1239</v>
      </c>
      <c r="AH137" s="2" t="s">
        <v>453</v>
      </c>
      <c r="AI137" s="2" t="s">
        <v>1750</v>
      </c>
      <c r="AJ137" s="2" t="s">
        <v>1751</v>
      </c>
      <c r="AK137" s="2" t="s">
        <v>1242</v>
      </c>
      <c r="AL137" s="2" t="s">
        <v>1243</v>
      </c>
      <c r="AM137" s="2"/>
      <c r="AN137" s="2"/>
      <c r="AO137" s="2"/>
      <c r="AP137" s="2"/>
      <c r="AQ137" s="2"/>
      <c r="AR137" s="2"/>
    </row>
    <row r="138" customFormat="false" ht="23.85" hidden="false" customHeight="false" outlineLevel="0" collapsed="false">
      <c r="A138" s="2" t="n">
        <v>137</v>
      </c>
      <c r="B138" s="2" t="s">
        <v>1752</v>
      </c>
      <c r="C138" s="2" t="s">
        <v>686</v>
      </c>
      <c r="D138" s="2" t="s">
        <v>34</v>
      </c>
      <c r="E138" s="2" t="s">
        <v>1098</v>
      </c>
      <c r="F138" s="2" t="s">
        <v>1099</v>
      </c>
      <c r="G138" s="2" t="s">
        <v>873</v>
      </c>
      <c r="H138" s="2" t="s">
        <v>35</v>
      </c>
      <c r="I138" s="2" t="s">
        <v>1111</v>
      </c>
      <c r="J138" s="2" t="s">
        <v>874</v>
      </c>
      <c r="K138" s="2" t="s">
        <v>50</v>
      </c>
      <c r="L138" s="2" t="s">
        <v>1127</v>
      </c>
      <c r="M138" s="2" t="s">
        <v>50</v>
      </c>
      <c r="N138" s="2" t="s">
        <v>875</v>
      </c>
      <c r="O138" s="2" t="s">
        <v>455</v>
      </c>
      <c r="P138" s="2" t="s">
        <v>909</v>
      </c>
      <c r="Q138" s="2" t="s">
        <v>69</v>
      </c>
      <c r="R138" s="2" t="s">
        <v>120</v>
      </c>
      <c r="S138" s="2" t="n">
        <v>1</v>
      </c>
      <c r="T138" s="2" t="s">
        <v>61</v>
      </c>
      <c r="U138" s="2"/>
      <c r="V138" s="2" t="s">
        <v>230</v>
      </c>
      <c r="W138" s="2" t="s">
        <v>40</v>
      </c>
      <c r="X138" s="2" t="n">
        <v>987</v>
      </c>
      <c r="Y138" s="2" t="n">
        <v>212</v>
      </c>
      <c r="Z138" s="2" t="n">
        <v>34</v>
      </c>
      <c r="AA138" s="2" t="n">
        <v>32</v>
      </c>
      <c r="AB138" s="2" t="s">
        <v>1753</v>
      </c>
      <c r="AC138" s="2"/>
      <c r="AD138" s="2" t="s">
        <v>1238</v>
      </c>
      <c r="AE138" s="2" t="s">
        <v>692</v>
      </c>
      <c r="AF138" s="2" t="s">
        <v>212</v>
      </c>
      <c r="AG138" s="2" t="s">
        <v>1239</v>
      </c>
      <c r="AH138" s="2" t="s">
        <v>454</v>
      </c>
      <c r="AI138" s="2" t="s">
        <v>1754</v>
      </c>
      <c r="AJ138" s="2" t="s">
        <v>1755</v>
      </c>
      <c r="AK138" s="2" t="s">
        <v>1242</v>
      </c>
      <c r="AL138" s="2" t="s">
        <v>1243</v>
      </c>
      <c r="AM138" s="2"/>
      <c r="AN138" s="2"/>
      <c r="AO138" s="2"/>
      <c r="AP138" s="2"/>
      <c r="AQ138" s="2"/>
      <c r="AR138" s="2"/>
    </row>
    <row r="139" customFormat="false" ht="23.85" hidden="false" customHeight="false" outlineLevel="0" collapsed="false">
      <c r="A139" s="2" t="n">
        <v>138</v>
      </c>
      <c r="B139" s="2" t="s">
        <v>1756</v>
      </c>
      <c r="C139" s="2" t="s">
        <v>686</v>
      </c>
      <c r="D139" s="2" t="s">
        <v>34</v>
      </c>
      <c r="E139" s="2" t="s">
        <v>1098</v>
      </c>
      <c r="F139" s="2" t="s">
        <v>1099</v>
      </c>
      <c r="G139" s="2" t="s">
        <v>873</v>
      </c>
      <c r="H139" s="2" t="s">
        <v>35</v>
      </c>
      <c r="I139" s="2" t="s">
        <v>1111</v>
      </c>
      <c r="J139" s="2" t="s">
        <v>874</v>
      </c>
      <c r="K139" s="2" t="s">
        <v>50</v>
      </c>
      <c r="L139" s="2" t="s">
        <v>1127</v>
      </c>
      <c r="M139" s="2" t="s">
        <v>50</v>
      </c>
      <c r="N139" s="2" t="s">
        <v>875</v>
      </c>
      <c r="O139" s="2" t="s">
        <v>457</v>
      </c>
      <c r="P139" s="2" t="s">
        <v>910</v>
      </c>
      <c r="Q139" s="2" t="s">
        <v>71</v>
      </c>
      <c r="R139" s="2" t="s">
        <v>126</v>
      </c>
      <c r="S139" s="2" t="n">
        <v>1</v>
      </c>
      <c r="T139" s="2" t="s">
        <v>61</v>
      </c>
      <c r="U139" s="2"/>
      <c r="V139" s="2" t="s">
        <v>211</v>
      </c>
      <c r="W139" s="2" t="s">
        <v>40</v>
      </c>
      <c r="X139" s="2" t="n">
        <v>982</v>
      </c>
      <c r="Y139" s="2" t="n">
        <v>48</v>
      </c>
      <c r="Z139" s="2" t="n">
        <v>40</v>
      </c>
      <c r="AA139" s="2" t="n">
        <v>44</v>
      </c>
      <c r="AB139" s="2" t="s">
        <v>1757</v>
      </c>
      <c r="AC139" s="2"/>
      <c r="AD139" s="2" t="s">
        <v>1238</v>
      </c>
      <c r="AE139" s="2" t="s">
        <v>692</v>
      </c>
      <c r="AF139" s="2" t="s">
        <v>212</v>
      </c>
      <c r="AG139" s="2" t="s">
        <v>1239</v>
      </c>
      <c r="AH139" s="2" t="s">
        <v>456</v>
      </c>
      <c r="AI139" s="2" t="s">
        <v>1758</v>
      </c>
      <c r="AJ139" s="2" t="s">
        <v>1759</v>
      </c>
      <c r="AK139" s="2" t="s">
        <v>1242</v>
      </c>
      <c r="AL139" s="2" t="s">
        <v>1243</v>
      </c>
      <c r="AM139" s="2"/>
      <c r="AN139" s="2"/>
      <c r="AO139" s="2"/>
      <c r="AP139" s="2"/>
      <c r="AQ139" s="2"/>
      <c r="AR139" s="2"/>
    </row>
    <row r="140" customFormat="false" ht="23.85" hidden="false" customHeight="false" outlineLevel="0" collapsed="false">
      <c r="A140" s="2" t="n">
        <v>139</v>
      </c>
      <c r="B140" s="2" t="s">
        <v>1648</v>
      </c>
      <c r="C140" s="2" t="s">
        <v>686</v>
      </c>
      <c r="D140" s="2" t="s">
        <v>34</v>
      </c>
      <c r="E140" s="2" t="s">
        <v>1098</v>
      </c>
      <c r="F140" s="2" t="s">
        <v>1099</v>
      </c>
      <c r="G140" s="2" t="s">
        <v>873</v>
      </c>
      <c r="H140" s="2" t="s">
        <v>35</v>
      </c>
      <c r="I140" s="2" t="s">
        <v>1111</v>
      </c>
      <c r="J140" s="2" t="s">
        <v>874</v>
      </c>
      <c r="K140" s="2" t="s">
        <v>50</v>
      </c>
      <c r="L140" s="2" t="s">
        <v>1127</v>
      </c>
      <c r="M140" s="2" t="s">
        <v>50</v>
      </c>
      <c r="N140" s="2" t="s">
        <v>875</v>
      </c>
      <c r="O140" s="2" t="s">
        <v>410</v>
      </c>
      <c r="P140" s="2" t="s">
        <v>911</v>
      </c>
      <c r="Q140" s="2" t="s">
        <v>75</v>
      </c>
      <c r="R140" s="2" t="s">
        <v>142</v>
      </c>
      <c r="S140" s="2" t="n">
        <v>3</v>
      </c>
      <c r="T140" s="2" t="s">
        <v>41</v>
      </c>
      <c r="U140" s="2"/>
      <c r="V140" s="2" t="s">
        <v>215</v>
      </c>
      <c r="W140" s="2" t="s">
        <v>47</v>
      </c>
      <c r="X140" s="2" t="n">
        <v>870</v>
      </c>
      <c r="Y140" s="2" t="n">
        <v>188</v>
      </c>
      <c r="Z140" s="2" t="n">
        <v>134</v>
      </c>
      <c r="AA140" s="2" t="n">
        <v>61</v>
      </c>
      <c r="AB140" s="2" t="s">
        <v>1760</v>
      </c>
      <c r="AC140" s="2"/>
      <c r="AD140" s="2" t="s">
        <v>1238</v>
      </c>
      <c r="AE140" s="2" t="s">
        <v>692</v>
      </c>
      <c r="AF140" s="2" t="s">
        <v>212</v>
      </c>
      <c r="AG140" s="2" t="s">
        <v>1239</v>
      </c>
      <c r="AH140" s="2" t="s">
        <v>458</v>
      </c>
      <c r="AI140" s="2" t="s">
        <v>1761</v>
      </c>
      <c r="AJ140" s="2" t="s">
        <v>1762</v>
      </c>
      <c r="AK140" s="2" t="s">
        <v>1242</v>
      </c>
      <c r="AL140" s="2" t="s">
        <v>1243</v>
      </c>
      <c r="AM140" s="2"/>
      <c r="AN140" s="2"/>
      <c r="AO140" s="2"/>
      <c r="AP140" s="2"/>
      <c r="AQ140" s="2"/>
      <c r="AR140" s="2"/>
    </row>
    <row r="141" customFormat="false" ht="46.25" hidden="false" customHeight="false" outlineLevel="0" collapsed="false">
      <c r="A141" s="2" t="n">
        <v>140</v>
      </c>
      <c r="B141" s="2" t="s">
        <v>1763</v>
      </c>
      <c r="C141" s="2" t="s">
        <v>686</v>
      </c>
      <c r="D141" s="2" t="s">
        <v>34</v>
      </c>
      <c r="E141" s="2" t="s">
        <v>1098</v>
      </c>
      <c r="F141" s="2" t="s">
        <v>1099</v>
      </c>
      <c r="G141" s="2" t="s">
        <v>873</v>
      </c>
      <c r="H141" s="2" t="s">
        <v>35</v>
      </c>
      <c r="I141" s="2" t="s">
        <v>1111</v>
      </c>
      <c r="J141" s="2" t="s">
        <v>912</v>
      </c>
      <c r="K141" s="2" t="s">
        <v>56</v>
      </c>
      <c r="L141" s="2" t="s">
        <v>1129</v>
      </c>
      <c r="M141" s="2" t="s">
        <v>56</v>
      </c>
      <c r="N141" s="2" t="s">
        <v>913</v>
      </c>
      <c r="O141" s="2" t="s">
        <v>460</v>
      </c>
      <c r="P141" s="2" t="s">
        <v>914</v>
      </c>
      <c r="Q141" s="2" t="s">
        <v>75</v>
      </c>
      <c r="R141" s="2" t="s">
        <v>147</v>
      </c>
      <c r="S141" s="2" t="n">
        <v>1</v>
      </c>
      <c r="T141" s="2" t="s">
        <v>61</v>
      </c>
      <c r="U141" s="2" t="s">
        <v>46</v>
      </c>
      <c r="V141" s="2" t="s">
        <v>230</v>
      </c>
      <c r="W141" s="2" t="s">
        <v>67</v>
      </c>
      <c r="X141" s="2" t="n">
        <v>1321</v>
      </c>
      <c r="Y141" s="2" t="n">
        <v>255</v>
      </c>
      <c r="Z141" s="2" t="n">
        <v>206</v>
      </c>
      <c r="AA141" s="2" t="n">
        <v>0</v>
      </c>
      <c r="AB141" s="2" t="s">
        <v>1764</v>
      </c>
      <c r="AC141" s="2"/>
      <c r="AD141" s="2" t="s">
        <v>1238</v>
      </c>
      <c r="AE141" s="2" t="s">
        <v>915</v>
      </c>
      <c r="AF141" s="2" t="s">
        <v>462</v>
      </c>
      <c r="AG141" s="2" t="s">
        <v>1765</v>
      </c>
      <c r="AH141" s="2" t="s">
        <v>459</v>
      </c>
      <c r="AI141" s="2" t="s">
        <v>1766</v>
      </c>
      <c r="AJ141" s="2" t="s">
        <v>1767</v>
      </c>
      <c r="AK141" s="2" t="s">
        <v>1242</v>
      </c>
      <c r="AL141" s="2" t="s">
        <v>1243</v>
      </c>
      <c r="AM141" s="2"/>
      <c r="AN141" s="2"/>
      <c r="AO141" s="2" t="n">
        <v>2</v>
      </c>
      <c r="AP141" s="2" t="s">
        <v>461</v>
      </c>
      <c r="AQ141" s="2" t="s">
        <v>1768</v>
      </c>
      <c r="AR141" s="2" t="s">
        <v>1769</v>
      </c>
    </row>
    <row r="142" customFormat="false" ht="46.25" hidden="false" customHeight="false" outlineLevel="0" collapsed="false">
      <c r="A142" s="2" t="n">
        <v>141</v>
      </c>
      <c r="B142" s="2" t="s">
        <v>1244</v>
      </c>
      <c r="C142" s="2" t="s">
        <v>686</v>
      </c>
      <c r="D142" s="2" t="s">
        <v>34</v>
      </c>
      <c r="E142" s="2" t="s">
        <v>1098</v>
      </c>
      <c r="F142" s="2" t="s">
        <v>1099</v>
      </c>
      <c r="G142" s="2" t="s">
        <v>873</v>
      </c>
      <c r="H142" s="2" t="s">
        <v>35</v>
      </c>
      <c r="I142" s="2" t="s">
        <v>1111</v>
      </c>
      <c r="J142" s="2" t="s">
        <v>912</v>
      </c>
      <c r="K142" s="2" t="s">
        <v>56</v>
      </c>
      <c r="L142" s="2" t="s">
        <v>1129</v>
      </c>
      <c r="M142" s="2" t="s">
        <v>56</v>
      </c>
      <c r="N142" s="2" t="s">
        <v>913</v>
      </c>
      <c r="O142" s="2" t="s">
        <v>214</v>
      </c>
      <c r="P142" s="2" t="s">
        <v>916</v>
      </c>
      <c r="Q142" s="2" t="s">
        <v>75</v>
      </c>
      <c r="R142" s="2" t="s">
        <v>139</v>
      </c>
      <c r="S142" s="2" t="n">
        <v>1</v>
      </c>
      <c r="T142" s="2" t="s">
        <v>61</v>
      </c>
      <c r="U142" s="2" t="s">
        <v>39</v>
      </c>
      <c r="V142" s="2" t="s">
        <v>215</v>
      </c>
      <c r="W142" s="2" t="s">
        <v>67</v>
      </c>
      <c r="X142" s="2" t="n">
        <v>1369</v>
      </c>
      <c r="Y142" s="2" t="n">
        <v>255</v>
      </c>
      <c r="Z142" s="2" t="n">
        <v>235</v>
      </c>
      <c r="AA142" s="2" t="n">
        <v>0</v>
      </c>
      <c r="AB142" s="2" t="s">
        <v>1770</v>
      </c>
      <c r="AC142" s="2"/>
      <c r="AD142" s="2" t="s">
        <v>1238</v>
      </c>
      <c r="AE142" s="2" t="s">
        <v>915</v>
      </c>
      <c r="AF142" s="2" t="s">
        <v>462</v>
      </c>
      <c r="AG142" s="2" t="s">
        <v>1765</v>
      </c>
      <c r="AH142" s="2" t="s">
        <v>463</v>
      </c>
      <c r="AI142" s="2" t="s">
        <v>1771</v>
      </c>
      <c r="AJ142" s="2" t="s">
        <v>1772</v>
      </c>
      <c r="AK142" s="2" t="s">
        <v>1242</v>
      </c>
      <c r="AL142" s="2" t="s">
        <v>1243</v>
      </c>
      <c r="AM142" s="2"/>
      <c r="AN142" s="2"/>
      <c r="AO142" s="2" t="n">
        <v>4</v>
      </c>
      <c r="AP142" s="2" t="s">
        <v>461</v>
      </c>
      <c r="AQ142" s="2" t="s">
        <v>1768</v>
      </c>
      <c r="AR142" s="2" t="s">
        <v>1769</v>
      </c>
    </row>
    <row r="143" customFormat="false" ht="46.25" hidden="false" customHeight="false" outlineLevel="0" collapsed="false">
      <c r="A143" s="2" t="n">
        <v>142</v>
      </c>
      <c r="B143" s="2" t="s">
        <v>1773</v>
      </c>
      <c r="C143" s="2" t="s">
        <v>686</v>
      </c>
      <c r="D143" s="2" t="s">
        <v>34</v>
      </c>
      <c r="E143" s="2" t="s">
        <v>1098</v>
      </c>
      <c r="F143" s="2" t="s">
        <v>1099</v>
      </c>
      <c r="G143" s="2" t="s">
        <v>873</v>
      </c>
      <c r="H143" s="2" t="s">
        <v>35</v>
      </c>
      <c r="I143" s="2" t="s">
        <v>1111</v>
      </c>
      <c r="J143" s="2" t="s">
        <v>912</v>
      </c>
      <c r="K143" s="2" t="s">
        <v>56</v>
      </c>
      <c r="L143" s="2" t="s">
        <v>1129</v>
      </c>
      <c r="M143" s="2" t="s">
        <v>56</v>
      </c>
      <c r="N143" s="2" t="s">
        <v>913</v>
      </c>
      <c r="O143" s="2" t="s">
        <v>465</v>
      </c>
      <c r="P143" s="2" t="s">
        <v>917</v>
      </c>
      <c r="Q143" s="2" t="s">
        <v>75</v>
      </c>
      <c r="R143" s="2" t="s">
        <v>145</v>
      </c>
      <c r="S143" s="2" t="n">
        <v>1</v>
      </c>
      <c r="T143" s="2" t="s">
        <v>61</v>
      </c>
      <c r="U143" s="2" t="s">
        <v>53</v>
      </c>
      <c r="V143" s="2" t="s">
        <v>233</v>
      </c>
      <c r="W143" s="2" t="s">
        <v>67</v>
      </c>
      <c r="X143" s="2" t="n">
        <v>1330</v>
      </c>
      <c r="Y143" s="2" t="n">
        <v>255</v>
      </c>
      <c r="Z143" s="2" t="n">
        <v>155</v>
      </c>
      <c r="AA143" s="2" t="n">
        <v>0</v>
      </c>
      <c r="AB143" s="2" t="s">
        <v>1774</v>
      </c>
      <c r="AC143" s="2"/>
      <c r="AD143" s="2" t="s">
        <v>1238</v>
      </c>
      <c r="AE143" s="2" t="s">
        <v>915</v>
      </c>
      <c r="AF143" s="2" t="s">
        <v>462</v>
      </c>
      <c r="AG143" s="2" t="s">
        <v>1765</v>
      </c>
      <c r="AH143" s="2" t="s">
        <v>464</v>
      </c>
      <c r="AI143" s="2" t="s">
        <v>1775</v>
      </c>
      <c r="AJ143" s="2" t="s">
        <v>1776</v>
      </c>
      <c r="AK143" s="2" t="s">
        <v>1242</v>
      </c>
      <c r="AL143" s="2" t="s">
        <v>1243</v>
      </c>
      <c r="AM143" s="2"/>
      <c r="AN143" s="2"/>
      <c r="AO143" s="2" t="n">
        <v>2</v>
      </c>
      <c r="AP143" s="2" t="s">
        <v>461</v>
      </c>
      <c r="AQ143" s="2" t="s">
        <v>1768</v>
      </c>
      <c r="AR143" s="2" t="s">
        <v>1769</v>
      </c>
    </row>
    <row r="144" customFormat="false" ht="46.25" hidden="false" customHeight="false" outlineLevel="0" collapsed="false">
      <c r="A144" s="2" t="n">
        <v>143</v>
      </c>
      <c r="B144" s="2" t="s">
        <v>1655</v>
      </c>
      <c r="C144" s="2" t="s">
        <v>686</v>
      </c>
      <c r="D144" s="2" t="s">
        <v>34</v>
      </c>
      <c r="E144" s="2" t="s">
        <v>1098</v>
      </c>
      <c r="F144" s="2" t="s">
        <v>1099</v>
      </c>
      <c r="G144" s="2" t="s">
        <v>873</v>
      </c>
      <c r="H144" s="2" t="s">
        <v>35</v>
      </c>
      <c r="I144" s="2" t="s">
        <v>1111</v>
      </c>
      <c r="J144" s="2" t="s">
        <v>912</v>
      </c>
      <c r="K144" s="2" t="s">
        <v>56</v>
      </c>
      <c r="L144" s="2" t="s">
        <v>1129</v>
      </c>
      <c r="M144" s="2" t="s">
        <v>56</v>
      </c>
      <c r="N144" s="2" t="s">
        <v>913</v>
      </c>
      <c r="O144" s="2" t="s">
        <v>413</v>
      </c>
      <c r="P144" s="2" t="s">
        <v>918</v>
      </c>
      <c r="Q144" s="2" t="s">
        <v>73</v>
      </c>
      <c r="R144" s="2" t="s">
        <v>1777</v>
      </c>
      <c r="S144" s="2" t="n">
        <v>3</v>
      </c>
      <c r="T144" s="2" t="s">
        <v>41</v>
      </c>
      <c r="U144" s="2" t="s">
        <v>39</v>
      </c>
      <c r="V144" s="2" t="s">
        <v>215</v>
      </c>
      <c r="W144" s="2" t="s">
        <v>64</v>
      </c>
      <c r="X144" s="2" t="n">
        <v>1578</v>
      </c>
      <c r="Y144" s="2" t="n">
        <v>222</v>
      </c>
      <c r="Z144" s="2" t="n">
        <v>186</v>
      </c>
      <c r="AA144" s="2" t="n">
        <v>123</v>
      </c>
      <c r="AB144" s="2" t="s">
        <v>1778</v>
      </c>
      <c r="AC144" s="2"/>
      <c r="AD144" s="2" t="s">
        <v>1238</v>
      </c>
      <c r="AE144" s="2" t="s">
        <v>915</v>
      </c>
      <c r="AF144" s="2" t="s">
        <v>462</v>
      </c>
      <c r="AG144" s="2" t="s">
        <v>1765</v>
      </c>
      <c r="AH144" s="2" t="s">
        <v>466</v>
      </c>
      <c r="AI144" s="2" t="s">
        <v>1779</v>
      </c>
      <c r="AJ144" s="2" t="s">
        <v>1780</v>
      </c>
      <c r="AK144" s="2" t="s">
        <v>1242</v>
      </c>
      <c r="AL144" s="2" t="s">
        <v>1243</v>
      </c>
      <c r="AM144" s="2"/>
      <c r="AN144" s="2"/>
      <c r="AO144" s="2" t="n">
        <v>1</v>
      </c>
      <c r="AP144" s="2" t="s">
        <v>461</v>
      </c>
      <c r="AQ144" s="2"/>
      <c r="AR144" s="2" t="s">
        <v>1769</v>
      </c>
    </row>
    <row r="145" customFormat="false" ht="46.25" hidden="false" customHeight="false" outlineLevel="0" collapsed="false">
      <c r="A145" s="2" t="n">
        <v>144</v>
      </c>
      <c r="B145" s="2" t="s">
        <v>1252</v>
      </c>
      <c r="C145" s="2" t="s">
        <v>686</v>
      </c>
      <c r="D145" s="2" t="s">
        <v>34</v>
      </c>
      <c r="E145" s="2" t="s">
        <v>1098</v>
      </c>
      <c r="F145" s="2" t="s">
        <v>1099</v>
      </c>
      <c r="G145" s="2" t="s">
        <v>873</v>
      </c>
      <c r="H145" s="2" t="s">
        <v>35</v>
      </c>
      <c r="I145" s="2" t="s">
        <v>1111</v>
      </c>
      <c r="J145" s="2" t="s">
        <v>912</v>
      </c>
      <c r="K145" s="2" t="s">
        <v>56</v>
      </c>
      <c r="L145" s="2" t="s">
        <v>1129</v>
      </c>
      <c r="M145" s="2" t="s">
        <v>56</v>
      </c>
      <c r="N145" s="2" t="s">
        <v>913</v>
      </c>
      <c r="O145" s="2" t="s">
        <v>219</v>
      </c>
      <c r="P145" s="2" t="s">
        <v>919</v>
      </c>
      <c r="Q145" s="2" t="s">
        <v>66</v>
      </c>
      <c r="R145" s="2" t="s">
        <v>104</v>
      </c>
      <c r="S145" s="2" t="n">
        <v>1</v>
      </c>
      <c r="T145" s="2" t="s">
        <v>61</v>
      </c>
      <c r="U145" s="2" t="s">
        <v>59</v>
      </c>
      <c r="V145" s="2" t="s">
        <v>211</v>
      </c>
      <c r="W145" s="2" t="s">
        <v>64</v>
      </c>
      <c r="X145" s="2" t="n">
        <v>1287</v>
      </c>
      <c r="Y145" s="2" t="n">
        <v>81</v>
      </c>
      <c r="Z145" s="2" t="n">
        <v>36</v>
      </c>
      <c r="AA145" s="2" t="n">
        <v>24</v>
      </c>
      <c r="AB145" s="2" t="s">
        <v>1781</v>
      </c>
      <c r="AC145" s="2"/>
      <c r="AD145" s="2" t="s">
        <v>1238</v>
      </c>
      <c r="AE145" s="2" t="s">
        <v>915</v>
      </c>
      <c r="AF145" s="2" t="s">
        <v>462</v>
      </c>
      <c r="AG145" s="2" t="s">
        <v>1765</v>
      </c>
      <c r="AH145" s="2" t="s">
        <v>467</v>
      </c>
      <c r="AI145" s="2" t="s">
        <v>1782</v>
      </c>
      <c r="AJ145" s="2" t="s">
        <v>1783</v>
      </c>
      <c r="AK145" s="2" t="s">
        <v>1242</v>
      </c>
      <c r="AL145" s="2" t="s">
        <v>1243</v>
      </c>
      <c r="AM145" s="2"/>
      <c r="AN145" s="2"/>
      <c r="AO145" s="2" t="n">
        <v>1</v>
      </c>
      <c r="AP145" s="2" t="s">
        <v>461</v>
      </c>
      <c r="AQ145" s="2" t="s">
        <v>1768</v>
      </c>
      <c r="AR145" s="2" t="s">
        <v>1769</v>
      </c>
    </row>
    <row r="146" customFormat="false" ht="46.25" hidden="false" customHeight="false" outlineLevel="0" collapsed="false">
      <c r="A146" s="2" t="n">
        <v>145</v>
      </c>
      <c r="B146" s="2" t="s">
        <v>1490</v>
      </c>
      <c r="C146" s="2" t="s">
        <v>686</v>
      </c>
      <c r="D146" s="2" t="s">
        <v>34</v>
      </c>
      <c r="E146" s="2" t="s">
        <v>1098</v>
      </c>
      <c r="F146" s="2" t="s">
        <v>1099</v>
      </c>
      <c r="G146" s="2" t="s">
        <v>873</v>
      </c>
      <c r="H146" s="2" t="s">
        <v>35</v>
      </c>
      <c r="I146" s="2" t="s">
        <v>1111</v>
      </c>
      <c r="J146" s="2" t="s">
        <v>912</v>
      </c>
      <c r="K146" s="2" t="s">
        <v>56</v>
      </c>
      <c r="L146" s="2" t="s">
        <v>1129</v>
      </c>
      <c r="M146" s="2" t="s">
        <v>56</v>
      </c>
      <c r="N146" s="2" t="s">
        <v>913</v>
      </c>
      <c r="O146" s="2" t="s">
        <v>339</v>
      </c>
      <c r="P146" s="2" t="s">
        <v>920</v>
      </c>
      <c r="Q146" s="2" t="s">
        <v>52</v>
      </c>
      <c r="R146" s="2" t="s">
        <v>90</v>
      </c>
      <c r="S146" s="2" t="n">
        <v>1</v>
      </c>
      <c r="T146" s="2" t="s">
        <v>61</v>
      </c>
      <c r="U146" s="2" t="s">
        <v>46</v>
      </c>
      <c r="V146" s="2" t="s">
        <v>230</v>
      </c>
      <c r="W146" s="2" t="s">
        <v>64</v>
      </c>
      <c r="X146" s="2" t="n">
        <v>1369</v>
      </c>
      <c r="Y146" s="2" t="n">
        <v>84</v>
      </c>
      <c r="Z146" s="2" t="n">
        <v>50</v>
      </c>
      <c r="AA146" s="2" t="n">
        <v>29</v>
      </c>
      <c r="AB146" s="2" t="s">
        <v>1784</v>
      </c>
      <c r="AC146" s="2"/>
      <c r="AD146" s="2" t="s">
        <v>1238</v>
      </c>
      <c r="AE146" s="2" t="s">
        <v>915</v>
      </c>
      <c r="AF146" s="2" t="s">
        <v>462</v>
      </c>
      <c r="AG146" s="2" t="s">
        <v>1765</v>
      </c>
      <c r="AH146" s="2" t="s">
        <v>468</v>
      </c>
      <c r="AI146" s="2" t="s">
        <v>1785</v>
      </c>
      <c r="AJ146" s="2" t="s">
        <v>1786</v>
      </c>
      <c r="AK146" s="2" t="s">
        <v>1242</v>
      </c>
      <c r="AL146" s="2" t="s">
        <v>1243</v>
      </c>
      <c r="AM146" s="2"/>
      <c r="AN146" s="2"/>
      <c r="AO146" s="2" t="n">
        <v>1</v>
      </c>
      <c r="AP146" s="2" t="s">
        <v>461</v>
      </c>
      <c r="AQ146" s="2" t="s">
        <v>1768</v>
      </c>
      <c r="AR146" s="2" t="s">
        <v>1769</v>
      </c>
    </row>
    <row r="147" customFormat="false" ht="46.25" hidden="false" customHeight="false" outlineLevel="0" collapsed="false">
      <c r="A147" s="2" t="n">
        <v>146</v>
      </c>
      <c r="B147" s="2" t="s">
        <v>1256</v>
      </c>
      <c r="C147" s="2" t="s">
        <v>686</v>
      </c>
      <c r="D147" s="2" t="s">
        <v>34</v>
      </c>
      <c r="E147" s="2" t="s">
        <v>1098</v>
      </c>
      <c r="F147" s="2" t="s">
        <v>1099</v>
      </c>
      <c r="G147" s="2" t="s">
        <v>873</v>
      </c>
      <c r="H147" s="2" t="s">
        <v>35</v>
      </c>
      <c r="I147" s="2" t="s">
        <v>1111</v>
      </c>
      <c r="J147" s="2" t="s">
        <v>912</v>
      </c>
      <c r="K147" s="2" t="s">
        <v>56</v>
      </c>
      <c r="L147" s="2" t="s">
        <v>1129</v>
      </c>
      <c r="M147" s="2" t="s">
        <v>56</v>
      </c>
      <c r="N147" s="2" t="s">
        <v>913</v>
      </c>
      <c r="O147" s="2" t="s">
        <v>221</v>
      </c>
      <c r="P147" s="2" t="s">
        <v>921</v>
      </c>
      <c r="Q147" s="2" t="s">
        <v>75</v>
      </c>
      <c r="R147" s="2" t="s">
        <v>141</v>
      </c>
      <c r="S147" s="2" t="n">
        <v>1</v>
      </c>
      <c r="T147" s="2" t="s">
        <v>61</v>
      </c>
      <c r="U147" s="2" t="s">
        <v>39</v>
      </c>
      <c r="V147" s="2" t="s">
        <v>215</v>
      </c>
      <c r="W147" s="2" t="s">
        <v>67</v>
      </c>
      <c r="X147" s="2" t="n">
        <v>1538</v>
      </c>
      <c r="Y147" s="2" t="n">
        <v>255</v>
      </c>
      <c r="Z147" s="2" t="n">
        <v>238</v>
      </c>
      <c r="AA147" s="2" t="n">
        <v>18</v>
      </c>
      <c r="AB147" s="2" t="s">
        <v>1787</v>
      </c>
      <c r="AC147" s="2"/>
      <c r="AD147" s="2" t="s">
        <v>1238</v>
      </c>
      <c r="AE147" s="2" t="s">
        <v>915</v>
      </c>
      <c r="AF147" s="2" t="s">
        <v>462</v>
      </c>
      <c r="AG147" s="2" t="s">
        <v>1765</v>
      </c>
      <c r="AH147" s="2" t="s">
        <v>469</v>
      </c>
      <c r="AI147" s="2" t="s">
        <v>1788</v>
      </c>
      <c r="AJ147" s="2" t="s">
        <v>1789</v>
      </c>
      <c r="AK147" s="2" t="s">
        <v>1242</v>
      </c>
      <c r="AL147" s="2" t="s">
        <v>1243</v>
      </c>
      <c r="AM147" s="2"/>
      <c r="AN147" s="2"/>
      <c r="AO147" s="2" t="n">
        <v>3</v>
      </c>
      <c r="AP147" s="2" t="s">
        <v>461</v>
      </c>
      <c r="AQ147" s="2" t="s">
        <v>1768</v>
      </c>
      <c r="AR147" s="2" t="s">
        <v>1769</v>
      </c>
    </row>
    <row r="148" customFormat="false" ht="46.25" hidden="false" customHeight="false" outlineLevel="0" collapsed="false">
      <c r="A148" s="2" t="n">
        <v>147</v>
      </c>
      <c r="B148" s="2" t="s">
        <v>1497</v>
      </c>
      <c r="C148" s="2" t="s">
        <v>686</v>
      </c>
      <c r="D148" s="2" t="s">
        <v>34</v>
      </c>
      <c r="E148" s="2" t="s">
        <v>1098</v>
      </c>
      <c r="F148" s="2" t="s">
        <v>1099</v>
      </c>
      <c r="G148" s="2" t="s">
        <v>873</v>
      </c>
      <c r="H148" s="2" t="s">
        <v>35</v>
      </c>
      <c r="I148" s="2" t="s">
        <v>1111</v>
      </c>
      <c r="J148" s="2" t="s">
        <v>912</v>
      </c>
      <c r="K148" s="2" t="s">
        <v>56</v>
      </c>
      <c r="L148" s="2" t="s">
        <v>1129</v>
      </c>
      <c r="M148" s="2" t="s">
        <v>56</v>
      </c>
      <c r="N148" s="2" t="s">
        <v>913</v>
      </c>
      <c r="O148" s="2" t="s">
        <v>342</v>
      </c>
      <c r="P148" s="2" t="s">
        <v>922</v>
      </c>
      <c r="Q148" s="2" t="s">
        <v>66</v>
      </c>
      <c r="R148" s="2" t="s">
        <v>98</v>
      </c>
      <c r="S148" s="2" t="n">
        <v>1</v>
      </c>
      <c r="T148" s="2" t="s">
        <v>61</v>
      </c>
      <c r="U148" s="2" t="s">
        <v>39</v>
      </c>
      <c r="V148" s="2" t="s">
        <v>215</v>
      </c>
      <c r="W148" s="2" t="s">
        <v>67</v>
      </c>
      <c r="X148" s="2" t="n">
        <v>1581</v>
      </c>
      <c r="Y148" s="2" t="n">
        <v>255</v>
      </c>
      <c r="Z148" s="2" t="n">
        <v>122</v>
      </c>
      <c r="AA148" s="2" t="n">
        <v>0</v>
      </c>
      <c r="AB148" s="2" t="s">
        <v>1790</v>
      </c>
      <c r="AC148" s="2"/>
      <c r="AD148" s="2" t="s">
        <v>1238</v>
      </c>
      <c r="AE148" s="2" t="s">
        <v>915</v>
      </c>
      <c r="AF148" s="2" t="s">
        <v>462</v>
      </c>
      <c r="AG148" s="2" t="s">
        <v>1765</v>
      </c>
      <c r="AH148" s="2" t="s">
        <v>470</v>
      </c>
      <c r="AI148" s="2" t="s">
        <v>1791</v>
      </c>
      <c r="AJ148" s="2" t="s">
        <v>1792</v>
      </c>
      <c r="AK148" s="2" t="s">
        <v>1242</v>
      </c>
      <c r="AL148" s="2" t="s">
        <v>1243</v>
      </c>
      <c r="AM148" s="2"/>
      <c r="AN148" s="2"/>
      <c r="AO148" s="2" t="n">
        <v>3</v>
      </c>
      <c r="AP148" s="2" t="s">
        <v>461</v>
      </c>
      <c r="AQ148" s="2" t="s">
        <v>1768</v>
      </c>
      <c r="AR148" s="2" t="s">
        <v>1769</v>
      </c>
    </row>
    <row r="149" customFormat="false" ht="46.25" hidden="false" customHeight="false" outlineLevel="0" collapsed="false">
      <c r="A149" s="2" t="n">
        <v>148</v>
      </c>
      <c r="B149" s="2" t="s">
        <v>1793</v>
      </c>
      <c r="C149" s="2" t="s">
        <v>686</v>
      </c>
      <c r="D149" s="2" t="s">
        <v>34</v>
      </c>
      <c r="E149" s="2" t="s">
        <v>1098</v>
      </c>
      <c r="F149" s="2" t="s">
        <v>1099</v>
      </c>
      <c r="G149" s="2" t="s">
        <v>873</v>
      </c>
      <c r="H149" s="2" t="s">
        <v>35</v>
      </c>
      <c r="I149" s="2" t="s">
        <v>1111</v>
      </c>
      <c r="J149" s="2" t="s">
        <v>912</v>
      </c>
      <c r="K149" s="2" t="s">
        <v>56</v>
      </c>
      <c r="L149" s="2" t="s">
        <v>1129</v>
      </c>
      <c r="M149" s="2" t="s">
        <v>56</v>
      </c>
      <c r="N149" s="2" t="s">
        <v>913</v>
      </c>
      <c r="O149" s="2" t="s">
        <v>472</v>
      </c>
      <c r="P149" s="2" t="s">
        <v>923</v>
      </c>
      <c r="Q149" s="2" t="s">
        <v>69</v>
      </c>
      <c r="R149" s="2" t="s">
        <v>106</v>
      </c>
      <c r="S149" s="2" t="n">
        <v>1</v>
      </c>
      <c r="T149" s="2" t="s">
        <v>61</v>
      </c>
      <c r="U149" s="2" t="s">
        <v>39</v>
      </c>
      <c r="V149" s="2" t="s">
        <v>215</v>
      </c>
      <c r="W149" s="2" t="s">
        <v>67</v>
      </c>
      <c r="X149" s="2" t="n">
        <v>1413</v>
      </c>
      <c r="Y149" s="2" t="n">
        <v>170</v>
      </c>
      <c r="Z149" s="2" t="n">
        <v>20</v>
      </c>
      <c r="AA149" s="2" t="n">
        <v>40</v>
      </c>
      <c r="AB149" s="2" t="s">
        <v>1794</v>
      </c>
      <c r="AC149" s="2"/>
      <c r="AD149" s="2" t="s">
        <v>1238</v>
      </c>
      <c r="AE149" s="2" t="s">
        <v>915</v>
      </c>
      <c r="AF149" s="2" t="s">
        <v>462</v>
      </c>
      <c r="AG149" s="2" t="s">
        <v>1765</v>
      </c>
      <c r="AH149" s="2" t="s">
        <v>471</v>
      </c>
      <c r="AI149" s="2" t="s">
        <v>1795</v>
      </c>
      <c r="AJ149" s="2" t="s">
        <v>1796</v>
      </c>
      <c r="AK149" s="2" t="s">
        <v>1242</v>
      </c>
      <c r="AL149" s="2" t="s">
        <v>1243</v>
      </c>
      <c r="AM149" s="2"/>
      <c r="AN149" s="2"/>
      <c r="AO149" s="2" t="n">
        <v>3</v>
      </c>
      <c r="AP149" s="2" t="s">
        <v>461</v>
      </c>
      <c r="AQ149" s="2" t="s">
        <v>1768</v>
      </c>
      <c r="AR149" s="2" t="s">
        <v>1769</v>
      </c>
    </row>
    <row r="150" customFormat="false" ht="23.85" hidden="false" customHeight="false" outlineLevel="0" collapsed="false">
      <c r="A150" s="2" t="n">
        <v>149</v>
      </c>
      <c r="B150" s="2" t="s">
        <v>1797</v>
      </c>
      <c r="C150" s="2" t="s">
        <v>686</v>
      </c>
      <c r="D150" s="2" t="s">
        <v>34</v>
      </c>
      <c r="E150" s="2" t="s">
        <v>1098</v>
      </c>
      <c r="F150" s="2" t="s">
        <v>1099</v>
      </c>
      <c r="G150" s="2" t="s">
        <v>873</v>
      </c>
      <c r="H150" s="2" t="s">
        <v>35</v>
      </c>
      <c r="I150" s="2" t="s">
        <v>1111</v>
      </c>
      <c r="J150" s="2" t="s">
        <v>912</v>
      </c>
      <c r="K150" s="2" t="s">
        <v>56</v>
      </c>
      <c r="L150" s="2" t="s">
        <v>1129</v>
      </c>
      <c r="M150" s="2" t="s">
        <v>56</v>
      </c>
      <c r="N150" s="2" t="s">
        <v>913</v>
      </c>
      <c r="O150" s="2" t="s">
        <v>474</v>
      </c>
      <c r="P150" s="2" t="s">
        <v>924</v>
      </c>
      <c r="Q150" s="2" t="s">
        <v>69</v>
      </c>
      <c r="R150" s="2" t="s">
        <v>423</v>
      </c>
      <c r="S150" s="2" t="n">
        <v>0</v>
      </c>
      <c r="T150" s="2" t="s">
        <v>55</v>
      </c>
      <c r="U150" s="2"/>
      <c r="V150" s="2"/>
      <c r="W150" s="2"/>
      <c r="X150" s="2" t="n">
        <v>1587</v>
      </c>
      <c r="Y150" s="2" t="n">
        <v>106</v>
      </c>
      <c r="Z150" s="2" t="n">
        <v>37</v>
      </c>
      <c r="AA150" s="2" t="n">
        <v>39</v>
      </c>
      <c r="AB150" s="2" t="s">
        <v>1798</v>
      </c>
      <c r="AC150" s="2"/>
      <c r="AD150" s="2" t="s">
        <v>1238</v>
      </c>
      <c r="AE150" s="2" t="s">
        <v>692</v>
      </c>
      <c r="AF150" s="2" t="s">
        <v>212</v>
      </c>
      <c r="AG150" s="2" t="s">
        <v>1678</v>
      </c>
      <c r="AH150" s="2" t="s">
        <v>473</v>
      </c>
      <c r="AI150" s="2" t="s">
        <v>1799</v>
      </c>
      <c r="AJ150" s="2" t="s">
        <v>1800</v>
      </c>
      <c r="AK150" s="2" t="s">
        <v>1242</v>
      </c>
      <c r="AL150" s="2" t="s">
        <v>1243</v>
      </c>
      <c r="AM150" s="2"/>
      <c r="AN150" s="2"/>
      <c r="AO150" s="2"/>
      <c r="AP150" s="2"/>
      <c r="AQ150" s="2"/>
      <c r="AR150" s="2" t="s">
        <v>1801</v>
      </c>
    </row>
    <row r="151" customFormat="false" ht="46.25" hidden="false" customHeight="false" outlineLevel="0" collapsed="false">
      <c r="A151" s="2" t="n">
        <v>150</v>
      </c>
      <c r="B151" s="2" t="s">
        <v>1802</v>
      </c>
      <c r="C151" s="2" t="s">
        <v>686</v>
      </c>
      <c r="D151" s="2" t="s">
        <v>34</v>
      </c>
      <c r="E151" s="2" t="s">
        <v>1098</v>
      </c>
      <c r="F151" s="2" t="s">
        <v>1099</v>
      </c>
      <c r="G151" s="2" t="s">
        <v>873</v>
      </c>
      <c r="H151" s="2" t="s">
        <v>35</v>
      </c>
      <c r="I151" s="2" t="s">
        <v>1111</v>
      </c>
      <c r="J151" s="2" t="s">
        <v>912</v>
      </c>
      <c r="K151" s="2" t="s">
        <v>56</v>
      </c>
      <c r="L151" s="2" t="s">
        <v>1129</v>
      </c>
      <c r="M151" s="2" t="s">
        <v>56</v>
      </c>
      <c r="N151" s="2" t="s">
        <v>913</v>
      </c>
      <c r="O151" s="2" t="s">
        <v>476</v>
      </c>
      <c r="P151" s="2" t="s">
        <v>925</v>
      </c>
      <c r="Q151" s="2" t="s">
        <v>69</v>
      </c>
      <c r="R151" s="2" t="s">
        <v>106</v>
      </c>
      <c r="S151" s="2" t="n">
        <v>1</v>
      </c>
      <c r="T151" s="2" t="s">
        <v>61</v>
      </c>
      <c r="U151" s="2" t="s">
        <v>39</v>
      </c>
      <c r="V151" s="2" t="s">
        <v>215</v>
      </c>
      <c r="W151" s="2" t="s">
        <v>67</v>
      </c>
      <c r="X151" s="2" t="n">
        <v>1545</v>
      </c>
      <c r="Y151" s="2" t="n">
        <v>230</v>
      </c>
      <c r="Z151" s="2" t="n">
        <v>55</v>
      </c>
      <c r="AA151" s="2" t="n">
        <v>20</v>
      </c>
      <c r="AB151" s="2" t="s">
        <v>1803</v>
      </c>
      <c r="AC151" s="2"/>
      <c r="AD151" s="2" t="s">
        <v>1238</v>
      </c>
      <c r="AE151" s="2" t="s">
        <v>915</v>
      </c>
      <c r="AF151" s="2" t="s">
        <v>462</v>
      </c>
      <c r="AG151" s="2" t="s">
        <v>1765</v>
      </c>
      <c r="AH151" s="2" t="s">
        <v>475</v>
      </c>
      <c r="AI151" s="2" t="s">
        <v>1804</v>
      </c>
      <c r="AJ151" s="2" t="s">
        <v>1805</v>
      </c>
      <c r="AK151" s="2" t="s">
        <v>1242</v>
      </c>
      <c r="AL151" s="2" t="s">
        <v>1243</v>
      </c>
      <c r="AM151" s="2"/>
      <c r="AN151" s="2"/>
      <c r="AO151" s="2" t="n">
        <v>3</v>
      </c>
      <c r="AP151" s="2" t="s">
        <v>461</v>
      </c>
      <c r="AQ151" s="2" t="s">
        <v>1768</v>
      </c>
      <c r="AR151" s="2" t="s">
        <v>1769</v>
      </c>
    </row>
    <row r="152" customFormat="false" ht="46.25" hidden="false" customHeight="false" outlineLevel="0" collapsed="false">
      <c r="A152" s="2" t="n">
        <v>151</v>
      </c>
      <c r="B152" s="2" t="s">
        <v>1268</v>
      </c>
      <c r="C152" s="2" t="s">
        <v>686</v>
      </c>
      <c r="D152" s="2" t="s">
        <v>34</v>
      </c>
      <c r="E152" s="2" t="s">
        <v>1098</v>
      </c>
      <c r="F152" s="2" t="s">
        <v>1099</v>
      </c>
      <c r="G152" s="2" t="s">
        <v>873</v>
      </c>
      <c r="H152" s="2" t="s">
        <v>35</v>
      </c>
      <c r="I152" s="2" t="s">
        <v>1111</v>
      </c>
      <c r="J152" s="2" t="s">
        <v>912</v>
      </c>
      <c r="K152" s="2" t="s">
        <v>56</v>
      </c>
      <c r="L152" s="2" t="s">
        <v>1129</v>
      </c>
      <c r="M152" s="2" t="s">
        <v>56</v>
      </c>
      <c r="N152" s="2" t="s">
        <v>913</v>
      </c>
      <c r="O152" s="2" t="s">
        <v>227</v>
      </c>
      <c r="P152" s="2" t="s">
        <v>926</v>
      </c>
      <c r="Q152" s="2" t="s">
        <v>75</v>
      </c>
      <c r="R152" s="2" t="s">
        <v>1806</v>
      </c>
      <c r="S152" s="2" t="n">
        <v>2</v>
      </c>
      <c r="T152" s="2" t="s">
        <v>41</v>
      </c>
      <c r="U152" s="2" t="s">
        <v>39</v>
      </c>
      <c r="V152" s="2" t="s">
        <v>215</v>
      </c>
      <c r="W152" s="2" t="s">
        <v>67</v>
      </c>
      <c r="X152" s="2" t="n">
        <v>1493</v>
      </c>
      <c r="Y152" s="2" t="n">
        <v>255</v>
      </c>
      <c r="Z152" s="2" t="n">
        <v>181</v>
      </c>
      <c r="AA152" s="2" t="n">
        <v>0</v>
      </c>
      <c r="AB152" s="2" t="s">
        <v>1807</v>
      </c>
      <c r="AC152" s="2"/>
      <c r="AD152" s="2" t="s">
        <v>1238</v>
      </c>
      <c r="AE152" s="2" t="s">
        <v>915</v>
      </c>
      <c r="AF152" s="2" t="s">
        <v>462</v>
      </c>
      <c r="AG152" s="2" t="s">
        <v>1765</v>
      </c>
      <c r="AH152" s="2" t="s">
        <v>477</v>
      </c>
      <c r="AI152" s="2" t="s">
        <v>1808</v>
      </c>
      <c r="AJ152" s="2" t="s">
        <v>1809</v>
      </c>
      <c r="AK152" s="2" t="s">
        <v>1242</v>
      </c>
      <c r="AL152" s="2" t="s">
        <v>1243</v>
      </c>
      <c r="AM152" s="2"/>
      <c r="AN152" s="2"/>
      <c r="AO152" s="2" t="n">
        <v>3</v>
      </c>
      <c r="AP152" s="2" t="s">
        <v>461</v>
      </c>
      <c r="AQ152" s="2"/>
      <c r="AR152" s="2" t="s">
        <v>1769</v>
      </c>
    </row>
    <row r="153" customFormat="false" ht="46.25" hidden="false" customHeight="false" outlineLevel="0" collapsed="false">
      <c r="A153" s="2" t="n">
        <v>152</v>
      </c>
      <c r="B153" s="2" t="s">
        <v>1810</v>
      </c>
      <c r="C153" s="2" t="s">
        <v>686</v>
      </c>
      <c r="D153" s="2" t="s">
        <v>34</v>
      </c>
      <c r="E153" s="2" t="s">
        <v>1098</v>
      </c>
      <c r="F153" s="2" t="s">
        <v>1099</v>
      </c>
      <c r="G153" s="2" t="s">
        <v>873</v>
      </c>
      <c r="H153" s="2" t="s">
        <v>35</v>
      </c>
      <c r="I153" s="2" t="s">
        <v>1111</v>
      </c>
      <c r="J153" s="2" t="s">
        <v>912</v>
      </c>
      <c r="K153" s="2" t="s">
        <v>56</v>
      </c>
      <c r="L153" s="2" t="s">
        <v>1129</v>
      </c>
      <c r="M153" s="2" t="s">
        <v>56</v>
      </c>
      <c r="N153" s="2" t="s">
        <v>913</v>
      </c>
      <c r="O153" s="2" t="s">
        <v>479</v>
      </c>
      <c r="P153" s="2" t="s">
        <v>927</v>
      </c>
      <c r="Q153" s="2" t="s">
        <v>75</v>
      </c>
      <c r="R153" s="2" t="s">
        <v>141</v>
      </c>
      <c r="S153" s="2" t="n">
        <v>1</v>
      </c>
      <c r="T153" s="2" t="s">
        <v>61</v>
      </c>
      <c r="U153" s="2" t="s">
        <v>39</v>
      </c>
      <c r="V153" s="2" t="s">
        <v>215</v>
      </c>
      <c r="W153" s="2" t="s">
        <v>67</v>
      </c>
      <c r="X153" s="2" t="n">
        <v>1493</v>
      </c>
      <c r="Y153" s="2" t="n">
        <v>255</v>
      </c>
      <c r="Z153" s="2" t="n">
        <v>201</v>
      </c>
      <c r="AA153" s="2" t="n">
        <v>0</v>
      </c>
      <c r="AB153" s="2" t="s">
        <v>1811</v>
      </c>
      <c r="AC153" s="2"/>
      <c r="AD153" s="2" t="s">
        <v>1238</v>
      </c>
      <c r="AE153" s="2" t="s">
        <v>915</v>
      </c>
      <c r="AF153" s="2" t="s">
        <v>462</v>
      </c>
      <c r="AG153" s="2" t="s">
        <v>1765</v>
      </c>
      <c r="AH153" s="2" t="s">
        <v>478</v>
      </c>
      <c r="AI153" s="2" t="s">
        <v>1812</v>
      </c>
      <c r="AJ153" s="2" t="s">
        <v>1813</v>
      </c>
      <c r="AK153" s="2" t="s">
        <v>1242</v>
      </c>
      <c r="AL153" s="2" t="s">
        <v>1243</v>
      </c>
      <c r="AM153" s="2"/>
      <c r="AN153" s="2"/>
      <c r="AO153" s="2" t="n">
        <v>3</v>
      </c>
      <c r="AP153" s="2" t="s">
        <v>461</v>
      </c>
      <c r="AQ153" s="2" t="s">
        <v>1768</v>
      </c>
      <c r="AR153" s="2" t="s">
        <v>1769</v>
      </c>
    </row>
    <row r="154" customFormat="false" ht="46.25" hidden="false" customHeight="false" outlineLevel="0" collapsed="false">
      <c r="A154" s="2" t="n">
        <v>153</v>
      </c>
      <c r="B154" s="2" t="s">
        <v>1814</v>
      </c>
      <c r="C154" s="2" t="s">
        <v>686</v>
      </c>
      <c r="D154" s="2" t="s">
        <v>34</v>
      </c>
      <c r="E154" s="2" t="s">
        <v>1098</v>
      </c>
      <c r="F154" s="2" t="s">
        <v>1099</v>
      </c>
      <c r="G154" s="2" t="s">
        <v>873</v>
      </c>
      <c r="H154" s="2" t="s">
        <v>35</v>
      </c>
      <c r="I154" s="2" t="s">
        <v>1111</v>
      </c>
      <c r="J154" s="2" t="s">
        <v>912</v>
      </c>
      <c r="K154" s="2" t="s">
        <v>56</v>
      </c>
      <c r="L154" s="2" t="s">
        <v>1129</v>
      </c>
      <c r="M154" s="2" t="s">
        <v>56</v>
      </c>
      <c r="N154" s="2" t="s">
        <v>913</v>
      </c>
      <c r="O154" s="2" t="s">
        <v>481</v>
      </c>
      <c r="P154" s="2" t="s">
        <v>928</v>
      </c>
      <c r="Q154" s="2" t="s">
        <v>45</v>
      </c>
      <c r="R154" s="2" t="s">
        <v>76</v>
      </c>
      <c r="S154" s="2" t="n">
        <v>1</v>
      </c>
      <c r="T154" s="2" t="s">
        <v>61</v>
      </c>
      <c r="U154" s="2" t="s">
        <v>39</v>
      </c>
      <c r="V154" s="2" t="s">
        <v>215</v>
      </c>
      <c r="W154" s="2" t="s">
        <v>64</v>
      </c>
      <c r="X154" s="2" t="n">
        <v>1477</v>
      </c>
      <c r="Y154" s="2" t="n">
        <v>0</v>
      </c>
      <c r="Z154" s="2" t="n">
        <v>90</v>
      </c>
      <c r="AA154" s="2" t="n">
        <v>151</v>
      </c>
      <c r="AB154" s="2" t="s">
        <v>1815</v>
      </c>
      <c r="AC154" s="2"/>
      <c r="AD154" s="2" t="s">
        <v>1238</v>
      </c>
      <c r="AE154" s="2" t="s">
        <v>915</v>
      </c>
      <c r="AF154" s="2" t="s">
        <v>462</v>
      </c>
      <c r="AG154" s="2" t="s">
        <v>1765</v>
      </c>
      <c r="AH154" s="2" t="s">
        <v>480</v>
      </c>
      <c r="AI154" s="2" t="s">
        <v>1816</v>
      </c>
      <c r="AJ154" s="2" t="s">
        <v>1817</v>
      </c>
      <c r="AK154" s="2" t="s">
        <v>1242</v>
      </c>
      <c r="AL154" s="2" t="s">
        <v>1243</v>
      </c>
      <c r="AM154" s="2"/>
      <c r="AN154" s="2"/>
      <c r="AO154" s="2" t="n">
        <v>4</v>
      </c>
      <c r="AP154" s="2" t="s">
        <v>461</v>
      </c>
      <c r="AQ154" s="2" t="s">
        <v>1768</v>
      </c>
      <c r="AR154" s="2" t="s">
        <v>1769</v>
      </c>
    </row>
    <row r="155" customFormat="false" ht="46.25" hidden="false" customHeight="false" outlineLevel="0" collapsed="false">
      <c r="A155" s="2" t="n">
        <v>154</v>
      </c>
      <c r="B155" s="2" t="s">
        <v>1272</v>
      </c>
      <c r="C155" s="2" t="s">
        <v>686</v>
      </c>
      <c r="D155" s="2" t="s">
        <v>34</v>
      </c>
      <c r="E155" s="2" t="s">
        <v>1098</v>
      </c>
      <c r="F155" s="2" t="s">
        <v>1099</v>
      </c>
      <c r="G155" s="2" t="s">
        <v>873</v>
      </c>
      <c r="H155" s="2" t="s">
        <v>35</v>
      </c>
      <c r="I155" s="2" t="s">
        <v>1111</v>
      </c>
      <c r="J155" s="2" t="s">
        <v>912</v>
      </c>
      <c r="K155" s="2" t="s">
        <v>56</v>
      </c>
      <c r="L155" s="2" t="s">
        <v>1129</v>
      </c>
      <c r="M155" s="2" t="s">
        <v>56</v>
      </c>
      <c r="N155" s="2" t="s">
        <v>913</v>
      </c>
      <c r="O155" s="2" t="s">
        <v>229</v>
      </c>
      <c r="P155" s="2" t="s">
        <v>929</v>
      </c>
      <c r="Q155" s="2" t="s">
        <v>45</v>
      </c>
      <c r="R155" s="2" t="s">
        <v>74</v>
      </c>
      <c r="S155" s="2" t="n">
        <v>1</v>
      </c>
      <c r="T155" s="2" t="s">
        <v>61</v>
      </c>
      <c r="U155" s="2" t="s">
        <v>39</v>
      </c>
      <c r="V155" s="2" t="s">
        <v>215</v>
      </c>
      <c r="W155" s="2" t="s">
        <v>64</v>
      </c>
      <c r="X155" s="2" t="n">
        <v>1606</v>
      </c>
      <c r="Y155" s="2" t="n">
        <v>0</v>
      </c>
      <c r="Z155" s="2" t="n">
        <v>108</v>
      </c>
      <c r="AA155" s="2" t="n">
        <v>163</v>
      </c>
      <c r="AB155" s="2" t="s">
        <v>1818</v>
      </c>
      <c r="AC155" s="2"/>
      <c r="AD155" s="2" t="s">
        <v>1238</v>
      </c>
      <c r="AE155" s="2" t="s">
        <v>915</v>
      </c>
      <c r="AF155" s="2" t="s">
        <v>462</v>
      </c>
      <c r="AG155" s="2" t="s">
        <v>1765</v>
      </c>
      <c r="AH155" s="2" t="s">
        <v>482</v>
      </c>
      <c r="AI155" s="2" t="s">
        <v>1819</v>
      </c>
      <c r="AJ155" s="2" t="s">
        <v>1820</v>
      </c>
      <c r="AK155" s="2" t="s">
        <v>1242</v>
      </c>
      <c r="AL155" s="2" t="s">
        <v>1243</v>
      </c>
      <c r="AM155" s="2"/>
      <c r="AN155" s="2"/>
      <c r="AO155" s="2" t="n">
        <v>5</v>
      </c>
      <c r="AP155" s="2" t="s">
        <v>461</v>
      </c>
      <c r="AQ155" s="2" t="s">
        <v>1768</v>
      </c>
      <c r="AR155" s="2" t="s">
        <v>1769</v>
      </c>
    </row>
    <row r="156" customFormat="false" ht="46.25" hidden="false" customHeight="false" outlineLevel="0" collapsed="false">
      <c r="A156" s="2" t="n">
        <v>155</v>
      </c>
      <c r="B156" s="2" t="s">
        <v>1821</v>
      </c>
      <c r="C156" s="2" t="s">
        <v>686</v>
      </c>
      <c r="D156" s="2" t="s">
        <v>34</v>
      </c>
      <c r="E156" s="2" t="s">
        <v>1098</v>
      </c>
      <c r="F156" s="2" t="s">
        <v>1099</v>
      </c>
      <c r="G156" s="2" t="s">
        <v>873</v>
      </c>
      <c r="H156" s="2" t="s">
        <v>35</v>
      </c>
      <c r="I156" s="2" t="s">
        <v>1111</v>
      </c>
      <c r="J156" s="2" t="s">
        <v>912</v>
      </c>
      <c r="K156" s="2" t="s">
        <v>56</v>
      </c>
      <c r="L156" s="2" t="s">
        <v>1129</v>
      </c>
      <c r="M156" s="2" t="s">
        <v>56</v>
      </c>
      <c r="N156" s="2" t="s">
        <v>913</v>
      </c>
      <c r="O156" s="2" t="s">
        <v>484</v>
      </c>
      <c r="P156" s="2" t="s">
        <v>930</v>
      </c>
      <c r="Q156" s="2" t="s">
        <v>58</v>
      </c>
      <c r="R156" s="2" t="s">
        <v>91</v>
      </c>
      <c r="S156" s="2" t="n">
        <v>1</v>
      </c>
      <c r="T156" s="2" t="s">
        <v>61</v>
      </c>
      <c r="U156" s="2" t="s">
        <v>39</v>
      </c>
      <c r="V156" s="2" t="s">
        <v>215</v>
      </c>
      <c r="W156" s="2" t="s">
        <v>64</v>
      </c>
      <c r="X156" s="2" t="n">
        <v>1682</v>
      </c>
      <c r="Y156" s="2" t="n">
        <v>76</v>
      </c>
      <c r="Z156" s="2" t="n">
        <v>115</v>
      </c>
      <c r="AA156" s="2" t="n">
        <v>71</v>
      </c>
      <c r="AB156" s="2" t="s">
        <v>1822</v>
      </c>
      <c r="AC156" s="2"/>
      <c r="AD156" s="2" t="s">
        <v>1238</v>
      </c>
      <c r="AE156" s="2" t="s">
        <v>915</v>
      </c>
      <c r="AF156" s="2" t="s">
        <v>462</v>
      </c>
      <c r="AG156" s="2" t="s">
        <v>1765</v>
      </c>
      <c r="AH156" s="2" t="s">
        <v>483</v>
      </c>
      <c r="AI156" s="2" t="s">
        <v>1823</v>
      </c>
      <c r="AJ156" s="2" t="s">
        <v>1824</v>
      </c>
      <c r="AK156" s="2" t="s">
        <v>1242</v>
      </c>
      <c r="AL156" s="2" t="s">
        <v>1243</v>
      </c>
      <c r="AM156" s="2"/>
      <c r="AN156" s="2"/>
      <c r="AO156" s="2" t="n">
        <v>3</v>
      </c>
      <c r="AP156" s="2" t="s">
        <v>461</v>
      </c>
      <c r="AQ156" s="2" t="s">
        <v>1768</v>
      </c>
      <c r="AR156" s="2" t="s">
        <v>1769</v>
      </c>
    </row>
    <row r="157" customFormat="false" ht="46.25" hidden="false" customHeight="false" outlineLevel="0" collapsed="false">
      <c r="A157" s="2" t="n">
        <v>156</v>
      </c>
      <c r="B157" s="2" t="s">
        <v>1276</v>
      </c>
      <c r="C157" s="2" t="s">
        <v>686</v>
      </c>
      <c r="D157" s="2" t="s">
        <v>34</v>
      </c>
      <c r="E157" s="2" t="s">
        <v>1098</v>
      </c>
      <c r="F157" s="2" t="s">
        <v>1099</v>
      </c>
      <c r="G157" s="2" t="s">
        <v>873</v>
      </c>
      <c r="H157" s="2" t="s">
        <v>35</v>
      </c>
      <c r="I157" s="2" t="s">
        <v>1111</v>
      </c>
      <c r="J157" s="2" t="s">
        <v>912</v>
      </c>
      <c r="K157" s="2" t="s">
        <v>56</v>
      </c>
      <c r="L157" s="2" t="s">
        <v>1129</v>
      </c>
      <c r="M157" s="2" t="s">
        <v>56</v>
      </c>
      <c r="N157" s="2" t="s">
        <v>913</v>
      </c>
      <c r="O157" s="2" t="s">
        <v>232</v>
      </c>
      <c r="P157" s="2" t="s">
        <v>931</v>
      </c>
      <c r="Q157" s="2" t="s">
        <v>45</v>
      </c>
      <c r="R157" s="2" t="s">
        <v>70</v>
      </c>
      <c r="S157" s="2" t="n">
        <v>1</v>
      </c>
      <c r="T157" s="2" t="s">
        <v>61</v>
      </c>
      <c r="U157" s="2" t="s">
        <v>39</v>
      </c>
      <c r="V157" s="2" t="s">
        <v>215</v>
      </c>
      <c r="W157" s="2" t="s">
        <v>64</v>
      </c>
      <c r="X157" s="2" t="n">
        <v>1580</v>
      </c>
      <c r="Y157" s="2" t="n">
        <v>22</v>
      </c>
      <c r="Z157" s="2" t="n">
        <v>71</v>
      </c>
      <c r="AA157" s="2" t="n">
        <v>153</v>
      </c>
      <c r="AB157" s="2" t="s">
        <v>1825</v>
      </c>
      <c r="AC157" s="2"/>
      <c r="AD157" s="2" t="s">
        <v>1238</v>
      </c>
      <c r="AE157" s="2" t="s">
        <v>915</v>
      </c>
      <c r="AF157" s="2" t="s">
        <v>462</v>
      </c>
      <c r="AG157" s="2" t="s">
        <v>1765</v>
      </c>
      <c r="AH157" s="2" t="s">
        <v>485</v>
      </c>
      <c r="AI157" s="2" t="s">
        <v>1826</v>
      </c>
      <c r="AJ157" s="2" t="s">
        <v>1827</v>
      </c>
      <c r="AK157" s="2" t="s">
        <v>1242</v>
      </c>
      <c r="AL157" s="2" t="s">
        <v>1243</v>
      </c>
      <c r="AM157" s="2"/>
      <c r="AN157" s="2"/>
      <c r="AO157" s="2" t="n">
        <v>4</v>
      </c>
      <c r="AP157" s="2" t="s">
        <v>461</v>
      </c>
      <c r="AQ157" s="2" t="s">
        <v>1768</v>
      </c>
      <c r="AR157" s="2" t="s">
        <v>1769</v>
      </c>
    </row>
    <row r="158" customFormat="false" ht="46.25" hidden="false" customHeight="false" outlineLevel="0" collapsed="false">
      <c r="A158" s="2" t="n">
        <v>157</v>
      </c>
      <c r="B158" s="2" t="s">
        <v>1280</v>
      </c>
      <c r="C158" s="2" t="s">
        <v>686</v>
      </c>
      <c r="D158" s="2" t="s">
        <v>34</v>
      </c>
      <c r="E158" s="2" t="s">
        <v>1098</v>
      </c>
      <c r="F158" s="2" t="s">
        <v>1099</v>
      </c>
      <c r="G158" s="2" t="s">
        <v>873</v>
      </c>
      <c r="H158" s="2" t="s">
        <v>35</v>
      </c>
      <c r="I158" s="2" t="s">
        <v>1111</v>
      </c>
      <c r="J158" s="2" t="s">
        <v>912</v>
      </c>
      <c r="K158" s="2" t="s">
        <v>56</v>
      </c>
      <c r="L158" s="2" t="s">
        <v>1129</v>
      </c>
      <c r="M158" s="2" t="s">
        <v>56</v>
      </c>
      <c r="N158" s="2" t="s">
        <v>913</v>
      </c>
      <c r="O158" s="2" t="s">
        <v>235</v>
      </c>
      <c r="P158" s="2" t="s">
        <v>932</v>
      </c>
      <c r="Q158" s="2" t="s">
        <v>45</v>
      </c>
      <c r="R158" s="2" t="s">
        <v>78</v>
      </c>
      <c r="S158" s="2" t="n">
        <v>1</v>
      </c>
      <c r="T158" s="2" t="s">
        <v>61</v>
      </c>
      <c r="U158" s="2" t="s">
        <v>46</v>
      </c>
      <c r="V158" s="2" t="s">
        <v>230</v>
      </c>
      <c r="W158" s="2" t="s">
        <v>64</v>
      </c>
      <c r="X158" s="2" t="n">
        <v>1693</v>
      </c>
      <c r="Y158" s="2" t="n">
        <v>57</v>
      </c>
      <c r="Z158" s="2" t="n">
        <v>50</v>
      </c>
      <c r="AA158" s="2" t="n">
        <v>125</v>
      </c>
      <c r="AB158" s="2" t="s">
        <v>1828</v>
      </c>
      <c r="AC158" s="2"/>
      <c r="AD158" s="2" t="s">
        <v>1238</v>
      </c>
      <c r="AE158" s="2" t="s">
        <v>915</v>
      </c>
      <c r="AF158" s="2" t="s">
        <v>462</v>
      </c>
      <c r="AG158" s="2" t="s">
        <v>1765</v>
      </c>
      <c r="AH158" s="2" t="s">
        <v>486</v>
      </c>
      <c r="AI158" s="2" t="s">
        <v>1829</v>
      </c>
      <c r="AJ158" s="2" t="s">
        <v>1830</v>
      </c>
      <c r="AK158" s="2" t="s">
        <v>1242</v>
      </c>
      <c r="AL158" s="2" t="s">
        <v>1243</v>
      </c>
      <c r="AM158" s="2"/>
      <c r="AN158" s="2"/>
      <c r="AO158" s="2" t="n">
        <v>5</v>
      </c>
      <c r="AP158" s="2" t="s">
        <v>461</v>
      </c>
      <c r="AQ158" s="2" t="s">
        <v>1768</v>
      </c>
      <c r="AR158" s="2" t="s">
        <v>1769</v>
      </c>
    </row>
    <row r="159" customFormat="false" ht="46.25" hidden="false" customHeight="false" outlineLevel="0" collapsed="false">
      <c r="A159" s="2" t="n">
        <v>158</v>
      </c>
      <c r="B159" s="2" t="s">
        <v>1288</v>
      </c>
      <c r="C159" s="2" t="s">
        <v>686</v>
      </c>
      <c r="D159" s="2" t="s">
        <v>34</v>
      </c>
      <c r="E159" s="2" t="s">
        <v>1098</v>
      </c>
      <c r="F159" s="2" t="s">
        <v>1099</v>
      </c>
      <c r="G159" s="2" t="s">
        <v>873</v>
      </c>
      <c r="H159" s="2" t="s">
        <v>35</v>
      </c>
      <c r="I159" s="2" t="s">
        <v>1111</v>
      </c>
      <c r="J159" s="2" t="s">
        <v>912</v>
      </c>
      <c r="K159" s="2" t="s">
        <v>56</v>
      </c>
      <c r="L159" s="2" t="s">
        <v>1129</v>
      </c>
      <c r="M159" s="2" t="s">
        <v>56</v>
      </c>
      <c r="N159" s="2" t="s">
        <v>913</v>
      </c>
      <c r="O159" s="2" t="s">
        <v>239</v>
      </c>
      <c r="P159" s="2" t="s">
        <v>934</v>
      </c>
      <c r="Q159" s="2" t="s">
        <v>45</v>
      </c>
      <c r="R159" s="2" t="s">
        <v>96</v>
      </c>
      <c r="S159" s="2" t="n">
        <v>1</v>
      </c>
      <c r="T159" s="2" t="s">
        <v>61</v>
      </c>
      <c r="U159" s="2" t="s">
        <v>39</v>
      </c>
      <c r="V159" s="2" t="s">
        <v>215</v>
      </c>
      <c r="W159" s="2" t="s">
        <v>64</v>
      </c>
      <c r="X159" s="2" t="n">
        <v>1524</v>
      </c>
      <c r="Y159" s="2" t="n">
        <v>0</v>
      </c>
      <c r="Z159" s="2" t="n">
        <v>131</v>
      </c>
      <c r="AA159" s="2" t="n">
        <v>107</v>
      </c>
      <c r="AB159" s="2" t="s">
        <v>1831</v>
      </c>
      <c r="AC159" s="2"/>
      <c r="AD159" s="2" t="s">
        <v>1238</v>
      </c>
      <c r="AE159" s="2" t="s">
        <v>915</v>
      </c>
      <c r="AF159" s="2" t="s">
        <v>462</v>
      </c>
      <c r="AG159" s="2" t="s">
        <v>1765</v>
      </c>
      <c r="AH159" s="2" t="s">
        <v>487</v>
      </c>
      <c r="AI159" s="2" t="s">
        <v>1832</v>
      </c>
      <c r="AJ159" s="2" t="s">
        <v>1833</v>
      </c>
      <c r="AK159" s="2" t="s">
        <v>1242</v>
      </c>
      <c r="AL159" s="2" t="s">
        <v>1243</v>
      </c>
      <c r="AM159" s="2"/>
      <c r="AN159" s="2"/>
      <c r="AO159" s="2" t="n">
        <v>4</v>
      </c>
      <c r="AP159" s="2" t="s">
        <v>461</v>
      </c>
      <c r="AQ159" s="2" t="s">
        <v>1768</v>
      </c>
      <c r="AR159" s="2" t="s">
        <v>1769</v>
      </c>
    </row>
    <row r="160" customFormat="false" ht="46.25" hidden="false" customHeight="false" outlineLevel="0" collapsed="false">
      <c r="A160" s="2" t="n">
        <v>159</v>
      </c>
      <c r="B160" s="2" t="s">
        <v>1834</v>
      </c>
      <c r="C160" s="2" t="s">
        <v>686</v>
      </c>
      <c r="D160" s="2" t="s">
        <v>34</v>
      </c>
      <c r="E160" s="2" t="s">
        <v>1098</v>
      </c>
      <c r="F160" s="2" t="s">
        <v>1099</v>
      </c>
      <c r="G160" s="2" t="s">
        <v>873</v>
      </c>
      <c r="H160" s="2" t="s">
        <v>35</v>
      </c>
      <c r="I160" s="2" t="s">
        <v>1111</v>
      </c>
      <c r="J160" s="2" t="s">
        <v>912</v>
      </c>
      <c r="K160" s="2" t="s">
        <v>56</v>
      </c>
      <c r="L160" s="2" t="s">
        <v>1129</v>
      </c>
      <c r="M160" s="2" t="s">
        <v>56</v>
      </c>
      <c r="N160" s="2" t="s">
        <v>913</v>
      </c>
      <c r="O160" s="2" t="s">
        <v>489</v>
      </c>
      <c r="P160" s="2" t="s">
        <v>935</v>
      </c>
      <c r="Q160" s="2" t="s">
        <v>45</v>
      </c>
      <c r="R160" s="2" t="s">
        <v>94</v>
      </c>
      <c r="S160" s="2" t="n">
        <v>1</v>
      </c>
      <c r="T160" s="2" t="s">
        <v>61</v>
      </c>
      <c r="U160" s="2" t="s">
        <v>46</v>
      </c>
      <c r="V160" s="2" t="s">
        <v>230</v>
      </c>
      <c r="W160" s="2" t="s">
        <v>64</v>
      </c>
      <c r="X160" s="2" t="n">
        <v>1554</v>
      </c>
      <c r="Y160" s="2" t="n">
        <v>8</v>
      </c>
      <c r="Z160" s="2" t="n">
        <v>82</v>
      </c>
      <c r="AA160" s="2" t="n">
        <v>67</v>
      </c>
      <c r="AB160" s="2" t="s">
        <v>1835</v>
      </c>
      <c r="AC160" s="2"/>
      <c r="AD160" s="2" t="s">
        <v>1238</v>
      </c>
      <c r="AE160" s="2" t="s">
        <v>915</v>
      </c>
      <c r="AF160" s="2" t="s">
        <v>462</v>
      </c>
      <c r="AG160" s="2" t="s">
        <v>1765</v>
      </c>
      <c r="AH160" s="2" t="s">
        <v>488</v>
      </c>
      <c r="AI160" s="2" t="s">
        <v>1836</v>
      </c>
      <c r="AJ160" s="2" t="s">
        <v>1837</v>
      </c>
      <c r="AK160" s="2" t="s">
        <v>1242</v>
      </c>
      <c r="AL160" s="2" t="s">
        <v>1243</v>
      </c>
      <c r="AM160" s="2"/>
      <c r="AN160" s="2"/>
      <c r="AO160" s="2" t="n">
        <v>3</v>
      </c>
      <c r="AP160" s="2" t="s">
        <v>461</v>
      </c>
      <c r="AQ160" s="2" t="s">
        <v>1768</v>
      </c>
      <c r="AR160" s="2" t="s">
        <v>1769</v>
      </c>
    </row>
    <row r="161" customFormat="false" ht="46.25" hidden="false" customHeight="false" outlineLevel="0" collapsed="false">
      <c r="A161" s="2" t="n">
        <v>160</v>
      </c>
      <c r="B161" s="2" t="s">
        <v>1296</v>
      </c>
      <c r="C161" s="2" t="s">
        <v>686</v>
      </c>
      <c r="D161" s="2" t="s">
        <v>34</v>
      </c>
      <c r="E161" s="2" t="s">
        <v>1098</v>
      </c>
      <c r="F161" s="2" t="s">
        <v>1099</v>
      </c>
      <c r="G161" s="2" t="s">
        <v>873</v>
      </c>
      <c r="H161" s="2" t="s">
        <v>35</v>
      </c>
      <c r="I161" s="2" t="s">
        <v>1111</v>
      </c>
      <c r="J161" s="2" t="s">
        <v>912</v>
      </c>
      <c r="K161" s="2" t="s">
        <v>56</v>
      </c>
      <c r="L161" s="2" t="s">
        <v>1129</v>
      </c>
      <c r="M161" s="2" t="s">
        <v>56</v>
      </c>
      <c r="N161" s="2" t="s">
        <v>913</v>
      </c>
      <c r="O161" s="2" t="s">
        <v>243</v>
      </c>
      <c r="P161" s="2" t="s">
        <v>936</v>
      </c>
      <c r="Q161" s="2" t="s">
        <v>45</v>
      </c>
      <c r="R161" s="2" t="s">
        <v>96</v>
      </c>
      <c r="S161" s="2" t="n">
        <v>1</v>
      </c>
      <c r="T161" s="2" t="s">
        <v>61</v>
      </c>
      <c r="U161" s="2" t="s">
        <v>39</v>
      </c>
      <c r="V161" s="2" t="s">
        <v>215</v>
      </c>
      <c r="W161" s="2" t="s">
        <v>64</v>
      </c>
      <c r="X161" s="2" t="n">
        <v>1520</v>
      </c>
      <c r="Y161" s="2" t="n">
        <v>0</v>
      </c>
      <c r="Z161" s="2" t="n">
        <v>163</v>
      </c>
      <c r="AA161" s="2" t="n">
        <v>166</v>
      </c>
      <c r="AB161" s="2" t="s">
        <v>1838</v>
      </c>
      <c r="AC161" s="2"/>
      <c r="AD161" s="2" t="s">
        <v>1238</v>
      </c>
      <c r="AE161" s="2" t="s">
        <v>915</v>
      </c>
      <c r="AF161" s="2" t="s">
        <v>462</v>
      </c>
      <c r="AG161" s="2" t="s">
        <v>1765</v>
      </c>
      <c r="AH161" s="2" t="s">
        <v>490</v>
      </c>
      <c r="AI161" s="2" t="s">
        <v>1839</v>
      </c>
      <c r="AJ161" s="2" t="s">
        <v>1840</v>
      </c>
      <c r="AK161" s="2" t="s">
        <v>1242</v>
      </c>
      <c r="AL161" s="2" t="s">
        <v>1243</v>
      </c>
      <c r="AM161" s="2"/>
      <c r="AN161" s="2"/>
      <c r="AO161" s="2" t="n">
        <v>4</v>
      </c>
      <c r="AP161" s="2" t="s">
        <v>461</v>
      </c>
      <c r="AQ161" s="2" t="s">
        <v>1768</v>
      </c>
      <c r="AR161" s="2" t="s">
        <v>1769</v>
      </c>
    </row>
    <row r="162" customFormat="false" ht="46.25" hidden="false" customHeight="false" outlineLevel="0" collapsed="false">
      <c r="A162" s="2" t="n">
        <v>161</v>
      </c>
      <c r="B162" s="2" t="s">
        <v>1841</v>
      </c>
      <c r="C162" s="2" t="s">
        <v>686</v>
      </c>
      <c r="D162" s="2" t="s">
        <v>34</v>
      </c>
      <c r="E162" s="2" t="s">
        <v>1098</v>
      </c>
      <c r="F162" s="2" t="s">
        <v>1099</v>
      </c>
      <c r="G162" s="2" t="s">
        <v>873</v>
      </c>
      <c r="H162" s="2" t="s">
        <v>35</v>
      </c>
      <c r="I162" s="2" t="s">
        <v>1111</v>
      </c>
      <c r="J162" s="2" t="s">
        <v>912</v>
      </c>
      <c r="K162" s="2" t="s">
        <v>56</v>
      </c>
      <c r="L162" s="2" t="s">
        <v>1129</v>
      </c>
      <c r="M162" s="2" t="s">
        <v>56</v>
      </c>
      <c r="N162" s="2" t="s">
        <v>913</v>
      </c>
      <c r="O162" s="2" t="s">
        <v>492</v>
      </c>
      <c r="P162" s="2" t="s">
        <v>937</v>
      </c>
      <c r="Q162" s="2" t="s">
        <v>38</v>
      </c>
      <c r="R162" s="2" t="s">
        <v>1842</v>
      </c>
      <c r="S162" s="2" t="n">
        <v>2</v>
      </c>
      <c r="T162" s="2" t="s">
        <v>41</v>
      </c>
      <c r="U162" s="2" t="s">
        <v>59</v>
      </c>
      <c r="V162" s="2" t="s">
        <v>211</v>
      </c>
      <c r="W162" s="2" t="s">
        <v>67</v>
      </c>
      <c r="X162" s="2" t="n">
        <v>1448</v>
      </c>
      <c r="Y162" s="2" t="n">
        <v>108</v>
      </c>
      <c r="Z162" s="2" t="n">
        <v>101</v>
      </c>
      <c r="AA162" s="2" t="n">
        <v>77</v>
      </c>
      <c r="AB162" s="2" t="s">
        <v>1843</v>
      </c>
      <c r="AC162" s="2"/>
      <c r="AD162" s="2" t="s">
        <v>1238</v>
      </c>
      <c r="AE162" s="2" t="s">
        <v>915</v>
      </c>
      <c r="AF162" s="2" t="s">
        <v>462</v>
      </c>
      <c r="AG162" s="2" t="s">
        <v>1765</v>
      </c>
      <c r="AH162" s="2" t="s">
        <v>491</v>
      </c>
      <c r="AI162" s="2" t="s">
        <v>1844</v>
      </c>
      <c r="AJ162" s="2" t="s">
        <v>1845</v>
      </c>
      <c r="AK162" s="2" t="s">
        <v>1242</v>
      </c>
      <c r="AL162" s="2" t="s">
        <v>1243</v>
      </c>
      <c r="AM162" s="2"/>
      <c r="AN162" s="2"/>
      <c r="AO162" s="2" t="n">
        <v>1</v>
      </c>
      <c r="AP162" s="2" t="s">
        <v>461</v>
      </c>
      <c r="AQ162" s="2"/>
      <c r="AR162" s="2" t="s">
        <v>1769</v>
      </c>
    </row>
    <row r="163" customFormat="false" ht="46.25" hidden="false" customHeight="false" outlineLevel="0" collapsed="false">
      <c r="A163" s="2" t="n">
        <v>162</v>
      </c>
      <c r="B163" s="2" t="s">
        <v>1846</v>
      </c>
      <c r="C163" s="2" t="s">
        <v>686</v>
      </c>
      <c r="D163" s="2" t="s">
        <v>34</v>
      </c>
      <c r="E163" s="2" t="s">
        <v>1098</v>
      </c>
      <c r="F163" s="2" t="s">
        <v>1099</v>
      </c>
      <c r="G163" s="2" t="s">
        <v>873</v>
      </c>
      <c r="H163" s="2" t="s">
        <v>35</v>
      </c>
      <c r="I163" s="2" t="s">
        <v>1111</v>
      </c>
      <c r="J163" s="2" t="s">
        <v>912</v>
      </c>
      <c r="K163" s="2" t="s">
        <v>56</v>
      </c>
      <c r="L163" s="2" t="s">
        <v>1129</v>
      </c>
      <c r="M163" s="2" t="s">
        <v>56</v>
      </c>
      <c r="N163" s="2" t="s">
        <v>913</v>
      </c>
      <c r="O163" s="2" t="s">
        <v>494</v>
      </c>
      <c r="P163" s="2" t="s">
        <v>939</v>
      </c>
      <c r="Q163" s="2" t="s">
        <v>71</v>
      </c>
      <c r="R163" s="2" t="s">
        <v>126</v>
      </c>
      <c r="S163" s="2" t="n">
        <v>1</v>
      </c>
      <c r="T163" s="2" t="s">
        <v>61</v>
      </c>
      <c r="U163" s="2" t="s">
        <v>59</v>
      </c>
      <c r="V163" s="2" t="s">
        <v>211</v>
      </c>
      <c r="W163" s="2" t="s">
        <v>67</v>
      </c>
      <c r="X163" s="2" t="n">
        <v>1213</v>
      </c>
      <c r="Y163" s="2" t="n">
        <v>35</v>
      </c>
      <c r="Z163" s="2" t="n">
        <v>29</v>
      </c>
      <c r="AA163" s="2" t="n">
        <v>31</v>
      </c>
      <c r="AB163" s="2" t="s">
        <v>1847</v>
      </c>
      <c r="AC163" s="2"/>
      <c r="AD163" s="2" t="s">
        <v>1238</v>
      </c>
      <c r="AE163" s="2" t="s">
        <v>915</v>
      </c>
      <c r="AF163" s="2" t="s">
        <v>462</v>
      </c>
      <c r="AG163" s="2" t="s">
        <v>1765</v>
      </c>
      <c r="AH163" s="2" t="s">
        <v>493</v>
      </c>
      <c r="AI163" s="2" t="s">
        <v>1848</v>
      </c>
      <c r="AJ163" s="2" t="s">
        <v>1849</v>
      </c>
      <c r="AK163" s="2" t="s">
        <v>1242</v>
      </c>
      <c r="AL163" s="2" t="s">
        <v>1243</v>
      </c>
      <c r="AM163" s="2"/>
      <c r="AN163" s="2"/>
      <c r="AO163" s="2" t="n">
        <v>3</v>
      </c>
      <c r="AP163" s="2" t="s">
        <v>495</v>
      </c>
      <c r="AQ163" s="2" t="s">
        <v>1768</v>
      </c>
      <c r="AR163" s="2" t="s">
        <v>1769</v>
      </c>
    </row>
    <row r="164" customFormat="false" ht="46.25" hidden="false" customHeight="false" outlineLevel="0" collapsed="false">
      <c r="A164" s="2" t="n">
        <v>163</v>
      </c>
      <c r="B164" s="2" t="s">
        <v>1312</v>
      </c>
      <c r="C164" s="2" t="s">
        <v>686</v>
      </c>
      <c r="D164" s="2" t="s">
        <v>34</v>
      </c>
      <c r="E164" s="2" t="s">
        <v>1098</v>
      </c>
      <c r="F164" s="2" t="s">
        <v>1099</v>
      </c>
      <c r="G164" s="2" t="s">
        <v>873</v>
      </c>
      <c r="H164" s="2" t="s">
        <v>35</v>
      </c>
      <c r="I164" s="2" t="s">
        <v>1111</v>
      </c>
      <c r="J164" s="2" t="s">
        <v>912</v>
      </c>
      <c r="K164" s="2" t="s">
        <v>56</v>
      </c>
      <c r="L164" s="2" t="s">
        <v>1129</v>
      </c>
      <c r="M164" s="2" t="s">
        <v>56</v>
      </c>
      <c r="N164" s="2" t="s">
        <v>913</v>
      </c>
      <c r="O164" s="2" t="s">
        <v>251</v>
      </c>
      <c r="P164" s="2" t="s">
        <v>940</v>
      </c>
      <c r="Q164" s="2" t="s">
        <v>75</v>
      </c>
      <c r="R164" s="2" t="s">
        <v>134</v>
      </c>
      <c r="S164" s="2" t="n">
        <v>1</v>
      </c>
      <c r="T164" s="2" t="s">
        <v>61</v>
      </c>
      <c r="U164" s="2" t="s">
        <v>59</v>
      </c>
      <c r="V164" s="2" t="s">
        <v>211</v>
      </c>
      <c r="W164" s="2" t="s">
        <v>67</v>
      </c>
      <c r="X164" s="2" t="n">
        <v>1295</v>
      </c>
      <c r="Y164" s="2" t="n">
        <v>67</v>
      </c>
      <c r="Z164" s="2" t="n">
        <v>72</v>
      </c>
      <c r="AA164" s="2" t="n">
        <v>44</v>
      </c>
      <c r="AB164" s="2" t="s">
        <v>1850</v>
      </c>
      <c r="AC164" s="2"/>
      <c r="AD164" s="2" t="s">
        <v>1238</v>
      </c>
      <c r="AE164" s="2" t="s">
        <v>915</v>
      </c>
      <c r="AF164" s="2" t="s">
        <v>462</v>
      </c>
      <c r="AG164" s="2" t="s">
        <v>1765</v>
      </c>
      <c r="AH164" s="2" t="s">
        <v>496</v>
      </c>
      <c r="AI164" s="2" t="s">
        <v>1851</v>
      </c>
      <c r="AJ164" s="2" t="s">
        <v>1852</v>
      </c>
      <c r="AK164" s="2" t="s">
        <v>1242</v>
      </c>
      <c r="AL164" s="2" t="s">
        <v>1243</v>
      </c>
      <c r="AM164" s="2"/>
      <c r="AN164" s="2"/>
      <c r="AO164" s="2" t="n">
        <v>4</v>
      </c>
      <c r="AP164" s="2" t="s">
        <v>448</v>
      </c>
      <c r="AQ164" s="2" t="s">
        <v>1768</v>
      </c>
      <c r="AR164" s="2" t="s">
        <v>1769</v>
      </c>
    </row>
    <row r="165" customFormat="false" ht="46.25" hidden="false" customHeight="false" outlineLevel="0" collapsed="false">
      <c r="A165" s="2" t="n">
        <v>164</v>
      </c>
      <c r="B165" s="2" t="s">
        <v>1688</v>
      </c>
      <c r="C165" s="2" t="s">
        <v>686</v>
      </c>
      <c r="D165" s="2" t="s">
        <v>34</v>
      </c>
      <c r="E165" s="2" t="s">
        <v>1098</v>
      </c>
      <c r="F165" s="2" t="s">
        <v>1099</v>
      </c>
      <c r="G165" s="2" t="s">
        <v>873</v>
      </c>
      <c r="H165" s="2" t="s">
        <v>35</v>
      </c>
      <c r="I165" s="2" t="s">
        <v>1111</v>
      </c>
      <c r="J165" s="2" t="s">
        <v>912</v>
      </c>
      <c r="K165" s="2" t="s">
        <v>56</v>
      </c>
      <c r="L165" s="2" t="s">
        <v>1129</v>
      </c>
      <c r="M165" s="2" t="s">
        <v>56</v>
      </c>
      <c r="N165" s="2" t="s">
        <v>913</v>
      </c>
      <c r="O165" s="2" t="s">
        <v>428</v>
      </c>
      <c r="P165" s="2" t="s">
        <v>941</v>
      </c>
      <c r="Q165" s="2" t="s">
        <v>58</v>
      </c>
      <c r="R165" s="2" t="s">
        <v>1853</v>
      </c>
      <c r="S165" s="2" t="n">
        <v>2</v>
      </c>
      <c r="T165" s="2" t="s">
        <v>41</v>
      </c>
      <c r="U165" s="2" t="s">
        <v>59</v>
      </c>
      <c r="V165" s="2" t="s">
        <v>211</v>
      </c>
      <c r="W165" s="2" t="s">
        <v>67</v>
      </c>
      <c r="X165" s="2" t="n">
        <v>1279</v>
      </c>
      <c r="Y165" s="2" t="n">
        <v>52</v>
      </c>
      <c r="Z165" s="2" t="n">
        <v>64</v>
      </c>
      <c r="AA165" s="2" t="n">
        <v>38</v>
      </c>
      <c r="AB165" s="2" t="s">
        <v>1854</v>
      </c>
      <c r="AC165" s="2"/>
      <c r="AD165" s="2" t="s">
        <v>1238</v>
      </c>
      <c r="AE165" s="2" t="s">
        <v>915</v>
      </c>
      <c r="AF165" s="2" t="s">
        <v>462</v>
      </c>
      <c r="AG165" s="2" t="s">
        <v>1765</v>
      </c>
      <c r="AH165" s="2" t="s">
        <v>497</v>
      </c>
      <c r="AI165" s="2" t="s">
        <v>1855</v>
      </c>
      <c r="AJ165" s="2" t="s">
        <v>1856</v>
      </c>
      <c r="AK165" s="2" t="s">
        <v>1242</v>
      </c>
      <c r="AL165" s="2" t="s">
        <v>1243</v>
      </c>
      <c r="AM165" s="2"/>
      <c r="AN165" s="2"/>
      <c r="AO165" s="2" t="n">
        <v>3</v>
      </c>
      <c r="AP165" s="2" t="s">
        <v>448</v>
      </c>
      <c r="AQ165" s="2"/>
      <c r="AR165" s="2" t="s">
        <v>1769</v>
      </c>
    </row>
    <row r="166" customFormat="false" ht="46.25" hidden="false" customHeight="false" outlineLevel="0" collapsed="false">
      <c r="A166" s="2" t="n">
        <v>165</v>
      </c>
      <c r="B166" s="2" t="s">
        <v>1324</v>
      </c>
      <c r="C166" s="2" t="s">
        <v>686</v>
      </c>
      <c r="D166" s="2" t="s">
        <v>34</v>
      </c>
      <c r="E166" s="2" t="s">
        <v>1098</v>
      </c>
      <c r="F166" s="2" t="s">
        <v>1099</v>
      </c>
      <c r="G166" s="2" t="s">
        <v>873</v>
      </c>
      <c r="H166" s="2" t="s">
        <v>35</v>
      </c>
      <c r="I166" s="2" t="s">
        <v>1111</v>
      </c>
      <c r="J166" s="2" t="s">
        <v>912</v>
      </c>
      <c r="K166" s="2" t="s">
        <v>56</v>
      </c>
      <c r="L166" s="2" t="s">
        <v>1129</v>
      </c>
      <c r="M166" s="2" t="s">
        <v>56</v>
      </c>
      <c r="N166" s="2" t="s">
        <v>913</v>
      </c>
      <c r="O166" s="2" t="s">
        <v>257</v>
      </c>
      <c r="P166" s="2" t="s">
        <v>942</v>
      </c>
      <c r="Q166" s="2" t="s">
        <v>45</v>
      </c>
      <c r="R166" s="2" t="s">
        <v>77</v>
      </c>
      <c r="S166" s="2" t="n">
        <v>1</v>
      </c>
      <c r="T166" s="2" t="s">
        <v>61</v>
      </c>
      <c r="U166" s="2" t="s">
        <v>59</v>
      </c>
      <c r="V166" s="2" t="s">
        <v>211</v>
      </c>
      <c r="W166" s="2" t="s">
        <v>67</v>
      </c>
      <c r="X166" s="2" t="n">
        <v>1263</v>
      </c>
      <c r="Y166" s="2" t="n">
        <v>34</v>
      </c>
      <c r="Z166" s="2" t="n">
        <v>21</v>
      </c>
      <c r="AA166" s="2" t="n">
        <v>36</v>
      </c>
      <c r="AB166" s="2" t="s">
        <v>1857</v>
      </c>
      <c r="AC166" s="2"/>
      <c r="AD166" s="2" t="s">
        <v>1238</v>
      </c>
      <c r="AE166" s="2" t="s">
        <v>915</v>
      </c>
      <c r="AF166" s="2" t="s">
        <v>462</v>
      </c>
      <c r="AG166" s="2" t="s">
        <v>1765</v>
      </c>
      <c r="AH166" s="2" t="s">
        <v>498</v>
      </c>
      <c r="AI166" s="2" t="s">
        <v>1858</v>
      </c>
      <c r="AJ166" s="2" t="s">
        <v>1859</v>
      </c>
      <c r="AK166" s="2" t="s">
        <v>1242</v>
      </c>
      <c r="AL166" s="2" t="s">
        <v>1243</v>
      </c>
      <c r="AM166" s="2"/>
      <c r="AN166" s="2"/>
      <c r="AO166" s="2" t="n">
        <v>3</v>
      </c>
      <c r="AP166" s="2" t="s">
        <v>461</v>
      </c>
      <c r="AQ166" s="2" t="s">
        <v>1768</v>
      </c>
      <c r="AR166" s="2" t="s">
        <v>1769</v>
      </c>
    </row>
    <row r="167" customFormat="false" ht="46.25" hidden="false" customHeight="false" outlineLevel="0" collapsed="false">
      <c r="A167" s="2" t="n">
        <v>166</v>
      </c>
      <c r="B167" s="2" t="s">
        <v>1328</v>
      </c>
      <c r="C167" s="2" t="s">
        <v>686</v>
      </c>
      <c r="D167" s="2" t="s">
        <v>34</v>
      </c>
      <c r="E167" s="2" t="s">
        <v>1098</v>
      </c>
      <c r="F167" s="2" t="s">
        <v>1099</v>
      </c>
      <c r="G167" s="2" t="s">
        <v>873</v>
      </c>
      <c r="H167" s="2" t="s">
        <v>35</v>
      </c>
      <c r="I167" s="2" t="s">
        <v>1111</v>
      </c>
      <c r="J167" s="2" t="s">
        <v>912</v>
      </c>
      <c r="K167" s="2" t="s">
        <v>56</v>
      </c>
      <c r="L167" s="2" t="s">
        <v>1129</v>
      </c>
      <c r="M167" s="2" t="s">
        <v>56</v>
      </c>
      <c r="N167" s="2" t="s">
        <v>913</v>
      </c>
      <c r="O167" s="2" t="s">
        <v>259</v>
      </c>
      <c r="P167" s="2" t="s">
        <v>943</v>
      </c>
      <c r="Q167" s="2" t="s">
        <v>38</v>
      </c>
      <c r="R167" s="2" t="s">
        <v>87</v>
      </c>
      <c r="S167" s="2" t="n">
        <v>1</v>
      </c>
      <c r="T167" s="2" t="s">
        <v>61</v>
      </c>
      <c r="U167" s="2" t="s">
        <v>39</v>
      </c>
      <c r="V167" s="2" t="s">
        <v>215</v>
      </c>
      <c r="W167" s="2" t="s">
        <v>64</v>
      </c>
      <c r="X167" s="2" t="n">
        <v>1359</v>
      </c>
      <c r="Y167" s="2" t="n">
        <v>41</v>
      </c>
      <c r="Z167" s="2" t="n">
        <v>41</v>
      </c>
      <c r="AA167" s="2" t="n">
        <v>41</v>
      </c>
      <c r="AB167" s="2" t="s">
        <v>1860</v>
      </c>
      <c r="AC167" s="2"/>
      <c r="AD167" s="2" t="s">
        <v>1238</v>
      </c>
      <c r="AE167" s="2" t="s">
        <v>915</v>
      </c>
      <c r="AF167" s="2" t="s">
        <v>462</v>
      </c>
      <c r="AG167" s="2" t="s">
        <v>1765</v>
      </c>
      <c r="AH167" s="2" t="s">
        <v>499</v>
      </c>
      <c r="AI167" s="2" t="s">
        <v>1861</v>
      </c>
      <c r="AJ167" s="2" t="s">
        <v>1862</v>
      </c>
      <c r="AK167" s="2" t="s">
        <v>1242</v>
      </c>
      <c r="AL167" s="2" t="s">
        <v>1243</v>
      </c>
      <c r="AM167" s="2"/>
      <c r="AN167" s="2"/>
      <c r="AO167" s="2" t="n">
        <v>1</v>
      </c>
      <c r="AP167" s="2" t="s">
        <v>461</v>
      </c>
      <c r="AQ167" s="2" t="s">
        <v>1768</v>
      </c>
      <c r="AR167" s="2" t="s">
        <v>1769</v>
      </c>
    </row>
    <row r="168" customFormat="false" ht="46.25" hidden="false" customHeight="false" outlineLevel="0" collapsed="false">
      <c r="A168" s="2" t="n">
        <v>167</v>
      </c>
      <c r="B168" s="2" t="s">
        <v>1698</v>
      </c>
      <c r="C168" s="2" t="s">
        <v>686</v>
      </c>
      <c r="D168" s="2" t="s">
        <v>34</v>
      </c>
      <c r="E168" s="2" t="s">
        <v>1098</v>
      </c>
      <c r="F168" s="2" t="s">
        <v>1099</v>
      </c>
      <c r="G168" s="2" t="s">
        <v>873</v>
      </c>
      <c r="H168" s="2" t="s">
        <v>35</v>
      </c>
      <c r="I168" s="2" t="s">
        <v>1111</v>
      </c>
      <c r="J168" s="2" t="s">
        <v>912</v>
      </c>
      <c r="K168" s="2" t="s">
        <v>56</v>
      </c>
      <c r="L168" s="2" t="s">
        <v>1129</v>
      </c>
      <c r="M168" s="2" t="s">
        <v>56</v>
      </c>
      <c r="N168" s="2" t="s">
        <v>913</v>
      </c>
      <c r="O168" s="2" t="s">
        <v>359</v>
      </c>
      <c r="P168" s="2" t="s">
        <v>944</v>
      </c>
      <c r="Q168" s="2" t="s">
        <v>75</v>
      </c>
      <c r="R168" s="2" t="s">
        <v>140</v>
      </c>
      <c r="S168" s="2" t="n">
        <v>1</v>
      </c>
      <c r="T168" s="2" t="s">
        <v>61</v>
      </c>
      <c r="U168" s="2" t="s">
        <v>53</v>
      </c>
      <c r="V168" s="2" t="s">
        <v>233</v>
      </c>
      <c r="W168" s="2" t="s">
        <v>67</v>
      </c>
      <c r="X168" s="2" t="n">
        <v>1233</v>
      </c>
      <c r="Y168" s="2" t="n">
        <v>243</v>
      </c>
      <c r="Z168" s="2" t="n">
        <v>224</v>
      </c>
      <c r="AA168" s="2" t="n">
        <v>0</v>
      </c>
      <c r="AB168" s="2" t="s">
        <v>1863</v>
      </c>
      <c r="AC168" s="2"/>
      <c r="AD168" s="2" t="s">
        <v>1238</v>
      </c>
      <c r="AE168" s="2" t="s">
        <v>915</v>
      </c>
      <c r="AF168" s="2" t="s">
        <v>462</v>
      </c>
      <c r="AG168" s="2" t="s">
        <v>1765</v>
      </c>
      <c r="AH168" s="2" t="s">
        <v>500</v>
      </c>
      <c r="AI168" s="2" t="s">
        <v>1864</v>
      </c>
      <c r="AJ168" s="2" t="s">
        <v>1865</v>
      </c>
      <c r="AK168" s="2" t="s">
        <v>1242</v>
      </c>
      <c r="AL168" s="2" t="s">
        <v>1243</v>
      </c>
      <c r="AM168" s="2"/>
      <c r="AN168" s="2"/>
      <c r="AO168" s="2" t="n">
        <v>2</v>
      </c>
      <c r="AP168" s="2" t="s">
        <v>495</v>
      </c>
      <c r="AQ168" s="2" t="s">
        <v>1768</v>
      </c>
      <c r="AR168" s="2" t="s">
        <v>1769</v>
      </c>
    </row>
    <row r="169" customFormat="false" ht="46.25" hidden="false" customHeight="false" outlineLevel="0" collapsed="false">
      <c r="A169" s="2" t="n">
        <v>168</v>
      </c>
      <c r="B169" s="2" t="s">
        <v>1866</v>
      </c>
      <c r="C169" s="2" t="s">
        <v>686</v>
      </c>
      <c r="D169" s="2" t="s">
        <v>34</v>
      </c>
      <c r="E169" s="2" t="s">
        <v>1098</v>
      </c>
      <c r="F169" s="2" t="s">
        <v>1099</v>
      </c>
      <c r="G169" s="2" t="s">
        <v>873</v>
      </c>
      <c r="H169" s="2" t="s">
        <v>35</v>
      </c>
      <c r="I169" s="2" t="s">
        <v>1111</v>
      </c>
      <c r="J169" s="2" t="s">
        <v>912</v>
      </c>
      <c r="K169" s="2" t="s">
        <v>56</v>
      </c>
      <c r="L169" s="2" t="s">
        <v>1129</v>
      </c>
      <c r="M169" s="2" t="s">
        <v>56</v>
      </c>
      <c r="N169" s="2" t="s">
        <v>913</v>
      </c>
      <c r="O169" s="2" t="s">
        <v>502</v>
      </c>
      <c r="P169" s="2" t="s">
        <v>945</v>
      </c>
      <c r="Q169" s="2" t="s">
        <v>69</v>
      </c>
      <c r="R169" s="2" t="s">
        <v>105</v>
      </c>
      <c r="S169" s="2" t="n">
        <v>1</v>
      </c>
      <c r="T169" s="2" t="s">
        <v>61</v>
      </c>
      <c r="U169" s="2" t="s">
        <v>46</v>
      </c>
      <c r="V169" s="2" t="s">
        <v>230</v>
      </c>
      <c r="W169" s="2" t="s">
        <v>64</v>
      </c>
      <c r="X169" s="2" t="n">
        <v>1421</v>
      </c>
      <c r="Y169" s="2" t="n">
        <v>158</v>
      </c>
      <c r="Z169" s="2" t="n">
        <v>75</v>
      </c>
      <c r="AA169" s="2" t="n">
        <v>53</v>
      </c>
      <c r="AB169" s="2" t="s">
        <v>1867</v>
      </c>
      <c r="AC169" s="2"/>
      <c r="AD169" s="2" t="s">
        <v>1238</v>
      </c>
      <c r="AE169" s="2" t="s">
        <v>915</v>
      </c>
      <c r="AF169" s="2" t="s">
        <v>462</v>
      </c>
      <c r="AG169" s="2" t="s">
        <v>1765</v>
      </c>
      <c r="AH169" s="2" t="s">
        <v>501</v>
      </c>
      <c r="AI169" s="2" t="s">
        <v>1868</v>
      </c>
      <c r="AJ169" s="2" t="s">
        <v>1869</v>
      </c>
      <c r="AK169" s="2" t="s">
        <v>1242</v>
      </c>
      <c r="AL169" s="2" t="s">
        <v>1243</v>
      </c>
      <c r="AM169" s="2"/>
      <c r="AN169" s="2"/>
      <c r="AO169" s="2" t="n">
        <v>1</v>
      </c>
      <c r="AP169" s="2" t="s">
        <v>461</v>
      </c>
      <c r="AQ169" s="2" t="s">
        <v>1768</v>
      </c>
      <c r="AR169" s="2" t="s">
        <v>1769</v>
      </c>
    </row>
    <row r="170" customFormat="false" ht="46.25" hidden="false" customHeight="false" outlineLevel="0" collapsed="false">
      <c r="A170" s="2" t="n">
        <v>169</v>
      </c>
      <c r="B170" s="2" t="s">
        <v>1340</v>
      </c>
      <c r="C170" s="2" t="s">
        <v>686</v>
      </c>
      <c r="D170" s="2" t="s">
        <v>34</v>
      </c>
      <c r="E170" s="2" t="s">
        <v>1098</v>
      </c>
      <c r="F170" s="2" t="s">
        <v>1099</v>
      </c>
      <c r="G170" s="2" t="s">
        <v>873</v>
      </c>
      <c r="H170" s="2" t="s">
        <v>35</v>
      </c>
      <c r="I170" s="2" t="s">
        <v>1111</v>
      </c>
      <c r="J170" s="2" t="s">
        <v>912</v>
      </c>
      <c r="K170" s="2" t="s">
        <v>56</v>
      </c>
      <c r="L170" s="2" t="s">
        <v>1129</v>
      </c>
      <c r="M170" s="2" t="s">
        <v>56</v>
      </c>
      <c r="N170" s="2" t="s">
        <v>913</v>
      </c>
      <c r="O170" s="2" t="s">
        <v>265</v>
      </c>
      <c r="P170" s="2" t="s">
        <v>946</v>
      </c>
      <c r="Q170" s="2" t="s">
        <v>38</v>
      </c>
      <c r="R170" s="2" t="s">
        <v>82</v>
      </c>
      <c r="S170" s="2" t="n">
        <v>1</v>
      </c>
      <c r="T170" s="2" t="s">
        <v>61</v>
      </c>
      <c r="U170" s="2" t="s">
        <v>39</v>
      </c>
      <c r="V170" s="2" t="s">
        <v>215</v>
      </c>
      <c r="W170" s="2" t="s">
        <v>64</v>
      </c>
      <c r="X170" s="2" t="n">
        <v>1550</v>
      </c>
      <c r="Y170" s="2" t="n">
        <v>46</v>
      </c>
      <c r="Z170" s="2" t="n">
        <v>45</v>
      </c>
      <c r="AA170" s="2" t="n">
        <v>44</v>
      </c>
      <c r="AB170" s="2" t="s">
        <v>1870</v>
      </c>
      <c r="AC170" s="2"/>
      <c r="AD170" s="2" t="s">
        <v>1238</v>
      </c>
      <c r="AE170" s="2" t="s">
        <v>915</v>
      </c>
      <c r="AF170" s="2" t="s">
        <v>462</v>
      </c>
      <c r="AG170" s="2" t="s">
        <v>1765</v>
      </c>
      <c r="AH170" s="2" t="s">
        <v>503</v>
      </c>
      <c r="AI170" s="2" t="s">
        <v>1871</v>
      </c>
      <c r="AJ170" s="2" t="s">
        <v>1872</v>
      </c>
      <c r="AK170" s="2" t="s">
        <v>1242</v>
      </c>
      <c r="AL170" s="2" t="s">
        <v>1243</v>
      </c>
      <c r="AM170" s="2"/>
      <c r="AN170" s="2"/>
      <c r="AO170" s="2" t="n">
        <v>1</v>
      </c>
      <c r="AP170" s="2" t="s">
        <v>461</v>
      </c>
      <c r="AQ170" s="2" t="s">
        <v>1768</v>
      </c>
      <c r="AR170" s="2" t="s">
        <v>1769</v>
      </c>
    </row>
    <row r="171" customFormat="false" ht="46.25" hidden="false" customHeight="false" outlineLevel="0" collapsed="false">
      <c r="A171" s="2" t="n">
        <v>170</v>
      </c>
      <c r="B171" s="2" t="s">
        <v>1873</v>
      </c>
      <c r="C171" s="2" t="s">
        <v>686</v>
      </c>
      <c r="D171" s="2" t="s">
        <v>34</v>
      </c>
      <c r="E171" s="2" t="s">
        <v>1098</v>
      </c>
      <c r="F171" s="2" t="s">
        <v>1099</v>
      </c>
      <c r="G171" s="2" t="s">
        <v>873</v>
      </c>
      <c r="H171" s="2" t="s">
        <v>35</v>
      </c>
      <c r="I171" s="2" t="s">
        <v>1111</v>
      </c>
      <c r="J171" s="2" t="s">
        <v>912</v>
      </c>
      <c r="K171" s="2" t="s">
        <v>56</v>
      </c>
      <c r="L171" s="2" t="s">
        <v>1129</v>
      </c>
      <c r="M171" s="2" t="s">
        <v>56</v>
      </c>
      <c r="N171" s="2" t="s">
        <v>913</v>
      </c>
      <c r="O171" s="2" t="s">
        <v>505</v>
      </c>
      <c r="P171" s="2" t="s">
        <v>947</v>
      </c>
      <c r="Q171" s="2" t="s">
        <v>69</v>
      </c>
      <c r="R171" s="2" t="s">
        <v>107</v>
      </c>
      <c r="S171" s="2" t="n">
        <v>1</v>
      </c>
      <c r="T171" s="2" t="s">
        <v>61</v>
      </c>
      <c r="U171" s="2" t="s">
        <v>53</v>
      </c>
      <c r="V171" s="2" t="s">
        <v>233</v>
      </c>
      <c r="W171" s="2" t="s">
        <v>67</v>
      </c>
      <c r="X171" s="2" t="n">
        <v>1236</v>
      </c>
      <c r="Y171" s="2" t="n">
        <v>188</v>
      </c>
      <c r="Z171" s="2" t="n">
        <v>14</v>
      </c>
      <c r="AA171" s="2" t="n">
        <v>3</v>
      </c>
      <c r="AB171" s="2" t="s">
        <v>1874</v>
      </c>
      <c r="AC171" s="2"/>
      <c r="AD171" s="2" t="s">
        <v>1238</v>
      </c>
      <c r="AE171" s="2" t="s">
        <v>915</v>
      </c>
      <c r="AF171" s="2" t="s">
        <v>462</v>
      </c>
      <c r="AG171" s="2" t="s">
        <v>1765</v>
      </c>
      <c r="AH171" s="2" t="s">
        <v>504</v>
      </c>
      <c r="AI171" s="2" t="s">
        <v>1875</v>
      </c>
      <c r="AJ171" s="2" t="s">
        <v>1876</v>
      </c>
      <c r="AK171" s="2" t="s">
        <v>1242</v>
      </c>
      <c r="AL171" s="2" t="s">
        <v>1243</v>
      </c>
      <c r="AM171" s="2"/>
      <c r="AN171" s="2"/>
      <c r="AO171" s="2" t="n">
        <v>2</v>
      </c>
      <c r="AP171" s="2" t="s">
        <v>495</v>
      </c>
      <c r="AQ171" s="2" t="s">
        <v>1768</v>
      </c>
      <c r="AR171" s="2" t="s">
        <v>1769</v>
      </c>
    </row>
    <row r="172" customFormat="false" ht="46.25" hidden="false" customHeight="false" outlineLevel="0" collapsed="false">
      <c r="A172" s="2" t="n">
        <v>171</v>
      </c>
      <c r="B172" s="2" t="s">
        <v>1877</v>
      </c>
      <c r="C172" s="2" t="s">
        <v>686</v>
      </c>
      <c r="D172" s="2" t="s">
        <v>34</v>
      </c>
      <c r="E172" s="2" t="s">
        <v>1098</v>
      </c>
      <c r="F172" s="2" t="s">
        <v>1099</v>
      </c>
      <c r="G172" s="2" t="s">
        <v>873</v>
      </c>
      <c r="H172" s="2" t="s">
        <v>35</v>
      </c>
      <c r="I172" s="2" t="s">
        <v>1111</v>
      </c>
      <c r="J172" s="2" t="s">
        <v>912</v>
      </c>
      <c r="K172" s="2" t="s">
        <v>56</v>
      </c>
      <c r="L172" s="2" t="s">
        <v>1129</v>
      </c>
      <c r="M172" s="2" t="s">
        <v>56</v>
      </c>
      <c r="N172" s="2" t="s">
        <v>913</v>
      </c>
      <c r="O172" s="2" t="s">
        <v>507</v>
      </c>
      <c r="P172" s="2" t="s">
        <v>948</v>
      </c>
      <c r="Q172" s="2" t="s">
        <v>69</v>
      </c>
      <c r="R172" s="2" t="s">
        <v>110</v>
      </c>
      <c r="S172" s="2" t="n">
        <v>1</v>
      </c>
      <c r="T172" s="2" t="s">
        <v>61</v>
      </c>
      <c r="U172" s="2" t="s">
        <v>53</v>
      </c>
      <c r="V172" s="2" t="s">
        <v>233</v>
      </c>
      <c r="W172" s="2" t="s">
        <v>67</v>
      </c>
      <c r="X172" s="2" t="n">
        <v>1235</v>
      </c>
      <c r="Y172" s="2" t="n">
        <v>175</v>
      </c>
      <c r="Z172" s="2" t="n">
        <v>0</v>
      </c>
      <c r="AA172" s="2" t="n">
        <v>7</v>
      </c>
      <c r="AB172" s="2" t="s">
        <v>1878</v>
      </c>
      <c r="AC172" s="2"/>
      <c r="AD172" s="2" t="s">
        <v>1238</v>
      </c>
      <c r="AE172" s="2" t="s">
        <v>915</v>
      </c>
      <c r="AF172" s="2" t="s">
        <v>462</v>
      </c>
      <c r="AG172" s="2" t="s">
        <v>1765</v>
      </c>
      <c r="AH172" s="2" t="s">
        <v>506</v>
      </c>
      <c r="AI172" s="2" t="s">
        <v>1879</v>
      </c>
      <c r="AJ172" s="2" t="s">
        <v>1880</v>
      </c>
      <c r="AK172" s="2" t="s">
        <v>1242</v>
      </c>
      <c r="AL172" s="2" t="s">
        <v>1243</v>
      </c>
      <c r="AM172" s="2"/>
      <c r="AN172" s="2"/>
      <c r="AO172" s="2" t="n">
        <v>2</v>
      </c>
      <c r="AP172" s="2" t="s">
        <v>495</v>
      </c>
      <c r="AQ172" s="2" t="s">
        <v>1768</v>
      </c>
      <c r="AR172" s="2" t="s">
        <v>1769</v>
      </c>
    </row>
    <row r="173" customFormat="false" ht="46.25" hidden="false" customHeight="false" outlineLevel="0" collapsed="false">
      <c r="A173" s="2" t="n">
        <v>172</v>
      </c>
      <c r="B173" s="2" t="s">
        <v>1344</v>
      </c>
      <c r="C173" s="2" t="s">
        <v>686</v>
      </c>
      <c r="D173" s="2" t="s">
        <v>34</v>
      </c>
      <c r="E173" s="2" t="s">
        <v>1098</v>
      </c>
      <c r="F173" s="2" t="s">
        <v>1099</v>
      </c>
      <c r="G173" s="2" t="s">
        <v>873</v>
      </c>
      <c r="H173" s="2" t="s">
        <v>35</v>
      </c>
      <c r="I173" s="2" t="s">
        <v>1111</v>
      </c>
      <c r="J173" s="2" t="s">
        <v>912</v>
      </c>
      <c r="K173" s="2" t="s">
        <v>56</v>
      </c>
      <c r="L173" s="2" t="s">
        <v>1129</v>
      </c>
      <c r="M173" s="2" t="s">
        <v>56</v>
      </c>
      <c r="N173" s="2" t="s">
        <v>913</v>
      </c>
      <c r="O173" s="2" t="s">
        <v>267</v>
      </c>
      <c r="P173" s="2" t="s">
        <v>949</v>
      </c>
      <c r="Q173" s="2" t="s">
        <v>75</v>
      </c>
      <c r="R173" s="2" t="s">
        <v>88</v>
      </c>
      <c r="S173" s="2" t="n">
        <v>1</v>
      </c>
      <c r="T173" s="2" t="s">
        <v>61</v>
      </c>
      <c r="U173" s="2" t="s">
        <v>39</v>
      </c>
      <c r="V173" s="2" t="s">
        <v>215</v>
      </c>
      <c r="W173" s="2" t="s">
        <v>64</v>
      </c>
      <c r="X173" s="2" t="n">
        <v>1491</v>
      </c>
      <c r="Y173" s="2" t="n">
        <v>235</v>
      </c>
      <c r="Z173" s="2" t="n">
        <v>165</v>
      </c>
      <c r="AA173" s="2" t="n">
        <v>63</v>
      </c>
      <c r="AB173" s="2" t="s">
        <v>1881</v>
      </c>
      <c r="AC173" s="2"/>
      <c r="AD173" s="2" t="s">
        <v>1238</v>
      </c>
      <c r="AE173" s="2" t="s">
        <v>915</v>
      </c>
      <c r="AF173" s="2" t="s">
        <v>462</v>
      </c>
      <c r="AG173" s="2" t="s">
        <v>1765</v>
      </c>
      <c r="AH173" s="2" t="s">
        <v>508</v>
      </c>
      <c r="AI173" s="2" t="s">
        <v>1882</v>
      </c>
      <c r="AJ173" s="2" t="s">
        <v>1883</v>
      </c>
      <c r="AK173" s="2" t="s">
        <v>1242</v>
      </c>
      <c r="AL173" s="2" t="s">
        <v>1243</v>
      </c>
      <c r="AM173" s="2"/>
      <c r="AN173" s="2"/>
      <c r="AO173" s="2" t="n">
        <v>2</v>
      </c>
      <c r="AP173" s="2" t="s">
        <v>448</v>
      </c>
      <c r="AQ173" s="2" t="s">
        <v>1768</v>
      </c>
      <c r="AR173" s="2" t="s">
        <v>1769</v>
      </c>
    </row>
    <row r="174" customFormat="false" ht="46.25" hidden="false" customHeight="false" outlineLevel="0" collapsed="false">
      <c r="A174" s="2" t="n">
        <v>173</v>
      </c>
      <c r="B174" s="2" t="s">
        <v>1884</v>
      </c>
      <c r="C174" s="2" t="s">
        <v>686</v>
      </c>
      <c r="D174" s="2" t="s">
        <v>34</v>
      </c>
      <c r="E174" s="2" t="s">
        <v>1098</v>
      </c>
      <c r="F174" s="2" t="s">
        <v>1099</v>
      </c>
      <c r="G174" s="2" t="s">
        <v>873</v>
      </c>
      <c r="H174" s="2" t="s">
        <v>35</v>
      </c>
      <c r="I174" s="2" t="s">
        <v>1111</v>
      </c>
      <c r="J174" s="2" t="s">
        <v>912</v>
      </c>
      <c r="K174" s="2" t="s">
        <v>56</v>
      </c>
      <c r="L174" s="2" t="s">
        <v>1129</v>
      </c>
      <c r="M174" s="2" t="s">
        <v>56</v>
      </c>
      <c r="N174" s="2" t="s">
        <v>913</v>
      </c>
      <c r="O174" s="2" t="s">
        <v>510</v>
      </c>
      <c r="P174" s="2" t="s">
        <v>950</v>
      </c>
      <c r="Q174" s="2" t="s">
        <v>75</v>
      </c>
      <c r="R174" s="2" t="s">
        <v>138</v>
      </c>
      <c r="S174" s="2" t="n">
        <v>1</v>
      </c>
      <c r="T174" s="2" t="s">
        <v>61</v>
      </c>
      <c r="U174" s="2" t="s">
        <v>59</v>
      </c>
      <c r="V174" s="2" t="s">
        <v>211</v>
      </c>
      <c r="W174" s="2" t="s">
        <v>67</v>
      </c>
      <c r="X174" s="2" t="n">
        <v>1312</v>
      </c>
      <c r="Y174" s="2" t="n">
        <v>131</v>
      </c>
      <c r="Z174" s="2" t="n">
        <v>92</v>
      </c>
      <c r="AA174" s="2" t="n">
        <v>2</v>
      </c>
      <c r="AB174" s="2" t="s">
        <v>1885</v>
      </c>
      <c r="AC174" s="2"/>
      <c r="AD174" s="2" t="s">
        <v>1238</v>
      </c>
      <c r="AE174" s="2" t="s">
        <v>915</v>
      </c>
      <c r="AF174" s="2" t="s">
        <v>462</v>
      </c>
      <c r="AG174" s="2" t="s">
        <v>1765</v>
      </c>
      <c r="AH174" s="2" t="s">
        <v>509</v>
      </c>
      <c r="AI174" s="2" t="s">
        <v>1886</v>
      </c>
      <c r="AJ174" s="2" t="s">
        <v>1887</v>
      </c>
      <c r="AK174" s="2" t="s">
        <v>1242</v>
      </c>
      <c r="AL174" s="2" t="s">
        <v>1243</v>
      </c>
      <c r="AM174" s="2"/>
      <c r="AN174" s="2"/>
      <c r="AO174" s="2" t="n">
        <v>3</v>
      </c>
      <c r="AP174" s="2" t="s">
        <v>448</v>
      </c>
      <c r="AQ174" s="2" t="s">
        <v>1768</v>
      </c>
      <c r="AR174" s="2" t="s">
        <v>1769</v>
      </c>
    </row>
    <row r="175" customFormat="false" ht="46.25" hidden="false" customHeight="false" outlineLevel="0" collapsed="false">
      <c r="A175" s="2" t="n">
        <v>174</v>
      </c>
      <c r="B175" s="2" t="s">
        <v>1352</v>
      </c>
      <c r="C175" s="2" t="s">
        <v>686</v>
      </c>
      <c r="D175" s="2" t="s">
        <v>34</v>
      </c>
      <c r="E175" s="2" t="s">
        <v>1098</v>
      </c>
      <c r="F175" s="2" t="s">
        <v>1099</v>
      </c>
      <c r="G175" s="2" t="s">
        <v>873</v>
      </c>
      <c r="H175" s="2" t="s">
        <v>35</v>
      </c>
      <c r="I175" s="2" t="s">
        <v>1111</v>
      </c>
      <c r="J175" s="2" t="s">
        <v>912</v>
      </c>
      <c r="K175" s="2" t="s">
        <v>56</v>
      </c>
      <c r="L175" s="2" t="s">
        <v>1129</v>
      </c>
      <c r="M175" s="2" t="s">
        <v>56</v>
      </c>
      <c r="N175" s="2" t="s">
        <v>913</v>
      </c>
      <c r="O175" s="2" t="s">
        <v>271</v>
      </c>
      <c r="P175" s="2" t="s">
        <v>951</v>
      </c>
      <c r="Q175" s="2" t="s">
        <v>58</v>
      </c>
      <c r="R175" s="2" t="s">
        <v>1888</v>
      </c>
      <c r="S175" s="2" t="n">
        <v>3</v>
      </c>
      <c r="T175" s="2" t="s">
        <v>41</v>
      </c>
      <c r="U175" s="2" t="s">
        <v>59</v>
      </c>
      <c r="V175" s="2" t="s">
        <v>211</v>
      </c>
      <c r="W175" s="2" t="s">
        <v>67</v>
      </c>
      <c r="X175" s="2" t="n">
        <v>1263</v>
      </c>
      <c r="Y175" s="2" t="n">
        <v>41</v>
      </c>
      <c r="Z175" s="2" t="n">
        <v>50</v>
      </c>
      <c r="AA175" s="2" t="n">
        <v>34</v>
      </c>
      <c r="AB175" s="2" t="s">
        <v>1889</v>
      </c>
      <c r="AC175" s="2"/>
      <c r="AD175" s="2" t="s">
        <v>1238</v>
      </c>
      <c r="AE175" s="2" t="s">
        <v>915</v>
      </c>
      <c r="AF175" s="2" t="s">
        <v>462</v>
      </c>
      <c r="AG175" s="2" t="s">
        <v>1765</v>
      </c>
      <c r="AH175" s="2" t="s">
        <v>511</v>
      </c>
      <c r="AI175" s="2" t="s">
        <v>1890</v>
      </c>
      <c r="AJ175" s="2" t="s">
        <v>1891</v>
      </c>
      <c r="AK175" s="2" t="s">
        <v>1242</v>
      </c>
      <c r="AL175" s="2" t="s">
        <v>1243</v>
      </c>
      <c r="AM175" s="2"/>
      <c r="AN175" s="2"/>
      <c r="AO175" s="2" t="n">
        <v>2</v>
      </c>
      <c r="AP175" s="2" t="s">
        <v>448</v>
      </c>
      <c r="AQ175" s="2"/>
      <c r="AR175" s="2" t="s">
        <v>1769</v>
      </c>
    </row>
    <row r="176" customFormat="false" ht="46.25" hidden="false" customHeight="false" outlineLevel="0" collapsed="false">
      <c r="A176" s="2" t="n">
        <v>175</v>
      </c>
      <c r="B176" s="2" t="s">
        <v>1892</v>
      </c>
      <c r="C176" s="2" t="s">
        <v>686</v>
      </c>
      <c r="D176" s="2" t="s">
        <v>34</v>
      </c>
      <c r="E176" s="2" t="s">
        <v>1098</v>
      </c>
      <c r="F176" s="2" t="s">
        <v>1099</v>
      </c>
      <c r="G176" s="2" t="s">
        <v>873</v>
      </c>
      <c r="H176" s="2" t="s">
        <v>35</v>
      </c>
      <c r="I176" s="2" t="s">
        <v>1111</v>
      </c>
      <c r="J176" s="2" t="s">
        <v>912</v>
      </c>
      <c r="K176" s="2" t="s">
        <v>56</v>
      </c>
      <c r="L176" s="2" t="s">
        <v>1129</v>
      </c>
      <c r="M176" s="2" t="s">
        <v>56</v>
      </c>
      <c r="N176" s="2" t="s">
        <v>913</v>
      </c>
      <c r="O176" s="2" t="s">
        <v>513</v>
      </c>
      <c r="P176" s="2" t="s">
        <v>952</v>
      </c>
      <c r="Q176" s="2" t="s">
        <v>58</v>
      </c>
      <c r="R176" s="2" t="s">
        <v>84</v>
      </c>
      <c r="S176" s="2" t="n">
        <v>1</v>
      </c>
      <c r="T176" s="2" t="s">
        <v>61</v>
      </c>
      <c r="U176" s="2" t="s">
        <v>53</v>
      </c>
      <c r="V176" s="2" t="s">
        <v>233</v>
      </c>
      <c r="W176" s="2" t="s">
        <v>67</v>
      </c>
      <c r="X176" s="2" t="n">
        <v>1265</v>
      </c>
      <c r="Y176" s="2" t="n">
        <v>39</v>
      </c>
      <c r="Z176" s="2" t="n">
        <v>32</v>
      </c>
      <c r="AA176" s="2" t="n">
        <v>32</v>
      </c>
      <c r="AB176" s="2" t="s">
        <v>1893</v>
      </c>
      <c r="AC176" s="2"/>
      <c r="AD176" s="2" t="s">
        <v>1238</v>
      </c>
      <c r="AE176" s="2" t="s">
        <v>915</v>
      </c>
      <c r="AF176" s="2" t="s">
        <v>462</v>
      </c>
      <c r="AG176" s="2" t="s">
        <v>1765</v>
      </c>
      <c r="AH176" s="2" t="s">
        <v>512</v>
      </c>
      <c r="AI176" s="2" t="s">
        <v>1894</v>
      </c>
      <c r="AJ176" s="2" t="s">
        <v>1895</v>
      </c>
      <c r="AK176" s="2" t="s">
        <v>1242</v>
      </c>
      <c r="AL176" s="2" t="s">
        <v>1243</v>
      </c>
      <c r="AM176" s="2"/>
      <c r="AN176" s="2"/>
      <c r="AO176" s="2" t="n">
        <v>4</v>
      </c>
      <c r="AP176" s="2" t="s">
        <v>448</v>
      </c>
      <c r="AQ176" s="2" t="s">
        <v>1768</v>
      </c>
      <c r="AR176" s="2" t="s">
        <v>1769</v>
      </c>
    </row>
    <row r="177" customFormat="false" ht="46.25" hidden="false" customHeight="false" outlineLevel="0" collapsed="false">
      <c r="A177" s="2" t="n">
        <v>176</v>
      </c>
      <c r="B177" s="2" t="s">
        <v>1896</v>
      </c>
      <c r="C177" s="2" t="s">
        <v>686</v>
      </c>
      <c r="D177" s="2" t="s">
        <v>34</v>
      </c>
      <c r="E177" s="2" t="s">
        <v>1098</v>
      </c>
      <c r="F177" s="2" t="s">
        <v>1099</v>
      </c>
      <c r="G177" s="2" t="s">
        <v>873</v>
      </c>
      <c r="H177" s="2" t="s">
        <v>35</v>
      </c>
      <c r="I177" s="2" t="s">
        <v>1111</v>
      </c>
      <c r="J177" s="2" t="s">
        <v>912</v>
      </c>
      <c r="K177" s="2" t="s">
        <v>56</v>
      </c>
      <c r="L177" s="2" t="s">
        <v>1129</v>
      </c>
      <c r="M177" s="2" t="s">
        <v>56</v>
      </c>
      <c r="N177" s="2" t="s">
        <v>913</v>
      </c>
      <c r="O177" s="2" t="s">
        <v>515</v>
      </c>
      <c r="P177" s="2" t="s">
        <v>953</v>
      </c>
      <c r="Q177" s="2" t="s">
        <v>69</v>
      </c>
      <c r="R177" s="2" t="s">
        <v>109</v>
      </c>
      <c r="S177" s="2" t="n">
        <v>1</v>
      </c>
      <c r="T177" s="2" t="s">
        <v>61</v>
      </c>
      <c r="U177" s="2" t="s">
        <v>59</v>
      </c>
      <c r="V177" s="2" t="s">
        <v>211</v>
      </c>
      <c r="W177" s="2" t="s">
        <v>67</v>
      </c>
      <c r="X177" s="2" t="n">
        <v>1289</v>
      </c>
      <c r="Y177" s="2" t="n">
        <v>139</v>
      </c>
      <c r="Z177" s="2" t="n">
        <v>0</v>
      </c>
      <c r="AA177" s="2" t="n">
        <v>20</v>
      </c>
      <c r="AB177" s="2" t="s">
        <v>1897</v>
      </c>
      <c r="AC177" s="2"/>
      <c r="AD177" s="2" t="s">
        <v>1238</v>
      </c>
      <c r="AE177" s="2" t="s">
        <v>915</v>
      </c>
      <c r="AF177" s="2" t="s">
        <v>462</v>
      </c>
      <c r="AG177" s="2" t="s">
        <v>1765</v>
      </c>
      <c r="AH177" s="2" t="s">
        <v>514</v>
      </c>
      <c r="AI177" s="2" t="s">
        <v>1898</v>
      </c>
      <c r="AJ177" s="2" t="s">
        <v>1899</v>
      </c>
      <c r="AK177" s="2" t="s">
        <v>1242</v>
      </c>
      <c r="AL177" s="2" t="s">
        <v>1243</v>
      </c>
      <c r="AM177" s="2"/>
      <c r="AN177" s="2"/>
      <c r="AO177" s="2" t="n">
        <v>4</v>
      </c>
      <c r="AP177" s="2" t="s">
        <v>461</v>
      </c>
      <c r="AQ177" s="2" t="s">
        <v>1768</v>
      </c>
      <c r="AR177" s="2" t="s">
        <v>1769</v>
      </c>
    </row>
    <row r="178" customFormat="false" ht="46.25" hidden="false" customHeight="false" outlineLevel="0" collapsed="false">
      <c r="A178" s="2" t="n">
        <v>177</v>
      </c>
      <c r="B178" s="2" t="s">
        <v>1564</v>
      </c>
      <c r="C178" s="2" t="s">
        <v>686</v>
      </c>
      <c r="D178" s="2" t="s">
        <v>34</v>
      </c>
      <c r="E178" s="2" t="s">
        <v>1098</v>
      </c>
      <c r="F178" s="2" t="s">
        <v>1099</v>
      </c>
      <c r="G178" s="2" t="s">
        <v>873</v>
      </c>
      <c r="H178" s="2" t="s">
        <v>35</v>
      </c>
      <c r="I178" s="2" t="s">
        <v>1111</v>
      </c>
      <c r="J178" s="2" t="s">
        <v>912</v>
      </c>
      <c r="K178" s="2" t="s">
        <v>56</v>
      </c>
      <c r="L178" s="2" t="s">
        <v>1129</v>
      </c>
      <c r="M178" s="2" t="s">
        <v>56</v>
      </c>
      <c r="N178" s="2" t="s">
        <v>913</v>
      </c>
      <c r="O178" s="2" t="s">
        <v>275</v>
      </c>
      <c r="P178" s="2" t="s">
        <v>954</v>
      </c>
      <c r="Q178" s="2" t="s">
        <v>69</v>
      </c>
      <c r="R178" s="2" t="s">
        <v>1900</v>
      </c>
      <c r="S178" s="2" t="n">
        <v>2</v>
      </c>
      <c r="T178" s="2" t="s">
        <v>41</v>
      </c>
      <c r="U178" s="2" t="s">
        <v>59</v>
      </c>
      <c r="V178" s="2" t="s">
        <v>211</v>
      </c>
      <c r="W178" s="2" t="s">
        <v>67</v>
      </c>
      <c r="X178" s="2" t="n">
        <v>1191</v>
      </c>
      <c r="Y178" s="2" t="n">
        <v>89</v>
      </c>
      <c r="Z178" s="2" t="n">
        <v>26</v>
      </c>
      <c r="AA178" s="2" t="n">
        <v>34</v>
      </c>
      <c r="AB178" s="2" t="s">
        <v>1901</v>
      </c>
      <c r="AC178" s="2"/>
      <c r="AD178" s="2" t="s">
        <v>1238</v>
      </c>
      <c r="AE178" s="2" t="s">
        <v>915</v>
      </c>
      <c r="AF178" s="2" t="s">
        <v>462</v>
      </c>
      <c r="AG178" s="2" t="s">
        <v>1765</v>
      </c>
      <c r="AH178" s="2" t="s">
        <v>516</v>
      </c>
      <c r="AI178" s="2" t="s">
        <v>1902</v>
      </c>
      <c r="AJ178" s="2" t="s">
        <v>1903</v>
      </c>
      <c r="AK178" s="2" t="s">
        <v>1242</v>
      </c>
      <c r="AL178" s="2" t="s">
        <v>1243</v>
      </c>
      <c r="AM178" s="2"/>
      <c r="AN178" s="2"/>
      <c r="AO178" s="2" t="n">
        <v>3</v>
      </c>
      <c r="AP178" s="2" t="s">
        <v>448</v>
      </c>
      <c r="AQ178" s="2"/>
      <c r="AR178" s="2" t="s">
        <v>1769</v>
      </c>
    </row>
    <row r="179" customFormat="false" ht="46.25" hidden="false" customHeight="false" outlineLevel="0" collapsed="false">
      <c r="A179" s="2" t="n">
        <v>178</v>
      </c>
      <c r="B179" s="2" t="s">
        <v>1568</v>
      </c>
      <c r="C179" s="2" t="s">
        <v>686</v>
      </c>
      <c r="D179" s="2" t="s">
        <v>34</v>
      </c>
      <c r="E179" s="2" t="s">
        <v>1098</v>
      </c>
      <c r="F179" s="2" t="s">
        <v>1099</v>
      </c>
      <c r="G179" s="2" t="s">
        <v>873</v>
      </c>
      <c r="H179" s="2" t="s">
        <v>35</v>
      </c>
      <c r="I179" s="2" t="s">
        <v>1111</v>
      </c>
      <c r="J179" s="2" t="s">
        <v>912</v>
      </c>
      <c r="K179" s="2" t="s">
        <v>56</v>
      </c>
      <c r="L179" s="2" t="s">
        <v>1129</v>
      </c>
      <c r="M179" s="2" t="s">
        <v>56</v>
      </c>
      <c r="N179" s="2" t="s">
        <v>913</v>
      </c>
      <c r="O179" s="2" t="s">
        <v>372</v>
      </c>
      <c r="P179" s="2" t="s">
        <v>955</v>
      </c>
      <c r="Q179" s="2" t="s">
        <v>71</v>
      </c>
      <c r="R179" s="2" t="s">
        <v>127</v>
      </c>
      <c r="S179" s="2" t="n">
        <v>1</v>
      </c>
      <c r="T179" s="2" t="s">
        <v>61</v>
      </c>
      <c r="U179" s="2" t="s">
        <v>59</v>
      </c>
      <c r="V179" s="2" t="s">
        <v>211</v>
      </c>
      <c r="W179" s="2" t="s">
        <v>67</v>
      </c>
      <c r="X179" s="2" t="n">
        <v>1239</v>
      </c>
      <c r="Y179" s="2" t="n">
        <v>58</v>
      </c>
      <c r="Z179" s="2" t="n">
        <v>22</v>
      </c>
      <c r="AA179" s="2" t="n">
        <v>23</v>
      </c>
      <c r="AB179" s="2" t="s">
        <v>1904</v>
      </c>
      <c r="AC179" s="2"/>
      <c r="AD179" s="2" t="s">
        <v>1238</v>
      </c>
      <c r="AE179" s="2" t="s">
        <v>915</v>
      </c>
      <c r="AF179" s="2" t="s">
        <v>462</v>
      </c>
      <c r="AG179" s="2" t="s">
        <v>1765</v>
      </c>
      <c r="AH179" s="2" t="s">
        <v>517</v>
      </c>
      <c r="AI179" s="2" t="s">
        <v>1905</v>
      </c>
      <c r="AJ179" s="2" t="s">
        <v>1906</v>
      </c>
      <c r="AK179" s="2" t="s">
        <v>1242</v>
      </c>
      <c r="AL179" s="2" t="s">
        <v>1243</v>
      </c>
      <c r="AM179" s="2"/>
      <c r="AN179" s="2"/>
      <c r="AO179" s="2" t="n">
        <v>4</v>
      </c>
      <c r="AP179" s="2" t="s">
        <v>448</v>
      </c>
      <c r="AQ179" s="2" t="s">
        <v>1768</v>
      </c>
      <c r="AR179" s="2" t="s">
        <v>1769</v>
      </c>
    </row>
    <row r="180" customFormat="false" ht="46.25" hidden="false" customHeight="false" outlineLevel="0" collapsed="false">
      <c r="A180" s="2" t="n">
        <v>179</v>
      </c>
      <c r="B180" s="2" t="s">
        <v>1907</v>
      </c>
      <c r="C180" s="2" t="s">
        <v>686</v>
      </c>
      <c r="D180" s="2" t="s">
        <v>34</v>
      </c>
      <c r="E180" s="2" t="s">
        <v>1098</v>
      </c>
      <c r="F180" s="2" t="s">
        <v>1099</v>
      </c>
      <c r="G180" s="2" t="s">
        <v>873</v>
      </c>
      <c r="H180" s="2" t="s">
        <v>35</v>
      </c>
      <c r="I180" s="2" t="s">
        <v>1111</v>
      </c>
      <c r="J180" s="2" t="s">
        <v>912</v>
      </c>
      <c r="K180" s="2" t="s">
        <v>56</v>
      </c>
      <c r="L180" s="2" t="s">
        <v>1129</v>
      </c>
      <c r="M180" s="2" t="s">
        <v>56</v>
      </c>
      <c r="N180" s="2" t="s">
        <v>913</v>
      </c>
      <c r="O180" s="2" t="s">
        <v>519</v>
      </c>
      <c r="P180" s="2" t="s">
        <v>956</v>
      </c>
      <c r="Q180" s="2" t="s">
        <v>58</v>
      </c>
      <c r="R180" s="2" t="s">
        <v>1908</v>
      </c>
      <c r="S180" s="2" t="n">
        <v>3</v>
      </c>
      <c r="T180" s="2" t="s">
        <v>41</v>
      </c>
      <c r="U180" s="2" t="s">
        <v>59</v>
      </c>
      <c r="V180" s="2" t="s">
        <v>211</v>
      </c>
      <c r="W180" s="2" t="s">
        <v>67</v>
      </c>
      <c r="X180" s="2" t="n">
        <v>1289</v>
      </c>
      <c r="Y180" s="2" t="n">
        <v>24</v>
      </c>
      <c r="Z180" s="2" t="n">
        <v>38</v>
      </c>
      <c r="AA180" s="2" t="n">
        <v>21</v>
      </c>
      <c r="AB180" s="2" t="s">
        <v>1909</v>
      </c>
      <c r="AC180" s="2"/>
      <c r="AD180" s="2" t="s">
        <v>1238</v>
      </c>
      <c r="AE180" s="2" t="s">
        <v>915</v>
      </c>
      <c r="AF180" s="2" t="s">
        <v>462</v>
      </c>
      <c r="AG180" s="2" t="s">
        <v>1765</v>
      </c>
      <c r="AH180" s="2" t="s">
        <v>518</v>
      </c>
      <c r="AI180" s="2" t="s">
        <v>1910</v>
      </c>
      <c r="AJ180" s="2" t="s">
        <v>1911</v>
      </c>
      <c r="AK180" s="2" t="s">
        <v>1242</v>
      </c>
      <c r="AL180" s="2" t="s">
        <v>1243</v>
      </c>
      <c r="AM180" s="2"/>
      <c r="AN180" s="2"/>
      <c r="AO180" s="2" t="n">
        <v>3</v>
      </c>
      <c r="AP180" s="2" t="s">
        <v>461</v>
      </c>
      <c r="AQ180" s="2"/>
      <c r="AR180" s="2" t="s">
        <v>1769</v>
      </c>
    </row>
    <row r="181" customFormat="false" ht="46.25" hidden="false" customHeight="false" outlineLevel="0" collapsed="false">
      <c r="A181" s="2" t="n">
        <v>180</v>
      </c>
      <c r="B181" s="2" t="s">
        <v>1579</v>
      </c>
      <c r="C181" s="2" t="s">
        <v>686</v>
      </c>
      <c r="D181" s="2" t="s">
        <v>34</v>
      </c>
      <c r="E181" s="2" t="s">
        <v>1098</v>
      </c>
      <c r="F181" s="2" t="s">
        <v>1099</v>
      </c>
      <c r="G181" s="2" t="s">
        <v>873</v>
      </c>
      <c r="H181" s="2" t="s">
        <v>35</v>
      </c>
      <c r="I181" s="2" t="s">
        <v>1111</v>
      </c>
      <c r="J181" s="2" t="s">
        <v>912</v>
      </c>
      <c r="K181" s="2" t="s">
        <v>56</v>
      </c>
      <c r="L181" s="2" t="s">
        <v>1129</v>
      </c>
      <c r="M181" s="2" t="s">
        <v>56</v>
      </c>
      <c r="N181" s="2" t="s">
        <v>913</v>
      </c>
      <c r="O181" s="2" t="s">
        <v>377</v>
      </c>
      <c r="P181" s="2" t="s">
        <v>957</v>
      </c>
      <c r="Q181" s="2" t="s">
        <v>69</v>
      </c>
      <c r="R181" s="2" t="s">
        <v>114</v>
      </c>
      <c r="S181" s="2" t="n">
        <v>1</v>
      </c>
      <c r="T181" s="2" t="s">
        <v>61</v>
      </c>
      <c r="U181" s="2" t="s">
        <v>59</v>
      </c>
      <c r="V181" s="2" t="s">
        <v>211</v>
      </c>
      <c r="W181" s="2" t="s">
        <v>67</v>
      </c>
      <c r="X181" s="2" t="n">
        <v>1225</v>
      </c>
      <c r="Y181" s="2" t="n">
        <v>76</v>
      </c>
      <c r="Z181" s="2" t="n">
        <v>20</v>
      </c>
      <c r="AA181" s="2" t="n">
        <v>22</v>
      </c>
      <c r="AB181" s="2" t="s">
        <v>1912</v>
      </c>
      <c r="AC181" s="2"/>
      <c r="AD181" s="2" t="s">
        <v>1238</v>
      </c>
      <c r="AE181" s="2" t="s">
        <v>915</v>
      </c>
      <c r="AF181" s="2" t="s">
        <v>462</v>
      </c>
      <c r="AG181" s="2" t="s">
        <v>1765</v>
      </c>
      <c r="AH181" s="2" t="s">
        <v>520</v>
      </c>
      <c r="AI181" s="2" t="s">
        <v>1913</v>
      </c>
      <c r="AJ181" s="2" t="s">
        <v>1914</v>
      </c>
      <c r="AK181" s="2" t="s">
        <v>1242</v>
      </c>
      <c r="AL181" s="2" t="s">
        <v>1243</v>
      </c>
      <c r="AM181" s="2"/>
      <c r="AN181" s="2"/>
      <c r="AO181" s="2" t="n">
        <v>4</v>
      </c>
      <c r="AP181" s="2" t="s">
        <v>448</v>
      </c>
      <c r="AQ181" s="2" t="s">
        <v>1768</v>
      </c>
      <c r="AR181" s="2" t="s">
        <v>1769</v>
      </c>
    </row>
    <row r="182" customFormat="false" ht="46.25" hidden="false" customHeight="false" outlineLevel="0" collapsed="false">
      <c r="A182" s="2" t="n">
        <v>181</v>
      </c>
      <c r="B182" s="2" t="s">
        <v>1915</v>
      </c>
      <c r="C182" s="2" t="s">
        <v>686</v>
      </c>
      <c r="D182" s="2" t="s">
        <v>34</v>
      </c>
      <c r="E182" s="2" t="s">
        <v>1098</v>
      </c>
      <c r="F182" s="2" t="s">
        <v>1099</v>
      </c>
      <c r="G182" s="2" t="s">
        <v>873</v>
      </c>
      <c r="H182" s="2" t="s">
        <v>35</v>
      </c>
      <c r="I182" s="2" t="s">
        <v>1111</v>
      </c>
      <c r="J182" s="2" t="s">
        <v>912</v>
      </c>
      <c r="K182" s="2" t="s">
        <v>56</v>
      </c>
      <c r="L182" s="2" t="s">
        <v>1129</v>
      </c>
      <c r="M182" s="2" t="s">
        <v>56</v>
      </c>
      <c r="N182" s="2" t="s">
        <v>913</v>
      </c>
      <c r="O182" s="2" t="s">
        <v>522</v>
      </c>
      <c r="P182" s="2" t="s">
        <v>958</v>
      </c>
      <c r="Q182" s="2" t="s">
        <v>69</v>
      </c>
      <c r="R182" s="2" t="s">
        <v>57</v>
      </c>
      <c r="S182" s="2" t="n">
        <v>1</v>
      </c>
      <c r="T182" s="2" t="s">
        <v>61</v>
      </c>
      <c r="U182" s="2" t="s">
        <v>59</v>
      </c>
      <c r="V182" s="2" t="s">
        <v>211</v>
      </c>
      <c r="W182" s="2" t="s">
        <v>67</v>
      </c>
      <c r="X182" s="2" t="n">
        <v>1097</v>
      </c>
      <c r="Y182" s="2" t="n">
        <v>25</v>
      </c>
      <c r="Z182" s="2" t="n">
        <v>14</v>
      </c>
      <c r="AA182" s="2" t="n">
        <v>58</v>
      </c>
      <c r="AB182" s="2" t="s">
        <v>1916</v>
      </c>
      <c r="AC182" s="2"/>
      <c r="AD182" s="2" t="s">
        <v>1238</v>
      </c>
      <c r="AE182" s="2" t="s">
        <v>915</v>
      </c>
      <c r="AF182" s="2" t="s">
        <v>462</v>
      </c>
      <c r="AG182" s="2" t="s">
        <v>1765</v>
      </c>
      <c r="AH182" s="2" t="s">
        <v>521</v>
      </c>
      <c r="AI182" s="2" t="s">
        <v>1917</v>
      </c>
      <c r="AJ182" s="2" t="s">
        <v>1918</v>
      </c>
      <c r="AK182" s="2" t="s">
        <v>1242</v>
      </c>
      <c r="AL182" s="2" t="s">
        <v>1243</v>
      </c>
      <c r="AM182" s="2"/>
      <c r="AN182" s="2"/>
      <c r="AO182" s="2" t="n">
        <v>2</v>
      </c>
      <c r="AP182" s="2" t="s">
        <v>461</v>
      </c>
      <c r="AQ182" s="2" t="s">
        <v>1768</v>
      </c>
      <c r="AR182" s="2" t="s">
        <v>1769</v>
      </c>
    </row>
    <row r="183" customFormat="false" ht="46.25" hidden="false" customHeight="false" outlineLevel="0" collapsed="false">
      <c r="A183" s="2" t="n">
        <v>182</v>
      </c>
      <c r="B183" s="2" t="s">
        <v>1919</v>
      </c>
      <c r="C183" s="2" t="s">
        <v>686</v>
      </c>
      <c r="D183" s="2" t="s">
        <v>34</v>
      </c>
      <c r="E183" s="2" t="s">
        <v>1098</v>
      </c>
      <c r="F183" s="2" t="s">
        <v>1099</v>
      </c>
      <c r="G183" s="2" t="s">
        <v>873</v>
      </c>
      <c r="H183" s="2" t="s">
        <v>35</v>
      </c>
      <c r="I183" s="2" t="s">
        <v>1111</v>
      </c>
      <c r="J183" s="2" t="s">
        <v>912</v>
      </c>
      <c r="K183" s="2" t="s">
        <v>56</v>
      </c>
      <c r="L183" s="2" t="s">
        <v>1129</v>
      </c>
      <c r="M183" s="2" t="s">
        <v>56</v>
      </c>
      <c r="N183" s="2" t="s">
        <v>913</v>
      </c>
      <c r="O183" s="2" t="s">
        <v>524</v>
      </c>
      <c r="P183" s="2" t="s">
        <v>960</v>
      </c>
      <c r="Q183" s="2" t="s">
        <v>45</v>
      </c>
      <c r="R183" s="2" t="s">
        <v>62</v>
      </c>
      <c r="S183" s="2" t="n">
        <v>1</v>
      </c>
      <c r="T183" s="2" t="s">
        <v>61</v>
      </c>
      <c r="U183" s="2" t="s">
        <v>59</v>
      </c>
      <c r="V183" s="2" t="s">
        <v>211</v>
      </c>
      <c r="W183" s="2" t="s">
        <v>67</v>
      </c>
      <c r="X183" s="2" t="n">
        <v>1268</v>
      </c>
      <c r="Y183" s="2" t="n">
        <v>16</v>
      </c>
      <c r="Z183" s="2" t="n">
        <v>36</v>
      </c>
      <c r="AA183" s="2" t="n">
        <v>53</v>
      </c>
      <c r="AB183" s="2" t="s">
        <v>1920</v>
      </c>
      <c r="AC183" s="2"/>
      <c r="AD183" s="2" t="s">
        <v>1238</v>
      </c>
      <c r="AE183" s="2" t="s">
        <v>915</v>
      </c>
      <c r="AF183" s="2" t="s">
        <v>462</v>
      </c>
      <c r="AG183" s="2" t="s">
        <v>1765</v>
      </c>
      <c r="AH183" s="2" t="s">
        <v>523</v>
      </c>
      <c r="AI183" s="2" t="s">
        <v>1921</v>
      </c>
      <c r="AJ183" s="2" t="s">
        <v>1922</v>
      </c>
      <c r="AK183" s="2" t="s">
        <v>1242</v>
      </c>
      <c r="AL183" s="2" t="s">
        <v>1243</v>
      </c>
      <c r="AM183" s="2"/>
      <c r="AN183" s="2"/>
      <c r="AO183" s="2" t="n">
        <v>2</v>
      </c>
      <c r="AP183" s="2" t="s">
        <v>461</v>
      </c>
      <c r="AQ183" s="2" t="s">
        <v>1768</v>
      </c>
      <c r="AR183" s="2" t="s">
        <v>1769</v>
      </c>
    </row>
    <row r="184" customFormat="false" ht="46.25" hidden="false" customHeight="false" outlineLevel="0" collapsed="false">
      <c r="A184" s="2" t="n">
        <v>183</v>
      </c>
      <c r="B184" s="2" t="s">
        <v>1923</v>
      </c>
      <c r="C184" s="2" t="s">
        <v>686</v>
      </c>
      <c r="D184" s="2" t="s">
        <v>34</v>
      </c>
      <c r="E184" s="2" t="s">
        <v>1098</v>
      </c>
      <c r="F184" s="2" t="s">
        <v>1099</v>
      </c>
      <c r="G184" s="2" t="s">
        <v>873</v>
      </c>
      <c r="H184" s="2" t="s">
        <v>35</v>
      </c>
      <c r="I184" s="2" t="s">
        <v>1111</v>
      </c>
      <c r="J184" s="2" t="s">
        <v>912</v>
      </c>
      <c r="K184" s="2" t="s">
        <v>56</v>
      </c>
      <c r="L184" s="2" t="s">
        <v>1129</v>
      </c>
      <c r="M184" s="2" t="s">
        <v>56</v>
      </c>
      <c r="N184" s="2" t="s">
        <v>913</v>
      </c>
      <c r="O184" s="2" t="s">
        <v>526</v>
      </c>
      <c r="P184" s="2" t="s">
        <v>961</v>
      </c>
      <c r="Q184" s="2" t="s">
        <v>66</v>
      </c>
      <c r="R184" s="2" t="s">
        <v>102</v>
      </c>
      <c r="S184" s="2" t="n">
        <v>1</v>
      </c>
      <c r="T184" s="2" t="s">
        <v>61</v>
      </c>
      <c r="U184" s="2" t="s">
        <v>53</v>
      </c>
      <c r="V184" s="2" t="s">
        <v>233</v>
      </c>
      <c r="W184" s="2" t="s">
        <v>67</v>
      </c>
      <c r="X184" s="2" t="n">
        <v>1246</v>
      </c>
      <c r="Y184" s="2" t="n">
        <v>244</v>
      </c>
      <c r="Z184" s="2" t="n">
        <v>66</v>
      </c>
      <c r="AA184" s="2" t="n">
        <v>0</v>
      </c>
      <c r="AB184" s="2" t="s">
        <v>1924</v>
      </c>
      <c r="AC184" s="2"/>
      <c r="AD184" s="2" t="s">
        <v>1238</v>
      </c>
      <c r="AE184" s="2" t="s">
        <v>915</v>
      </c>
      <c r="AF184" s="2" t="s">
        <v>462</v>
      </c>
      <c r="AG184" s="2" t="s">
        <v>1765</v>
      </c>
      <c r="AH184" s="2" t="s">
        <v>525</v>
      </c>
      <c r="AI184" s="2" t="s">
        <v>1925</v>
      </c>
      <c r="AJ184" s="2" t="s">
        <v>1926</v>
      </c>
      <c r="AK184" s="2" t="s">
        <v>1242</v>
      </c>
      <c r="AL184" s="2" t="s">
        <v>1243</v>
      </c>
      <c r="AM184" s="2"/>
      <c r="AN184" s="2"/>
      <c r="AO184" s="2" t="n">
        <v>4</v>
      </c>
      <c r="AP184" s="2" t="s">
        <v>448</v>
      </c>
      <c r="AQ184" s="2" t="s">
        <v>1768</v>
      </c>
      <c r="AR184" s="2" t="s">
        <v>1769</v>
      </c>
    </row>
    <row r="185" customFormat="false" ht="46.25" hidden="false" customHeight="false" outlineLevel="0" collapsed="false">
      <c r="A185" s="2" t="n">
        <v>184</v>
      </c>
      <c r="B185" s="2" t="s">
        <v>1927</v>
      </c>
      <c r="C185" s="2" t="s">
        <v>686</v>
      </c>
      <c r="D185" s="2" t="s">
        <v>34</v>
      </c>
      <c r="E185" s="2" t="s">
        <v>1098</v>
      </c>
      <c r="F185" s="2" t="s">
        <v>1099</v>
      </c>
      <c r="G185" s="2" t="s">
        <v>873</v>
      </c>
      <c r="H185" s="2" t="s">
        <v>35</v>
      </c>
      <c r="I185" s="2" t="s">
        <v>1111</v>
      </c>
      <c r="J185" s="2" t="s">
        <v>912</v>
      </c>
      <c r="K185" s="2" t="s">
        <v>56</v>
      </c>
      <c r="L185" s="2" t="s">
        <v>1129</v>
      </c>
      <c r="M185" s="2" t="s">
        <v>56</v>
      </c>
      <c r="N185" s="2" t="s">
        <v>913</v>
      </c>
      <c r="O185" s="2" t="s">
        <v>528</v>
      </c>
      <c r="P185" s="2" t="s">
        <v>962</v>
      </c>
      <c r="Q185" s="2" t="s">
        <v>75</v>
      </c>
      <c r="R185" s="2" t="s">
        <v>95</v>
      </c>
      <c r="S185" s="2" t="n">
        <v>1</v>
      </c>
      <c r="T185" s="2" t="s">
        <v>61</v>
      </c>
      <c r="U185" s="2" t="s">
        <v>59</v>
      </c>
      <c r="V185" s="2" t="s">
        <v>211</v>
      </c>
      <c r="W185" s="2" t="s">
        <v>67</v>
      </c>
      <c r="X185" s="2" t="n">
        <v>1286</v>
      </c>
      <c r="Y185" s="2" t="n">
        <v>0</v>
      </c>
      <c r="Z185" s="2" t="n">
        <v>47</v>
      </c>
      <c r="AA185" s="2" t="n">
        <v>42</v>
      </c>
      <c r="AB185" s="2" t="s">
        <v>1928</v>
      </c>
      <c r="AC185" s="2"/>
      <c r="AD185" s="2" t="s">
        <v>1238</v>
      </c>
      <c r="AE185" s="2" t="s">
        <v>915</v>
      </c>
      <c r="AF185" s="2" t="s">
        <v>462</v>
      </c>
      <c r="AG185" s="2" t="s">
        <v>1765</v>
      </c>
      <c r="AH185" s="2" t="s">
        <v>527</v>
      </c>
      <c r="AI185" s="2" t="s">
        <v>1929</v>
      </c>
      <c r="AJ185" s="2" t="s">
        <v>1930</v>
      </c>
      <c r="AK185" s="2" t="s">
        <v>1242</v>
      </c>
      <c r="AL185" s="2" t="s">
        <v>1243</v>
      </c>
      <c r="AM185" s="2"/>
      <c r="AN185" s="2"/>
      <c r="AO185" s="2" t="n">
        <v>2</v>
      </c>
      <c r="AP185" s="2" t="s">
        <v>461</v>
      </c>
      <c r="AQ185" s="2" t="s">
        <v>1768</v>
      </c>
      <c r="AR185" s="2" t="s">
        <v>1769</v>
      </c>
    </row>
    <row r="186" customFormat="false" ht="46.25" hidden="false" customHeight="false" outlineLevel="0" collapsed="false">
      <c r="A186" s="2" t="n">
        <v>185</v>
      </c>
      <c r="B186" s="2" t="s">
        <v>1710</v>
      </c>
      <c r="C186" s="2" t="s">
        <v>686</v>
      </c>
      <c r="D186" s="2" t="s">
        <v>34</v>
      </c>
      <c r="E186" s="2" t="s">
        <v>1098</v>
      </c>
      <c r="F186" s="2" t="s">
        <v>1099</v>
      </c>
      <c r="G186" s="2" t="s">
        <v>873</v>
      </c>
      <c r="H186" s="2" t="s">
        <v>35</v>
      </c>
      <c r="I186" s="2" t="s">
        <v>1111</v>
      </c>
      <c r="J186" s="2" t="s">
        <v>912</v>
      </c>
      <c r="K186" s="2" t="s">
        <v>56</v>
      </c>
      <c r="L186" s="2" t="s">
        <v>1129</v>
      </c>
      <c r="M186" s="2" t="s">
        <v>56</v>
      </c>
      <c r="N186" s="2" t="s">
        <v>913</v>
      </c>
      <c r="O186" s="2" t="s">
        <v>530</v>
      </c>
      <c r="P186" s="2" t="s">
        <v>963</v>
      </c>
      <c r="Q186" s="2" t="s">
        <v>45</v>
      </c>
      <c r="R186" s="2" t="s">
        <v>97</v>
      </c>
      <c r="S186" s="2" t="n">
        <v>1</v>
      </c>
      <c r="T186" s="2" t="s">
        <v>61</v>
      </c>
      <c r="U186" s="2" t="s">
        <v>59</v>
      </c>
      <c r="V186" s="2" t="s">
        <v>211</v>
      </c>
      <c r="W186" s="2" t="s">
        <v>67</v>
      </c>
      <c r="X186" s="2" t="n">
        <v>1289</v>
      </c>
      <c r="Y186" s="2" t="n">
        <v>2</v>
      </c>
      <c r="Z186" s="2" t="n">
        <v>33</v>
      </c>
      <c r="AA186" s="2" t="n">
        <v>39</v>
      </c>
      <c r="AB186" s="2" t="s">
        <v>1931</v>
      </c>
      <c r="AC186" s="2"/>
      <c r="AD186" s="2" t="s">
        <v>1238</v>
      </c>
      <c r="AE186" s="2" t="s">
        <v>915</v>
      </c>
      <c r="AF186" s="2" t="s">
        <v>462</v>
      </c>
      <c r="AG186" s="2" t="s">
        <v>1765</v>
      </c>
      <c r="AH186" s="2" t="s">
        <v>529</v>
      </c>
      <c r="AI186" s="2" t="s">
        <v>1932</v>
      </c>
      <c r="AJ186" s="2" t="s">
        <v>1933</v>
      </c>
      <c r="AK186" s="2" t="s">
        <v>1242</v>
      </c>
      <c r="AL186" s="2" t="s">
        <v>1243</v>
      </c>
      <c r="AM186" s="2"/>
      <c r="AN186" s="2"/>
      <c r="AO186" s="2" t="n">
        <v>2</v>
      </c>
      <c r="AP186" s="2" t="s">
        <v>461</v>
      </c>
      <c r="AQ186" s="2" t="s">
        <v>1768</v>
      </c>
      <c r="AR186" s="2" t="s">
        <v>1769</v>
      </c>
    </row>
    <row r="187" customFormat="false" ht="46.25" hidden="false" customHeight="false" outlineLevel="0" collapsed="false">
      <c r="A187" s="2" t="n">
        <v>186</v>
      </c>
      <c r="B187" s="2" t="s">
        <v>1934</v>
      </c>
      <c r="C187" s="2" t="s">
        <v>686</v>
      </c>
      <c r="D187" s="2" t="s">
        <v>34</v>
      </c>
      <c r="E187" s="2" t="s">
        <v>1098</v>
      </c>
      <c r="F187" s="2" t="s">
        <v>1099</v>
      </c>
      <c r="G187" s="2" t="s">
        <v>873</v>
      </c>
      <c r="H187" s="2" t="s">
        <v>35</v>
      </c>
      <c r="I187" s="2" t="s">
        <v>1111</v>
      </c>
      <c r="J187" s="2" t="s">
        <v>912</v>
      </c>
      <c r="K187" s="2" t="s">
        <v>56</v>
      </c>
      <c r="L187" s="2" t="s">
        <v>1129</v>
      </c>
      <c r="M187" s="2" t="s">
        <v>56</v>
      </c>
      <c r="N187" s="2" t="s">
        <v>913</v>
      </c>
      <c r="O187" s="2" t="s">
        <v>532</v>
      </c>
      <c r="P187" s="2" t="s">
        <v>964</v>
      </c>
      <c r="Q187" s="2" t="s">
        <v>45</v>
      </c>
      <c r="R187" s="2" t="s">
        <v>65</v>
      </c>
      <c r="S187" s="2" t="n">
        <v>1</v>
      </c>
      <c r="T187" s="2" t="s">
        <v>61</v>
      </c>
      <c r="U187" s="2" t="s">
        <v>59</v>
      </c>
      <c r="V187" s="2" t="s">
        <v>211</v>
      </c>
      <c r="W187" s="2" t="s">
        <v>67</v>
      </c>
      <c r="X187" s="2" t="n">
        <v>1253</v>
      </c>
      <c r="Y187" s="2" t="n">
        <v>0</v>
      </c>
      <c r="Z187" s="2" t="n">
        <v>55</v>
      </c>
      <c r="AA187" s="2" t="n">
        <v>60</v>
      </c>
      <c r="AB187" s="2" t="s">
        <v>1935</v>
      </c>
      <c r="AC187" s="2"/>
      <c r="AD187" s="2" t="s">
        <v>1238</v>
      </c>
      <c r="AE187" s="2" t="s">
        <v>915</v>
      </c>
      <c r="AF187" s="2" t="s">
        <v>462</v>
      </c>
      <c r="AG187" s="2" t="s">
        <v>1765</v>
      </c>
      <c r="AH187" s="2" t="s">
        <v>531</v>
      </c>
      <c r="AI187" s="2" t="s">
        <v>1936</v>
      </c>
      <c r="AJ187" s="2" t="s">
        <v>1937</v>
      </c>
      <c r="AK187" s="2" t="s">
        <v>1242</v>
      </c>
      <c r="AL187" s="2" t="s">
        <v>1243</v>
      </c>
      <c r="AM187" s="2"/>
      <c r="AN187" s="2"/>
      <c r="AO187" s="2" t="n">
        <v>3</v>
      </c>
      <c r="AP187" s="2" t="s">
        <v>448</v>
      </c>
      <c r="AQ187" s="2" t="s">
        <v>1768</v>
      </c>
      <c r="AR187" s="2" t="s">
        <v>1769</v>
      </c>
    </row>
    <row r="188" customFormat="false" ht="46.25" hidden="false" customHeight="false" outlineLevel="0" collapsed="false">
      <c r="A188" s="2" t="n">
        <v>187</v>
      </c>
      <c r="B188" s="2" t="s">
        <v>1938</v>
      </c>
      <c r="C188" s="2" t="s">
        <v>686</v>
      </c>
      <c r="D188" s="2" t="s">
        <v>34</v>
      </c>
      <c r="E188" s="2" t="s">
        <v>1098</v>
      </c>
      <c r="F188" s="2" t="s">
        <v>1099</v>
      </c>
      <c r="G188" s="2" t="s">
        <v>873</v>
      </c>
      <c r="H188" s="2" t="s">
        <v>35</v>
      </c>
      <c r="I188" s="2" t="s">
        <v>1111</v>
      </c>
      <c r="J188" s="2" t="s">
        <v>912</v>
      </c>
      <c r="K188" s="2" t="s">
        <v>56</v>
      </c>
      <c r="L188" s="2" t="s">
        <v>1129</v>
      </c>
      <c r="M188" s="2" t="s">
        <v>56</v>
      </c>
      <c r="N188" s="2" t="s">
        <v>913</v>
      </c>
      <c r="O188" s="2" t="s">
        <v>534</v>
      </c>
      <c r="P188" s="2" t="s">
        <v>966</v>
      </c>
      <c r="Q188" s="2" t="s">
        <v>69</v>
      </c>
      <c r="R188" s="2" t="s">
        <v>117</v>
      </c>
      <c r="S188" s="2" t="n">
        <v>1</v>
      </c>
      <c r="T188" s="2" t="s">
        <v>61</v>
      </c>
      <c r="U188" s="2" t="s">
        <v>39</v>
      </c>
      <c r="V188" s="2" t="s">
        <v>215</v>
      </c>
      <c r="W188" s="2" t="s">
        <v>67</v>
      </c>
      <c r="X188" s="2" t="n">
        <v>1252</v>
      </c>
      <c r="Y188" s="2" t="n">
        <v>193</v>
      </c>
      <c r="Z188" s="2" t="n">
        <v>0</v>
      </c>
      <c r="AA188" s="2" t="n">
        <v>28</v>
      </c>
      <c r="AB188" s="2" t="s">
        <v>1939</v>
      </c>
      <c r="AC188" s="2"/>
      <c r="AD188" s="2" t="s">
        <v>1238</v>
      </c>
      <c r="AE188" s="2" t="s">
        <v>915</v>
      </c>
      <c r="AF188" s="2" t="s">
        <v>462</v>
      </c>
      <c r="AG188" s="2" t="s">
        <v>1765</v>
      </c>
      <c r="AH188" s="2" t="s">
        <v>533</v>
      </c>
      <c r="AI188" s="2" t="s">
        <v>1940</v>
      </c>
      <c r="AJ188" s="2" t="s">
        <v>1941</v>
      </c>
      <c r="AK188" s="2" t="s">
        <v>1242</v>
      </c>
      <c r="AL188" s="2" t="s">
        <v>1243</v>
      </c>
      <c r="AM188" s="2"/>
      <c r="AN188" s="2"/>
      <c r="AO188" s="2" t="n">
        <v>4</v>
      </c>
      <c r="AP188" s="2" t="s">
        <v>461</v>
      </c>
      <c r="AQ188" s="2" t="s">
        <v>1768</v>
      </c>
      <c r="AR188" s="2" t="s">
        <v>1769</v>
      </c>
    </row>
    <row r="189" customFormat="false" ht="46.25" hidden="false" customHeight="false" outlineLevel="0" collapsed="false">
      <c r="A189" s="2" t="n">
        <v>188</v>
      </c>
      <c r="B189" s="2" t="s">
        <v>1942</v>
      </c>
      <c r="C189" s="2" t="s">
        <v>686</v>
      </c>
      <c r="D189" s="2" t="s">
        <v>34</v>
      </c>
      <c r="E189" s="2" t="s">
        <v>1098</v>
      </c>
      <c r="F189" s="2" t="s">
        <v>1099</v>
      </c>
      <c r="G189" s="2" t="s">
        <v>873</v>
      </c>
      <c r="H189" s="2" t="s">
        <v>35</v>
      </c>
      <c r="I189" s="2" t="s">
        <v>1111</v>
      </c>
      <c r="J189" s="2" t="s">
        <v>912</v>
      </c>
      <c r="K189" s="2" t="s">
        <v>56</v>
      </c>
      <c r="L189" s="2" t="s">
        <v>1129</v>
      </c>
      <c r="M189" s="2" t="s">
        <v>56</v>
      </c>
      <c r="N189" s="2" t="s">
        <v>913</v>
      </c>
      <c r="O189" s="2" t="s">
        <v>536</v>
      </c>
      <c r="P189" s="2" t="s">
        <v>968</v>
      </c>
      <c r="Q189" s="2" t="s">
        <v>69</v>
      </c>
      <c r="R189" s="2" t="s">
        <v>118</v>
      </c>
      <c r="S189" s="2" t="n">
        <v>1</v>
      </c>
      <c r="T189" s="2" t="s">
        <v>61</v>
      </c>
      <c r="U189" s="2" t="s">
        <v>39</v>
      </c>
      <c r="V189" s="2" t="s">
        <v>215</v>
      </c>
      <c r="W189" s="2" t="s">
        <v>67</v>
      </c>
      <c r="X189" s="2" t="n">
        <v>1241</v>
      </c>
      <c r="Y189" s="2" t="n">
        <v>215</v>
      </c>
      <c r="Z189" s="2" t="n">
        <v>34</v>
      </c>
      <c r="AA189" s="2" t="n">
        <v>34</v>
      </c>
      <c r="AB189" s="2" t="s">
        <v>1943</v>
      </c>
      <c r="AC189" s="2"/>
      <c r="AD189" s="2" t="s">
        <v>1238</v>
      </c>
      <c r="AE189" s="2" t="s">
        <v>915</v>
      </c>
      <c r="AF189" s="2" t="s">
        <v>462</v>
      </c>
      <c r="AG189" s="2" t="s">
        <v>1765</v>
      </c>
      <c r="AH189" s="2" t="s">
        <v>535</v>
      </c>
      <c r="AI189" s="2" t="s">
        <v>1944</v>
      </c>
      <c r="AJ189" s="2" t="s">
        <v>1945</v>
      </c>
      <c r="AK189" s="2" t="s">
        <v>1242</v>
      </c>
      <c r="AL189" s="2" t="s">
        <v>1243</v>
      </c>
      <c r="AM189" s="2"/>
      <c r="AN189" s="2"/>
      <c r="AO189" s="2" t="n">
        <v>4</v>
      </c>
      <c r="AP189" s="2" t="s">
        <v>461</v>
      </c>
      <c r="AQ189" s="2" t="s">
        <v>1768</v>
      </c>
      <c r="AR189" s="2" t="s">
        <v>1769</v>
      </c>
    </row>
    <row r="190" customFormat="false" ht="46.25" hidden="false" customHeight="false" outlineLevel="0" collapsed="false">
      <c r="A190" s="2" t="n">
        <v>189</v>
      </c>
      <c r="B190" s="2" t="s">
        <v>1722</v>
      </c>
      <c r="C190" s="2" t="s">
        <v>686</v>
      </c>
      <c r="D190" s="2" t="s">
        <v>34</v>
      </c>
      <c r="E190" s="2" t="s">
        <v>1098</v>
      </c>
      <c r="F190" s="2" t="s">
        <v>1099</v>
      </c>
      <c r="G190" s="2" t="s">
        <v>873</v>
      </c>
      <c r="H190" s="2" t="s">
        <v>35</v>
      </c>
      <c r="I190" s="2" t="s">
        <v>1111</v>
      </c>
      <c r="J190" s="2" t="s">
        <v>912</v>
      </c>
      <c r="K190" s="2" t="s">
        <v>56</v>
      </c>
      <c r="L190" s="2" t="s">
        <v>1129</v>
      </c>
      <c r="M190" s="2" t="s">
        <v>56</v>
      </c>
      <c r="N190" s="2" t="s">
        <v>913</v>
      </c>
      <c r="O190" s="2" t="s">
        <v>538</v>
      </c>
      <c r="P190" s="2" t="s">
        <v>969</v>
      </c>
      <c r="Q190" s="2" t="s">
        <v>69</v>
      </c>
      <c r="R190" s="2" t="s">
        <v>116</v>
      </c>
      <c r="S190" s="2" t="n">
        <v>1</v>
      </c>
      <c r="T190" s="2" t="s">
        <v>61</v>
      </c>
      <c r="U190" s="2" t="s">
        <v>46</v>
      </c>
      <c r="V190" s="2" t="s">
        <v>230</v>
      </c>
      <c r="W190" s="2" t="s">
        <v>64</v>
      </c>
      <c r="X190" s="2" t="n">
        <v>1380</v>
      </c>
      <c r="Y190" s="2" t="n">
        <v>129</v>
      </c>
      <c r="Z190" s="2" t="n">
        <v>67</v>
      </c>
      <c r="AA190" s="2" t="n">
        <v>78</v>
      </c>
      <c r="AB190" s="2" t="s">
        <v>1946</v>
      </c>
      <c r="AC190" s="2"/>
      <c r="AD190" s="2" t="s">
        <v>1238</v>
      </c>
      <c r="AE190" s="2" t="s">
        <v>915</v>
      </c>
      <c r="AF190" s="2" t="s">
        <v>462</v>
      </c>
      <c r="AG190" s="2" t="s">
        <v>1765</v>
      </c>
      <c r="AH190" s="2" t="s">
        <v>537</v>
      </c>
      <c r="AI190" s="2" t="s">
        <v>1947</v>
      </c>
      <c r="AJ190" s="2" t="s">
        <v>1948</v>
      </c>
      <c r="AK190" s="2" t="s">
        <v>1242</v>
      </c>
      <c r="AL190" s="2" t="s">
        <v>1243</v>
      </c>
      <c r="AM190" s="2"/>
      <c r="AN190" s="2"/>
      <c r="AO190" s="2" t="n">
        <v>3</v>
      </c>
      <c r="AP190" s="2" t="s">
        <v>448</v>
      </c>
      <c r="AQ190" s="2" t="s">
        <v>1768</v>
      </c>
      <c r="AR190" s="2" t="s">
        <v>1769</v>
      </c>
    </row>
    <row r="191" customFormat="false" ht="46.25" hidden="false" customHeight="false" outlineLevel="0" collapsed="false">
      <c r="A191" s="2" t="n">
        <v>190</v>
      </c>
      <c r="B191" s="2" t="s">
        <v>1380</v>
      </c>
      <c r="C191" s="2" t="s">
        <v>686</v>
      </c>
      <c r="D191" s="2" t="s">
        <v>34</v>
      </c>
      <c r="E191" s="2" t="s">
        <v>1098</v>
      </c>
      <c r="F191" s="2" t="s">
        <v>1099</v>
      </c>
      <c r="G191" s="2" t="s">
        <v>873</v>
      </c>
      <c r="H191" s="2" t="s">
        <v>35</v>
      </c>
      <c r="I191" s="2" t="s">
        <v>1111</v>
      </c>
      <c r="J191" s="2" t="s">
        <v>912</v>
      </c>
      <c r="K191" s="2" t="s">
        <v>56</v>
      </c>
      <c r="L191" s="2" t="s">
        <v>1129</v>
      </c>
      <c r="M191" s="2" t="s">
        <v>56</v>
      </c>
      <c r="N191" s="2" t="s">
        <v>913</v>
      </c>
      <c r="O191" s="2" t="s">
        <v>285</v>
      </c>
      <c r="P191" s="2" t="s">
        <v>971</v>
      </c>
      <c r="Q191" s="2" t="s">
        <v>69</v>
      </c>
      <c r="R191" s="2" t="s">
        <v>124</v>
      </c>
      <c r="S191" s="2" t="n">
        <v>1</v>
      </c>
      <c r="T191" s="2" t="s">
        <v>61</v>
      </c>
      <c r="U191" s="2" t="s">
        <v>59</v>
      </c>
      <c r="V191" s="2" t="s">
        <v>211</v>
      </c>
      <c r="W191" s="2" t="s">
        <v>67</v>
      </c>
      <c r="X191" s="2" t="n">
        <v>1260</v>
      </c>
      <c r="Y191" s="2" t="n">
        <v>78</v>
      </c>
      <c r="Z191" s="2" t="n">
        <v>17</v>
      </c>
      <c r="AA191" s="2" t="n">
        <v>31</v>
      </c>
      <c r="AB191" s="2" t="s">
        <v>1949</v>
      </c>
      <c r="AC191" s="2"/>
      <c r="AD191" s="2" t="s">
        <v>1238</v>
      </c>
      <c r="AE191" s="2" t="s">
        <v>915</v>
      </c>
      <c r="AF191" s="2" t="s">
        <v>462</v>
      </c>
      <c r="AG191" s="2" t="s">
        <v>1765</v>
      </c>
      <c r="AH191" s="2" t="s">
        <v>539</v>
      </c>
      <c r="AI191" s="2" t="s">
        <v>1950</v>
      </c>
      <c r="AJ191" s="2" t="s">
        <v>1951</v>
      </c>
      <c r="AK191" s="2" t="s">
        <v>1242</v>
      </c>
      <c r="AL191" s="2" t="s">
        <v>1243</v>
      </c>
      <c r="AM191" s="2"/>
      <c r="AN191" s="2"/>
      <c r="AO191" s="2" t="n">
        <v>3</v>
      </c>
      <c r="AP191" s="2" t="s">
        <v>461</v>
      </c>
      <c r="AQ191" s="2" t="s">
        <v>1768</v>
      </c>
      <c r="AR191" s="2" t="s">
        <v>1769</v>
      </c>
    </row>
    <row r="192" customFormat="false" ht="46.25" hidden="false" customHeight="false" outlineLevel="0" collapsed="false">
      <c r="A192" s="2" t="n">
        <v>191</v>
      </c>
      <c r="B192" s="2" t="s">
        <v>1384</v>
      </c>
      <c r="C192" s="2" t="s">
        <v>686</v>
      </c>
      <c r="D192" s="2" t="s">
        <v>34</v>
      </c>
      <c r="E192" s="2" t="s">
        <v>1098</v>
      </c>
      <c r="F192" s="2" t="s">
        <v>1099</v>
      </c>
      <c r="G192" s="2" t="s">
        <v>873</v>
      </c>
      <c r="H192" s="2" t="s">
        <v>35</v>
      </c>
      <c r="I192" s="2" t="s">
        <v>1111</v>
      </c>
      <c r="J192" s="2" t="s">
        <v>912</v>
      </c>
      <c r="K192" s="2" t="s">
        <v>56</v>
      </c>
      <c r="L192" s="2" t="s">
        <v>1129</v>
      </c>
      <c r="M192" s="2" t="s">
        <v>56</v>
      </c>
      <c r="N192" s="2" t="s">
        <v>913</v>
      </c>
      <c r="O192" s="2" t="s">
        <v>287</v>
      </c>
      <c r="P192" s="2" t="s">
        <v>972</v>
      </c>
      <c r="Q192" s="2" t="s">
        <v>69</v>
      </c>
      <c r="R192" s="2" t="s">
        <v>115</v>
      </c>
      <c r="S192" s="2" t="n">
        <v>1</v>
      </c>
      <c r="T192" s="2" t="s">
        <v>61</v>
      </c>
      <c r="U192" s="2" t="s">
        <v>59</v>
      </c>
      <c r="V192" s="2" t="s">
        <v>211</v>
      </c>
      <c r="W192" s="2" t="s">
        <v>67</v>
      </c>
      <c r="X192" s="2" t="n">
        <v>1302</v>
      </c>
      <c r="Y192" s="2" t="n">
        <v>154</v>
      </c>
      <c r="Z192" s="2" t="n">
        <v>21</v>
      </c>
      <c r="AA192" s="2" t="n">
        <v>36</v>
      </c>
      <c r="AB192" s="2" t="s">
        <v>1952</v>
      </c>
      <c r="AC192" s="2"/>
      <c r="AD192" s="2" t="s">
        <v>1238</v>
      </c>
      <c r="AE192" s="2" t="s">
        <v>915</v>
      </c>
      <c r="AF192" s="2" t="s">
        <v>462</v>
      </c>
      <c r="AG192" s="2" t="s">
        <v>1765</v>
      </c>
      <c r="AH192" s="2" t="s">
        <v>540</v>
      </c>
      <c r="AI192" s="2" t="s">
        <v>1953</v>
      </c>
      <c r="AJ192" s="2" t="s">
        <v>1954</v>
      </c>
      <c r="AK192" s="2" t="s">
        <v>1242</v>
      </c>
      <c r="AL192" s="2" t="s">
        <v>1243</v>
      </c>
      <c r="AM192" s="2"/>
      <c r="AN192" s="2"/>
      <c r="AO192" s="2" t="n">
        <v>3</v>
      </c>
      <c r="AP192" s="2" t="s">
        <v>461</v>
      </c>
      <c r="AQ192" s="2" t="s">
        <v>1768</v>
      </c>
      <c r="AR192" s="2" t="s">
        <v>1769</v>
      </c>
    </row>
    <row r="193" customFormat="false" ht="46.25" hidden="false" customHeight="false" outlineLevel="0" collapsed="false">
      <c r="A193" s="2" t="n">
        <v>192</v>
      </c>
      <c r="B193" s="2" t="s">
        <v>1955</v>
      </c>
      <c r="C193" s="2" t="s">
        <v>686</v>
      </c>
      <c r="D193" s="2" t="s">
        <v>34</v>
      </c>
      <c r="E193" s="2" t="s">
        <v>1098</v>
      </c>
      <c r="F193" s="2" t="s">
        <v>1099</v>
      </c>
      <c r="G193" s="2" t="s">
        <v>873</v>
      </c>
      <c r="H193" s="2" t="s">
        <v>35</v>
      </c>
      <c r="I193" s="2" t="s">
        <v>1111</v>
      </c>
      <c r="J193" s="2" t="s">
        <v>912</v>
      </c>
      <c r="K193" s="2" t="s">
        <v>56</v>
      </c>
      <c r="L193" s="2" t="s">
        <v>1129</v>
      </c>
      <c r="M193" s="2" t="s">
        <v>56</v>
      </c>
      <c r="N193" s="2" t="s">
        <v>913</v>
      </c>
      <c r="O193" s="2" t="s">
        <v>542</v>
      </c>
      <c r="P193" s="2" t="s">
        <v>973</v>
      </c>
      <c r="Q193" s="2" t="s">
        <v>66</v>
      </c>
      <c r="R193" s="2" t="s">
        <v>114</v>
      </c>
      <c r="S193" s="2" t="n">
        <v>1</v>
      </c>
      <c r="T193" s="2" t="s">
        <v>61</v>
      </c>
      <c r="U193" s="2" t="s">
        <v>59</v>
      </c>
      <c r="V193" s="2" t="s">
        <v>211</v>
      </c>
      <c r="W193" s="2" t="s">
        <v>67</v>
      </c>
      <c r="X193" s="2" t="n">
        <v>1268</v>
      </c>
      <c r="Y193" s="2" t="n">
        <v>74</v>
      </c>
      <c r="Z193" s="2" t="n">
        <v>36</v>
      </c>
      <c r="AA193" s="2" t="n">
        <v>35</v>
      </c>
      <c r="AB193" s="2" t="s">
        <v>1956</v>
      </c>
      <c r="AC193" s="2"/>
      <c r="AD193" s="2" t="s">
        <v>1238</v>
      </c>
      <c r="AE193" s="2" t="s">
        <v>915</v>
      </c>
      <c r="AF193" s="2" t="s">
        <v>462</v>
      </c>
      <c r="AG193" s="2" t="s">
        <v>1765</v>
      </c>
      <c r="AH193" s="2" t="s">
        <v>541</v>
      </c>
      <c r="AI193" s="2" t="s">
        <v>1957</v>
      </c>
      <c r="AJ193" s="2" t="s">
        <v>1958</v>
      </c>
      <c r="AK193" s="2" t="s">
        <v>1242</v>
      </c>
      <c r="AL193" s="2" t="s">
        <v>1243</v>
      </c>
      <c r="AM193" s="2"/>
      <c r="AN193" s="2"/>
      <c r="AO193" s="2" t="n">
        <v>4</v>
      </c>
      <c r="AP193" s="2" t="s">
        <v>461</v>
      </c>
      <c r="AQ193" s="2" t="s">
        <v>1768</v>
      </c>
      <c r="AR193" s="2" t="s">
        <v>1769</v>
      </c>
    </row>
    <row r="194" customFormat="false" ht="46.25" hidden="false" customHeight="false" outlineLevel="0" collapsed="false">
      <c r="A194" s="2" t="n">
        <v>193</v>
      </c>
      <c r="B194" s="2" t="s">
        <v>1959</v>
      </c>
      <c r="C194" s="2" t="s">
        <v>686</v>
      </c>
      <c r="D194" s="2" t="s">
        <v>34</v>
      </c>
      <c r="E194" s="2" t="s">
        <v>1098</v>
      </c>
      <c r="F194" s="2" t="s">
        <v>1099</v>
      </c>
      <c r="G194" s="2" t="s">
        <v>873</v>
      </c>
      <c r="H194" s="2" t="s">
        <v>35</v>
      </c>
      <c r="I194" s="2" t="s">
        <v>1111</v>
      </c>
      <c r="J194" s="2" t="s">
        <v>912</v>
      </c>
      <c r="K194" s="2" t="s">
        <v>56</v>
      </c>
      <c r="L194" s="2" t="s">
        <v>1129</v>
      </c>
      <c r="M194" s="2" t="s">
        <v>56</v>
      </c>
      <c r="N194" s="2" t="s">
        <v>913</v>
      </c>
      <c r="O194" s="2" t="s">
        <v>544</v>
      </c>
      <c r="P194" s="2" t="s">
        <v>974</v>
      </c>
      <c r="Q194" s="2" t="s">
        <v>71</v>
      </c>
      <c r="R194" s="2" t="s">
        <v>108</v>
      </c>
      <c r="S194" s="2" t="n">
        <v>1</v>
      </c>
      <c r="T194" s="2" t="s">
        <v>61</v>
      </c>
      <c r="U194" s="2" t="s">
        <v>59</v>
      </c>
      <c r="V194" s="2" t="s">
        <v>211</v>
      </c>
      <c r="W194" s="2" t="s">
        <v>67</v>
      </c>
      <c r="X194" s="2" t="n">
        <v>1274</v>
      </c>
      <c r="Y194" s="2" t="n">
        <v>96</v>
      </c>
      <c r="Z194" s="2" t="n">
        <v>22</v>
      </c>
      <c r="AA194" s="2" t="n">
        <v>47</v>
      </c>
      <c r="AB194" s="2" t="s">
        <v>1960</v>
      </c>
      <c r="AC194" s="2"/>
      <c r="AD194" s="2" t="s">
        <v>1238</v>
      </c>
      <c r="AE194" s="2" t="s">
        <v>915</v>
      </c>
      <c r="AF194" s="2" t="s">
        <v>462</v>
      </c>
      <c r="AG194" s="2" t="s">
        <v>1765</v>
      </c>
      <c r="AH194" s="2" t="s">
        <v>543</v>
      </c>
      <c r="AI194" s="2" t="s">
        <v>1961</v>
      </c>
      <c r="AJ194" s="2" t="s">
        <v>1962</v>
      </c>
      <c r="AK194" s="2" t="s">
        <v>1242</v>
      </c>
      <c r="AL194" s="2" t="s">
        <v>1243</v>
      </c>
      <c r="AM194" s="2"/>
      <c r="AN194" s="2"/>
      <c r="AO194" s="2" t="n">
        <v>3</v>
      </c>
      <c r="AP194" s="2" t="s">
        <v>461</v>
      </c>
      <c r="AQ194" s="2" t="s">
        <v>1768</v>
      </c>
      <c r="AR194" s="2" t="s">
        <v>1769</v>
      </c>
    </row>
    <row r="195" customFormat="false" ht="46.25" hidden="false" customHeight="false" outlineLevel="0" collapsed="false">
      <c r="A195" s="2" t="n">
        <v>194</v>
      </c>
      <c r="B195" s="2" t="s">
        <v>1388</v>
      </c>
      <c r="C195" s="2" t="s">
        <v>686</v>
      </c>
      <c r="D195" s="2" t="s">
        <v>34</v>
      </c>
      <c r="E195" s="2" t="s">
        <v>1098</v>
      </c>
      <c r="F195" s="2" t="s">
        <v>1099</v>
      </c>
      <c r="G195" s="2" t="s">
        <v>873</v>
      </c>
      <c r="H195" s="2" t="s">
        <v>35</v>
      </c>
      <c r="I195" s="2" t="s">
        <v>1111</v>
      </c>
      <c r="J195" s="2" t="s">
        <v>912</v>
      </c>
      <c r="K195" s="2" t="s">
        <v>56</v>
      </c>
      <c r="L195" s="2" t="s">
        <v>1129</v>
      </c>
      <c r="M195" s="2" t="s">
        <v>56</v>
      </c>
      <c r="N195" s="2" t="s">
        <v>913</v>
      </c>
      <c r="O195" s="2" t="s">
        <v>289</v>
      </c>
      <c r="P195" s="2" t="s">
        <v>975</v>
      </c>
      <c r="Q195" s="2" t="s">
        <v>66</v>
      </c>
      <c r="R195" s="2" t="s">
        <v>1963</v>
      </c>
      <c r="S195" s="2" t="n">
        <v>2</v>
      </c>
      <c r="T195" s="2" t="s">
        <v>41</v>
      </c>
      <c r="U195" s="2" t="s">
        <v>59</v>
      </c>
      <c r="V195" s="2" t="s">
        <v>211</v>
      </c>
      <c r="W195" s="2" t="s">
        <v>64</v>
      </c>
      <c r="X195" s="2" t="n">
        <v>1346</v>
      </c>
      <c r="Y195" s="2" t="n">
        <v>111</v>
      </c>
      <c r="Z195" s="2" t="n">
        <v>69</v>
      </c>
      <c r="AA195" s="2" t="n">
        <v>28</v>
      </c>
      <c r="AB195" s="2" t="s">
        <v>1964</v>
      </c>
      <c r="AC195" s="2"/>
      <c r="AD195" s="2" t="s">
        <v>1238</v>
      </c>
      <c r="AE195" s="2" t="s">
        <v>915</v>
      </c>
      <c r="AF195" s="2" t="s">
        <v>462</v>
      </c>
      <c r="AG195" s="2" t="s">
        <v>1765</v>
      </c>
      <c r="AH195" s="2" t="s">
        <v>545</v>
      </c>
      <c r="AI195" s="2" t="s">
        <v>1965</v>
      </c>
      <c r="AJ195" s="2" t="s">
        <v>1966</v>
      </c>
      <c r="AK195" s="2" t="s">
        <v>1242</v>
      </c>
      <c r="AL195" s="2" t="s">
        <v>1243</v>
      </c>
      <c r="AM195" s="2"/>
      <c r="AN195" s="2"/>
      <c r="AO195" s="2" t="n">
        <v>1</v>
      </c>
      <c r="AP195" s="2" t="s">
        <v>461</v>
      </c>
      <c r="AQ195" s="2"/>
      <c r="AR195" s="2" t="s">
        <v>1769</v>
      </c>
    </row>
    <row r="196" customFormat="false" ht="46.25" hidden="false" customHeight="false" outlineLevel="0" collapsed="false">
      <c r="A196" s="2" t="n">
        <v>195</v>
      </c>
      <c r="B196" s="2" t="s">
        <v>1392</v>
      </c>
      <c r="C196" s="2" t="s">
        <v>686</v>
      </c>
      <c r="D196" s="2" t="s">
        <v>34</v>
      </c>
      <c r="E196" s="2" t="s">
        <v>1098</v>
      </c>
      <c r="F196" s="2" t="s">
        <v>1099</v>
      </c>
      <c r="G196" s="2" t="s">
        <v>873</v>
      </c>
      <c r="H196" s="2" t="s">
        <v>35</v>
      </c>
      <c r="I196" s="2" t="s">
        <v>1111</v>
      </c>
      <c r="J196" s="2" t="s">
        <v>912</v>
      </c>
      <c r="K196" s="2" t="s">
        <v>56</v>
      </c>
      <c r="L196" s="2" t="s">
        <v>1129</v>
      </c>
      <c r="M196" s="2" t="s">
        <v>56</v>
      </c>
      <c r="N196" s="2" t="s">
        <v>913</v>
      </c>
      <c r="O196" s="2" t="s">
        <v>291</v>
      </c>
      <c r="P196" s="2" t="s">
        <v>976</v>
      </c>
      <c r="Q196" s="2" t="s">
        <v>52</v>
      </c>
      <c r="R196" s="2" t="s">
        <v>90</v>
      </c>
      <c r="S196" s="2" t="n">
        <v>1</v>
      </c>
      <c r="T196" s="2" t="s">
        <v>61</v>
      </c>
      <c r="U196" s="2" t="s">
        <v>46</v>
      </c>
      <c r="V196" s="2" t="s">
        <v>230</v>
      </c>
      <c r="W196" s="2" t="s">
        <v>64</v>
      </c>
      <c r="X196" s="2" t="n">
        <v>1329</v>
      </c>
      <c r="Y196" s="2" t="n">
        <v>62</v>
      </c>
      <c r="Z196" s="2" t="n">
        <v>54</v>
      </c>
      <c r="AA196" s="2" t="n">
        <v>46</v>
      </c>
      <c r="AB196" s="2" t="s">
        <v>1967</v>
      </c>
      <c r="AC196" s="2"/>
      <c r="AD196" s="2" t="s">
        <v>1238</v>
      </c>
      <c r="AE196" s="2" t="s">
        <v>915</v>
      </c>
      <c r="AF196" s="2" t="s">
        <v>462</v>
      </c>
      <c r="AG196" s="2" t="s">
        <v>1765</v>
      </c>
      <c r="AH196" s="2" t="s">
        <v>546</v>
      </c>
      <c r="AI196" s="2" t="s">
        <v>1968</v>
      </c>
      <c r="AJ196" s="2" t="s">
        <v>1969</v>
      </c>
      <c r="AK196" s="2" t="s">
        <v>1242</v>
      </c>
      <c r="AL196" s="2" t="s">
        <v>1243</v>
      </c>
      <c r="AM196" s="2"/>
      <c r="AN196" s="2"/>
      <c r="AO196" s="2" t="n">
        <v>1</v>
      </c>
      <c r="AP196" s="2" t="s">
        <v>461</v>
      </c>
      <c r="AQ196" s="2" t="s">
        <v>1768</v>
      </c>
      <c r="AR196" s="2" t="s">
        <v>1769</v>
      </c>
    </row>
    <row r="197" customFormat="false" ht="46.25" hidden="false" customHeight="false" outlineLevel="0" collapsed="false">
      <c r="A197" s="2" t="n">
        <v>196</v>
      </c>
      <c r="B197" s="2" t="s">
        <v>1412</v>
      </c>
      <c r="C197" s="2" t="s">
        <v>686</v>
      </c>
      <c r="D197" s="2" t="s">
        <v>34</v>
      </c>
      <c r="E197" s="2" t="s">
        <v>1098</v>
      </c>
      <c r="F197" s="2" t="s">
        <v>1099</v>
      </c>
      <c r="G197" s="2" t="s">
        <v>873</v>
      </c>
      <c r="H197" s="2" t="s">
        <v>35</v>
      </c>
      <c r="I197" s="2" t="s">
        <v>1111</v>
      </c>
      <c r="J197" s="2" t="s">
        <v>912</v>
      </c>
      <c r="K197" s="2" t="s">
        <v>56</v>
      </c>
      <c r="L197" s="2" t="s">
        <v>1129</v>
      </c>
      <c r="M197" s="2" t="s">
        <v>56</v>
      </c>
      <c r="N197" s="2" t="s">
        <v>913</v>
      </c>
      <c r="O197" s="2" t="s">
        <v>301</v>
      </c>
      <c r="P197" s="2" t="s">
        <v>977</v>
      </c>
      <c r="Q197" s="2" t="s">
        <v>73</v>
      </c>
      <c r="R197" s="2" t="s">
        <v>131</v>
      </c>
      <c r="S197" s="2" t="n">
        <v>1</v>
      </c>
      <c r="T197" s="2" t="s">
        <v>61</v>
      </c>
      <c r="U197" s="2" t="s">
        <v>39</v>
      </c>
      <c r="V197" s="2" t="s">
        <v>215</v>
      </c>
      <c r="W197" s="2" t="s">
        <v>64</v>
      </c>
      <c r="X197" s="2" t="n">
        <v>1728</v>
      </c>
      <c r="Y197" s="2" t="n">
        <v>253</v>
      </c>
      <c r="Z197" s="2" t="n">
        <v>254</v>
      </c>
      <c r="AA197" s="2" t="n">
        <v>249</v>
      </c>
      <c r="AB197" s="2" t="s">
        <v>1970</v>
      </c>
      <c r="AC197" s="2"/>
      <c r="AD197" s="2" t="s">
        <v>1238</v>
      </c>
      <c r="AE197" s="2" t="s">
        <v>915</v>
      </c>
      <c r="AF197" s="2" t="s">
        <v>462</v>
      </c>
      <c r="AG197" s="2" t="s">
        <v>1765</v>
      </c>
      <c r="AH197" s="2" t="s">
        <v>547</v>
      </c>
      <c r="AI197" s="2" t="s">
        <v>1971</v>
      </c>
      <c r="AJ197" s="2" t="s">
        <v>1972</v>
      </c>
      <c r="AK197" s="2" t="s">
        <v>1242</v>
      </c>
      <c r="AL197" s="2" t="s">
        <v>1243</v>
      </c>
      <c r="AM197" s="2"/>
      <c r="AN197" s="2"/>
      <c r="AO197" s="2" t="n">
        <v>1</v>
      </c>
      <c r="AP197" s="2" t="s">
        <v>461</v>
      </c>
      <c r="AQ197" s="2" t="s">
        <v>1768</v>
      </c>
      <c r="AR197" s="2" t="s">
        <v>1769</v>
      </c>
    </row>
    <row r="198" customFormat="false" ht="46.25" hidden="false" customHeight="false" outlineLevel="0" collapsed="false">
      <c r="A198" s="2" t="n">
        <v>197</v>
      </c>
      <c r="B198" s="2" t="s">
        <v>1973</v>
      </c>
      <c r="C198" s="2" t="s">
        <v>686</v>
      </c>
      <c r="D198" s="2" t="s">
        <v>34</v>
      </c>
      <c r="E198" s="2" t="s">
        <v>1098</v>
      </c>
      <c r="F198" s="2" t="s">
        <v>1099</v>
      </c>
      <c r="G198" s="2" t="s">
        <v>873</v>
      </c>
      <c r="H198" s="2" t="s">
        <v>35</v>
      </c>
      <c r="I198" s="2" t="s">
        <v>1111</v>
      </c>
      <c r="J198" s="2" t="s">
        <v>912</v>
      </c>
      <c r="K198" s="2" t="s">
        <v>56</v>
      </c>
      <c r="L198" s="2" t="s">
        <v>1129</v>
      </c>
      <c r="M198" s="2" t="s">
        <v>56</v>
      </c>
      <c r="N198" s="2" t="s">
        <v>913</v>
      </c>
      <c r="O198" s="2" t="s">
        <v>549</v>
      </c>
      <c r="P198" s="2" t="s">
        <v>978</v>
      </c>
      <c r="Q198" s="2" t="s">
        <v>45</v>
      </c>
      <c r="R198" s="2" t="s">
        <v>72</v>
      </c>
      <c r="S198" s="2" t="n">
        <v>1</v>
      </c>
      <c r="T198" s="2" t="s">
        <v>61</v>
      </c>
      <c r="U198" s="2" t="s">
        <v>59</v>
      </c>
      <c r="V198" s="2" t="s">
        <v>211</v>
      </c>
      <c r="W198" s="2" t="s">
        <v>67</v>
      </c>
      <c r="X198" s="2" t="n">
        <v>1385</v>
      </c>
      <c r="Y198" s="2" t="n">
        <v>53</v>
      </c>
      <c r="Z198" s="2" t="n">
        <v>48</v>
      </c>
      <c r="AA198" s="2" t="n">
        <v>83</v>
      </c>
      <c r="AB198" s="2" t="s">
        <v>1974</v>
      </c>
      <c r="AC198" s="2"/>
      <c r="AD198" s="2" t="s">
        <v>1238</v>
      </c>
      <c r="AE198" s="2" t="s">
        <v>915</v>
      </c>
      <c r="AF198" s="2" t="s">
        <v>462</v>
      </c>
      <c r="AG198" s="2" t="s">
        <v>1765</v>
      </c>
      <c r="AH198" s="2" t="s">
        <v>548</v>
      </c>
      <c r="AI198" s="2" t="s">
        <v>1975</v>
      </c>
      <c r="AJ198" s="2" t="s">
        <v>1976</v>
      </c>
      <c r="AK198" s="2" t="s">
        <v>1242</v>
      </c>
      <c r="AL198" s="2" t="s">
        <v>1243</v>
      </c>
      <c r="AM198" s="2"/>
      <c r="AN198" s="2"/>
      <c r="AO198" s="2" t="n">
        <v>2</v>
      </c>
      <c r="AP198" s="2" t="s">
        <v>461</v>
      </c>
      <c r="AQ198" s="2" t="s">
        <v>1768</v>
      </c>
      <c r="AR198" s="2" t="s">
        <v>1769</v>
      </c>
    </row>
    <row r="199" customFormat="false" ht="46.25" hidden="false" customHeight="false" outlineLevel="0" collapsed="false">
      <c r="A199" s="2" t="n">
        <v>198</v>
      </c>
      <c r="B199" s="2" t="s">
        <v>1428</v>
      </c>
      <c r="C199" s="2" t="s">
        <v>686</v>
      </c>
      <c r="D199" s="2" t="s">
        <v>34</v>
      </c>
      <c r="E199" s="2" t="s">
        <v>1098</v>
      </c>
      <c r="F199" s="2" t="s">
        <v>1099</v>
      </c>
      <c r="G199" s="2" t="s">
        <v>873</v>
      </c>
      <c r="H199" s="2" t="s">
        <v>35</v>
      </c>
      <c r="I199" s="2" t="s">
        <v>1111</v>
      </c>
      <c r="J199" s="2" t="s">
        <v>912</v>
      </c>
      <c r="K199" s="2" t="s">
        <v>56</v>
      </c>
      <c r="L199" s="2" t="s">
        <v>1129</v>
      </c>
      <c r="M199" s="2" t="s">
        <v>56</v>
      </c>
      <c r="N199" s="2" t="s">
        <v>913</v>
      </c>
      <c r="O199" s="2" t="s">
        <v>309</v>
      </c>
      <c r="P199" s="2" t="s">
        <v>979</v>
      </c>
      <c r="Q199" s="2" t="s">
        <v>71</v>
      </c>
      <c r="R199" s="2" t="s">
        <v>122</v>
      </c>
      <c r="S199" s="2" t="n">
        <v>1</v>
      </c>
      <c r="T199" s="2" t="s">
        <v>61</v>
      </c>
      <c r="U199" s="2" t="s">
        <v>59</v>
      </c>
      <c r="V199" s="2" t="s">
        <v>211</v>
      </c>
      <c r="W199" s="2" t="s">
        <v>67</v>
      </c>
      <c r="X199" s="2" t="n">
        <v>1435</v>
      </c>
      <c r="Y199" s="2" t="n">
        <v>54</v>
      </c>
      <c r="Z199" s="2" t="n">
        <v>52</v>
      </c>
      <c r="AA199" s="2" t="n">
        <v>68</v>
      </c>
      <c r="AB199" s="2" t="s">
        <v>1977</v>
      </c>
      <c r="AC199" s="2"/>
      <c r="AD199" s="2" t="s">
        <v>1238</v>
      </c>
      <c r="AE199" s="2" t="s">
        <v>915</v>
      </c>
      <c r="AF199" s="2" t="s">
        <v>462</v>
      </c>
      <c r="AG199" s="2" t="s">
        <v>1765</v>
      </c>
      <c r="AH199" s="2" t="s">
        <v>550</v>
      </c>
      <c r="AI199" s="2" t="s">
        <v>1978</v>
      </c>
      <c r="AJ199" s="2" t="s">
        <v>1979</v>
      </c>
      <c r="AK199" s="2" t="s">
        <v>1242</v>
      </c>
      <c r="AL199" s="2" t="s">
        <v>1243</v>
      </c>
      <c r="AM199" s="2"/>
      <c r="AN199" s="2"/>
      <c r="AO199" s="2" t="n">
        <v>2</v>
      </c>
      <c r="AP199" s="2" t="s">
        <v>461</v>
      </c>
      <c r="AQ199" s="2" t="s">
        <v>1768</v>
      </c>
      <c r="AR199" s="2" t="s">
        <v>1769</v>
      </c>
    </row>
    <row r="200" customFormat="false" ht="46.25" hidden="false" customHeight="false" outlineLevel="0" collapsed="false">
      <c r="A200" s="2" t="n">
        <v>199</v>
      </c>
      <c r="B200" s="2" t="s">
        <v>1648</v>
      </c>
      <c r="C200" s="2" t="s">
        <v>686</v>
      </c>
      <c r="D200" s="2" t="s">
        <v>34</v>
      </c>
      <c r="E200" s="2" t="s">
        <v>1098</v>
      </c>
      <c r="F200" s="2" t="s">
        <v>1099</v>
      </c>
      <c r="G200" s="2" t="s">
        <v>873</v>
      </c>
      <c r="H200" s="2" t="s">
        <v>35</v>
      </c>
      <c r="I200" s="2" t="s">
        <v>1111</v>
      </c>
      <c r="J200" s="2" t="s">
        <v>912</v>
      </c>
      <c r="K200" s="2" t="s">
        <v>56</v>
      </c>
      <c r="L200" s="2" t="s">
        <v>1129</v>
      </c>
      <c r="M200" s="2" t="s">
        <v>56</v>
      </c>
      <c r="N200" s="2" t="s">
        <v>913</v>
      </c>
      <c r="O200" s="2" t="s">
        <v>410</v>
      </c>
      <c r="P200" s="2" t="s">
        <v>980</v>
      </c>
      <c r="Q200" s="2" t="s">
        <v>75</v>
      </c>
      <c r="R200" s="2" t="s">
        <v>143</v>
      </c>
      <c r="S200" s="2" t="n">
        <v>1</v>
      </c>
      <c r="T200" s="2" t="s">
        <v>61</v>
      </c>
      <c r="U200" s="2" t="s">
        <v>53</v>
      </c>
      <c r="V200" s="2" t="s">
        <v>233</v>
      </c>
      <c r="W200" s="2" t="s">
        <v>64</v>
      </c>
      <c r="X200" s="2" t="n">
        <v>1436</v>
      </c>
      <c r="Y200" s="2" t="n">
        <v>162</v>
      </c>
      <c r="Z200" s="2" t="n">
        <v>109</v>
      </c>
      <c r="AA200" s="2" t="n">
        <v>51</v>
      </c>
      <c r="AB200" s="2" t="s">
        <v>1980</v>
      </c>
      <c r="AC200" s="2"/>
      <c r="AD200" s="2" t="s">
        <v>1238</v>
      </c>
      <c r="AE200" s="2" t="s">
        <v>915</v>
      </c>
      <c r="AF200" s="2" t="s">
        <v>462</v>
      </c>
      <c r="AG200" s="2" t="s">
        <v>1765</v>
      </c>
      <c r="AH200" s="2" t="s">
        <v>551</v>
      </c>
      <c r="AI200" s="2" t="s">
        <v>1981</v>
      </c>
      <c r="AJ200" s="2" t="s">
        <v>1982</v>
      </c>
      <c r="AK200" s="2" t="s">
        <v>1242</v>
      </c>
      <c r="AL200" s="2" t="s">
        <v>1243</v>
      </c>
      <c r="AM200" s="2"/>
      <c r="AN200" s="2"/>
      <c r="AO200" s="2" t="n">
        <v>1</v>
      </c>
      <c r="AP200" s="2" t="s">
        <v>461</v>
      </c>
      <c r="AQ200" s="2" t="s">
        <v>1768</v>
      </c>
      <c r="AR200" s="2" t="s">
        <v>1769</v>
      </c>
    </row>
    <row r="201" customFormat="false" ht="46.25" hidden="false" customHeight="false" outlineLevel="0" collapsed="false">
      <c r="A201" s="2" t="n">
        <v>200</v>
      </c>
      <c r="B201" s="2" t="s">
        <v>1983</v>
      </c>
      <c r="C201" s="2" t="s">
        <v>686</v>
      </c>
      <c r="D201" s="2" t="s">
        <v>34</v>
      </c>
      <c r="E201" s="2" t="s">
        <v>1098</v>
      </c>
      <c r="F201" s="2" t="s">
        <v>1099</v>
      </c>
      <c r="G201" s="2" t="s">
        <v>873</v>
      </c>
      <c r="H201" s="2" t="s">
        <v>35</v>
      </c>
      <c r="I201" s="2" t="s">
        <v>1111</v>
      </c>
      <c r="J201" s="2" t="s">
        <v>912</v>
      </c>
      <c r="K201" s="2" t="s">
        <v>56</v>
      </c>
      <c r="L201" s="2" t="s">
        <v>1129</v>
      </c>
      <c r="M201" s="2" t="s">
        <v>56</v>
      </c>
      <c r="N201" s="2" t="s">
        <v>913</v>
      </c>
      <c r="O201" s="2" t="s">
        <v>433</v>
      </c>
      <c r="P201" s="2" t="s">
        <v>981</v>
      </c>
      <c r="Q201" s="2" t="s">
        <v>73</v>
      </c>
      <c r="R201" s="2" t="s">
        <v>131</v>
      </c>
      <c r="S201" s="2" t="n">
        <v>1</v>
      </c>
      <c r="T201" s="2" t="s">
        <v>61</v>
      </c>
      <c r="U201" s="2" t="s">
        <v>46</v>
      </c>
      <c r="V201" s="2" t="s">
        <v>230</v>
      </c>
      <c r="W201" s="2" t="s">
        <v>64</v>
      </c>
      <c r="X201" s="2"/>
      <c r="Y201" s="2"/>
      <c r="Z201" s="2"/>
      <c r="AA201" s="2"/>
      <c r="AB201" s="2"/>
      <c r="AC201" s="2" t="s">
        <v>1984</v>
      </c>
      <c r="AD201" s="2" t="s">
        <v>1985</v>
      </c>
      <c r="AE201" s="2" t="s">
        <v>915</v>
      </c>
      <c r="AF201" s="2" t="s">
        <v>462</v>
      </c>
      <c r="AG201" s="2" t="s">
        <v>1765</v>
      </c>
      <c r="AH201" s="2" t="s">
        <v>552</v>
      </c>
      <c r="AI201" s="2" t="s">
        <v>1986</v>
      </c>
      <c r="AJ201" s="2" t="s">
        <v>1987</v>
      </c>
      <c r="AK201" s="2" t="s">
        <v>1988</v>
      </c>
      <c r="AL201" s="2" t="s">
        <v>1989</v>
      </c>
      <c r="AM201" s="2" t="s">
        <v>1702</v>
      </c>
      <c r="AN201" s="2" t="s">
        <v>47</v>
      </c>
      <c r="AO201" s="2" t="n">
        <v>1</v>
      </c>
      <c r="AP201" s="2" t="s">
        <v>461</v>
      </c>
      <c r="AQ201" s="2" t="s">
        <v>1768</v>
      </c>
      <c r="AR201" s="2" t="s">
        <v>1769</v>
      </c>
    </row>
    <row r="202" customFormat="false" ht="46.25" hidden="false" customHeight="false" outlineLevel="0" collapsed="false">
      <c r="A202" s="2" t="n">
        <v>201</v>
      </c>
      <c r="B202" s="2" t="s">
        <v>1990</v>
      </c>
      <c r="C202" s="2" t="s">
        <v>686</v>
      </c>
      <c r="D202" s="2" t="s">
        <v>34</v>
      </c>
      <c r="E202" s="2" t="s">
        <v>1098</v>
      </c>
      <c r="F202" s="2" t="s">
        <v>1099</v>
      </c>
      <c r="G202" s="2" t="s">
        <v>873</v>
      </c>
      <c r="H202" s="2" t="s">
        <v>35</v>
      </c>
      <c r="I202" s="2" t="s">
        <v>1111</v>
      </c>
      <c r="J202" s="2" t="s">
        <v>912</v>
      </c>
      <c r="K202" s="2" t="s">
        <v>56</v>
      </c>
      <c r="L202" s="2" t="s">
        <v>1129</v>
      </c>
      <c r="M202" s="2" t="s">
        <v>56</v>
      </c>
      <c r="N202" s="2" t="s">
        <v>913</v>
      </c>
      <c r="O202" s="2" t="s">
        <v>301</v>
      </c>
      <c r="P202" s="2" t="s">
        <v>977</v>
      </c>
      <c r="Q202" s="2" t="s">
        <v>73</v>
      </c>
      <c r="R202" s="2" t="s">
        <v>131</v>
      </c>
      <c r="S202" s="2" t="n">
        <v>1</v>
      </c>
      <c r="T202" s="2" t="s">
        <v>61</v>
      </c>
      <c r="U202" s="2" t="s">
        <v>39</v>
      </c>
      <c r="V202" s="2" t="s">
        <v>215</v>
      </c>
      <c r="W202" s="2" t="s">
        <v>64</v>
      </c>
      <c r="X202" s="2"/>
      <c r="Y202" s="2"/>
      <c r="Z202" s="2"/>
      <c r="AA202" s="2"/>
      <c r="AB202" s="2"/>
      <c r="AC202" s="2" t="s">
        <v>1984</v>
      </c>
      <c r="AD202" s="2" t="s">
        <v>1985</v>
      </c>
      <c r="AE202" s="2" t="s">
        <v>915</v>
      </c>
      <c r="AF202" s="2" t="s">
        <v>462</v>
      </c>
      <c r="AG202" s="2" t="s">
        <v>1765</v>
      </c>
      <c r="AH202" s="2" t="s">
        <v>553</v>
      </c>
      <c r="AI202" s="2" t="s">
        <v>1991</v>
      </c>
      <c r="AJ202" s="2" t="s">
        <v>1992</v>
      </c>
      <c r="AK202" s="2" t="s">
        <v>1988</v>
      </c>
      <c r="AL202" s="2" t="s">
        <v>1989</v>
      </c>
      <c r="AM202" s="2" t="s">
        <v>1412</v>
      </c>
      <c r="AN202" s="2" t="s">
        <v>47</v>
      </c>
      <c r="AO202" s="2" t="n">
        <v>1</v>
      </c>
      <c r="AP202" s="2" t="s">
        <v>461</v>
      </c>
      <c r="AQ202" s="2" t="s">
        <v>1768</v>
      </c>
      <c r="AR202" s="2" t="s">
        <v>1769</v>
      </c>
    </row>
    <row r="203" customFormat="false" ht="46.25" hidden="false" customHeight="false" outlineLevel="0" collapsed="false">
      <c r="A203" s="2" t="n">
        <v>202</v>
      </c>
      <c r="B203" s="2" t="s">
        <v>1993</v>
      </c>
      <c r="C203" s="2" t="s">
        <v>686</v>
      </c>
      <c r="D203" s="2" t="s">
        <v>34</v>
      </c>
      <c r="E203" s="2" t="s">
        <v>1098</v>
      </c>
      <c r="F203" s="2" t="s">
        <v>1099</v>
      </c>
      <c r="G203" s="2" t="s">
        <v>873</v>
      </c>
      <c r="H203" s="2" t="s">
        <v>35</v>
      </c>
      <c r="I203" s="2" t="s">
        <v>1111</v>
      </c>
      <c r="J203" s="2" t="s">
        <v>912</v>
      </c>
      <c r="K203" s="2" t="s">
        <v>56</v>
      </c>
      <c r="L203" s="2" t="s">
        <v>1129</v>
      </c>
      <c r="M203" s="2" t="s">
        <v>56</v>
      </c>
      <c r="N203" s="2" t="s">
        <v>913</v>
      </c>
      <c r="O203" s="2" t="s">
        <v>555</v>
      </c>
      <c r="P203" s="2" t="s">
        <v>982</v>
      </c>
      <c r="Q203" s="2" t="s">
        <v>73</v>
      </c>
      <c r="R203" s="2" t="s">
        <v>448</v>
      </c>
      <c r="S203" s="2" t="n">
        <v>0</v>
      </c>
      <c r="T203" s="2" t="s">
        <v>48</v>
      </c>
      <c r="U203" s="2" t="s">
        <v>46</v>
      </c>
      <c r="V203" s="2" t="s">
        <v>230</v>
      </c>
      <c r="W203" s="2" t="s">
        <v>67</v>
      </c>
      <c r="X203" s="2"/>
      <c r="Y203" s="2"/>
      <c r="Z203" s="2"/>
      <c r="AA203" s="2"/>
      <c r="AB203" s="2"/>
      <c r="AC203" s="2" t="s">
        <v>1984</v>
      </c>
      <c r="AD203" s="2" t="s">
        <v>1985</v>
      </c>
      <c r="AE203" s="2" t="s">
        <v>915</v>
      </c>
      <c r="AF203" s="2" t="s">
        <v>462</v>
      </c>
      <c r="AG203" s="2" t="s">
        <v>1765</v>
      </c>
      <c r="AH203" s="2" t="s">
        <v>554</v>
      </c>
      <c r="AI203" s="2" t="s">
        <v>1994</v>
      </c>
      <c r="AJ203" s="2" t="s">
        <v>1995</v>
      </c>
      <c r="AK203" s="2" t="s">
        <v>1988</v>
      </c>
      <c r="AL203" s="2" t="s">
        <v>1989</v>
      </c>
      <c r="AM203" s="2" t="s">
        <v>1996</v>
      </c>
      <c r="AN203" s="2" t="s">
        <v>40</v>
      </c>
      <c r="AO203" s="2" t="n">
        <v>3</v>
      </c>
      <c r="AP203" s="2" t="s">
        <v>448</v>
      </c>
      <c r="AQ203" s="2"/>
      <c r="AR203" s="2" t="s">
        <v>1769</v>
      </c>
    </row>
    <row r="204" customFormat="false" ht="46.25" hidden="false" customHeight="false" outlineLevel="0" collapsed="false">
      <c r="A204" s="2" t="n">
        <v>203</v>
      </c>
      <c r="B204" s="2" t="s">
        <v>1997</v>
      </c>
      <c r="C204" s="2" t="s">
        <v>686</v>
      </c>
      <c r="D204" s="2" t="s">
        <v>34</v>
      </c>
      <c r="E204" s="2" t="s">
        <v>1098</v>
      </c>
      <c r="F204" s="2" t="s">
        <v>1099</v>
      </c>
      <c r="G204" s="2" t="s">
        <v>873</v>
      </c>
      <c r="H204" s="2" t="s">
        <v>35</v>
      </c>
      <c r="I204" s="2" t="s">
        <v>1111</v>
      </c>
      <c r="J204" s="2" t="s">
        <v>912</v>
      </c>
      <c r="K204" s="2" t="s">
        <v>56</v>
      </c>
      <c r="L204" s="2" t="s">
        <v>1129</v>
      </c>
      <c r="M204" s="2" t="s">
        <v>56</v>
      </c>
      <c r="N204" s="2" t="s">
        <v>913</v>
      </c>
      <c r="O204" s="2" t="s">
        <v>557</v>
      </c>
      <c r="P204" s="2" t="s">
        <v>983</v>
      </c>
      <c r="Q204" s="2" t="s">
        <v>63</v>
      </c>
      <c r="R204" s="2" t="s">
        <v>448</v>
      </c>
      <c r="S204" s="2" t="n">
        <v>0</v>
      </c>
      <c r="T204" s="2" t="s">
        <v>48</v>
      </c>
      <c r="U204" s="2" t="s">
        <v>46</v>
      </c>
      <c r="V204" s="2" t="s">
        <v>230</v>
      </c>
      <c r="W204" s="2" t="s">
        <v>67</v>
      </c>
      <c r="X204" s="2"/>
      <c r="Y204" s="2"/>
      <c r="Z204" s="2"/>
      <c r="AA204" s="2"/>
      <c r="AB204" s="2"/>
      <c r="AC204" s="2" t="s">
        <v>1984</v>
      </c>
      <c r="AD204" s="2" t="s">
        <v>1985</v>
      </c>
      <c r="AE204" s="2" t="s">
        <v>915</v>
      </c>
      <c r="AF204" s="2" t="s">
        <v>462</v>
      </c>
      <c r="AG204" s="2" t="s">
        <v>1765</v>
      </c>
      <c r="AH204" s="2" t="s">
        <v>556</v>
      </c>
      <c r="AI204" s="2" t="s">
        <v>1998</v>
      </c>
      <c r="AJ204" s="2" t="s">
        <v>1999</v>
      </c>
      <c r="AK204" s="2" t="s">
        <v>1988</v>
      </c>
      <c r="AL204" s="2" t="s">
        <v>1989</v>
      </c>
      <c r="AM204" s="2" t="s">
        <v>2000</v>
      </c>
      <c r="AN204" s="2" t="s">
        <v>40</v>
      </c>
      <c r="AO204" s="2" t="n">
        <v>3</v>
      </c>
      <c r="AP204" s="2" t="s">
        <v>448</v>
      </c>
      <c r="AQ204" s="2"/>
      <c r="AR204" s="2" t="s">
        <v>1769</v>
      </c>
    </row>
    <row r="205" customFormat="false" ht="46.25" hidden="false" customHeight="false" outlineLevel="0" collapsed="false">
      <c r="A205" s="2" t="n">
        <v>204</v>
      </c>
      <c r="B205" s="2" t="s">
        <v>2001</v>
      </c>
      <c r="C205" s="2" t="s">
        <v>686</v>
      </c>
      <c r="D205" s="2" t="s">
        <v>34</v>
      </c>
      <c r="E205" s="2" t="s">
        <v>1098</v>
      </c>
      <c r="F205" s="2" t="s">
        <v>1099</v>
      </c>
      <c r="G205" s="2" t="s">
        <v>873</v>
      </c>
      <c r="H205" s="2" t="s">
        <v>35</v>
      </c>
      <c r="I205" s="2" t="s">
        <v>1111</v>
      </c>
      <c r="J205" s="2" t="s">
        <v>912</v>
      </c>
      <c r="K205" s="2" t="s">
        <v>56</v>
      </c>
      <c r="L205" s="2" t="s">
        <v>1129</v>
      </c>
      <c r="M205" s="2" t="s">
        <v>56</v>
      </c>
      <c r="N205" s="2" t="s">
        <v>913</v>
      </c>
      <c r="O205" s="2" t="s">
        <v>559</v>
      </c>
      <c r="P205" s="2" t="s">
        <v>984</v>
      </c>
      <c r="Q205" s="2" t="s">
        <v>63</v>
      </c>
      <c r="R205" s="2" t="s">
        <v>448</v>
      </c>
      <c r="S205" s="2" t="n">
        <v>0</v>
      </c>
      <c r="T205" s="2" t="s">
        <v>48</v>
      </c>
      <c r="U205" s="2" t="s">
        <v>46</v>
      </c>
      <c r="V205" s="2" t="s">
        <v>230</v>
      </c>
      <c r="W205" s="2" t="s">
        <v>67</v>
      </c>
      <c r="X205" s="2"/>
      <c r="Y205" s="2"/>
      <c r="Z205" s="2"/>
      <c r="AA205" s="2"/>
      <c r="AB205" s="2"/>
      <c r="AC205" s="2" t="s">
        <v>1984</v>
      </c>
      <c r="AD205" s="2" t="s">
        <v>1985</v>
      </c>
      <c r="AE205" s="2" t="s">
        <v>915</v>
      </c>
      <c r="AF205" s="2" t="s">
        <v>462</v>
      </c>
      <c r="AG205" s="2" t="s">
        <v>1765</v>
      </c>
      <c r="AH205" s="2" t="s">
        <v>558</v>
      </c>
      <c r="AI205" s="2" t="s">
        <v>2002</v>
      </c>
      <c r="AJ205" s="2" t="s">
        <v>2003</v>
      </c>
      <c r="AK205" s="2" t="s">
        <v>1988</v>
      </c>
      <c r="AL205" s="2" t="s">
        <v>1989</v>
      </c>
      <c r="AM205" s="2" t="s">
        <v>2004</v>
      </c>
      <c r="AN205" s="2" t="s">
        <v>40</v>
      </c>
      <c r="AO205" s="2" t="n">
        <v>3</v>
      </c>
      <c r="AP205" s="2" t="s">
        <v>448</v>
      </c>
      <c r="AQ205" s="2"/>
      <c r="AR205" s="2" t="s">
        <v>1769</v>
      </c>
    </row>
    <row r="206" customFormat="false" ht="46.25" hidden="false" customHeight="false" outlineLevel="0" collapsed="false">
      <c r="A206" s="2" t="n">
        <v>205</v>
      </c>
      <c r="B206" s="2" t="s">
        <v>2005</v>
      </c>
      <c r="C206" s="2" t="s">
        <v>686</v>
      </c>
      <c r="D206" s="2" t="s">
        <v>34</v>
      </c>
      <c r="E206" s="2" t="s">
        <v>1098</v>
      </c>
      <c r="F206" s="2" t="s">
        <v>1099</v>
      </c>
      <c r="G206" s="2" t="s">
        <v>873</v>
      </c>
      <c r="H206" s="2" t="s">
        <v>35</v>
      </c>
      <c r="I206" s="2" t="s">
        <v>1111</v>
      </c>
      <c r="J206" s="2" t="s">
        <v>912</v>
      </c>
      <c r="K206" s="2" t="s">
        <v>56</v>
      </c>
      <c r="L206" s="2" t="s">
        <v>1129</v>
      </c>
      <c r="M206" s="2" t="s">
        <v>56</v>
      </c>
      <c r="N206" s="2" t="s">
        <v>913</v>
      </c>
      <c r="O206" s="2" t="s">
        <v>561</v>
      </c>
      <c r="P206" s="2" t="s">
        <v>985</v>
      </c>
      <c r="Q206" s="2" t="s">
        <v>75</v>
      </c>
      <c r="R206" s="2" t="s">
        <v>448</v>
      </c>
      <c r="S206" s="2" t="n">
        <v>0</v>
      </c>
      <c r="T206" s="2" t="s">
        <v>48</v>
      </c>
      <c r="U206" s="2" t="s">
        <v>46</v>
      </c>
      <c r="V206" s="2" t="s">
        <v>230</v>
      </c>
      <c r="W206" s="2" t="s">
        <v>67</v>
      </c>
      <c r="X206" s="2"/>
      <c r="Y206" s="2"/>
      <c r="Z206" s="2"/>
      <c r="AA206" s="2"/>
      <c r="AB206" s="2"/>
      <c r="AC206" s="2" t="s">
        <v>1984</v>
      </c>
      <c r="AD206" s="2" t="s">
        <v>1985</v>
      </c>
      <c r="AE206" s="2" t="s">
        <v>915</v>
      </c>
      <c r="AF206" s="2" t="s">
        <v>462</v>
      </c>
      <c r="AG206" s="2" t="s">
        <v>1765</v>
      </c>
      <c r="AH206" s="2" t="s">
        <v>560</v>
      </c>
      <c r="AI206" s="2" t="s">
        <v>2006</v>
      </c>
      <c r="AJ206" s="2" t="s">
        <v>2007</v>
      </c>
      <c r="AK206" s="2" t="s">
        <v>1988</v>
      </c>
      <c r="AL206" s="2" t="s">
        <v>1989</v>
      </c>
      <c r="AM206" s="2" t="s">
        <v>2008</v>
      </c>
      <c r="AN206" s="2" t="s">
        <v>40</v>
      </c>
      <c r="AO206" s="2" t="n">
        <v>3</v>
      </c>
      <c r="AP206" s="2" t="s">
        <v>448</v>
      </c>
      <c r="AQ206" s="2"/>
      <c r="AR206" s="2" t="s">
        <v>1769</v>
      </c>
    </row>
    <row r="207" customFormat="false" ht="46.25" hidden="false" customHeight="false" outlineLevel="0" collapsed="false">
      <c r="A207" s="2" t="n">
        <v>206</v>
      </c>
      <c r="B207" s="2" t="s">
        <v>2009</v>
      </c>
      <c r="C207" s="2" t="s">
        <v>686</v>
      </c>
      <c r="D207" s="2" t="s">
        <v>34</v>
      </c>
      <c r="E207" s="2" t="s">
        <v>1098</v>
      </c>
      <c r="F207" s="2" t="s">
        <v>1099</v>
      </c>
      <c r="G207" s="2" t="s">
        <v>873</v>
      </c>
      <c r="H207" s="2" t="s">
        <v>35</v>
      </c>
      <c r="I207" s="2" t="s">
        <v>1111</v>
      </c>
      <c r="J207" s="2" t="s">
        <v>912</v>
      </c>
      <c r="K207" s="2" t="s">
        <v>56</v>
      </c>
      <c r="L207" s="2" t="s">
        <v>1129</v>
      </c>
      <c r="M207" s="2" t="s">
        <v>56</v>
      </c>
      <c r="N207" s="2" t="s">
        <v>913</v>
      </c>
      <c r="O207" s="2" t="s">
        <v>563</v>
      </c>
      <c r="P207" s="2" t="s">
        <v>986</v>
      </c>
      <c r="Q207" s="2" t="s">
        <v>75</v>
      </c>
      <c r="R207" s="2" t="s">
        <v>448</v>
      </c>
      <c r="S207" s="2" t="n">
        <v>0</v>
      </c>
      <c r="T207" s="2" t="s">
        <v>48</v>
      </c>
      <c r="U207" s="2" t="s">
        <v>46</v>
      </c>
      <c r="V207" s="2" t="s">
        <v>230</v>
      </c>
      <c r="W207" s="2" t="s">
        <v>67</v>
      </c>
      <c r="X207" s="2"/>
      <c r="Y207" s="2"/>
      <c r="Z207" s="2"/>
      <c r="AA207" s="2"/>
      <c r="AB207" s="2"/>
      <c r="AC207" s="2" t="s">
        <v>1984</v>
      </c>
      <c r="AD207" s="2" t="s">
        <v>1985</v>
      </c>
      <c r="AE207" s="2" t="s">
        <v>915</v>
      </c>
      <c r="AF207" s="2" t="s">
        <v>462</v>
      </c>
      <c r="AG207" s="2" t="s">
        <v>1765</v>
      </c>
      <c r="AH207" s="2" t="s">
        <v>562</v>
      </c>
      <c r="AI207" s="2" t="s">
        <v>2010</v>
      </c>
      <c r="AJ207" s="2" t="s">
        <v>2011</v>
      </c>
      <c r="AK207" s="2" t="s">
        <v>1988</v>
      </c>
      <c r="AL207" s="2" t="s">
        <v>1989</v>
      </c>
      <c r="AM207" s="2" t="s">
        <v>2012</v>
      </c>
      <c r="AN207" s="2" t="s">
        <v>40</v>
      </c>
      <c r="AO207" s="2" t="n">
        <v>3</v>
      </c>
      <c r="AP207" s="2" t="s">
        <v>448</v>
      </c>
      <c r="AQ207" s="2"/>
      <c r="AR207" s="2" t="s">
        <v>1769</v>
      </c>
    </row>
    <row r="208" customFormat="false" ht="46.25" hidden="false" customHeight="false" outlineLevel="0" collapsed="false">
      <c r="A208" s="2" t="n">
        <v>207</v>
      </c>
      <c r="B208" s="2" t="s">
        <v>2013</v>
      </c>
      <c r="C208" s="2" t="s">
        <v>686</v>
      </c>
      <c r="D208" s="2" t="s">
        <v>34</v>
      </c>
      <c r="E208" s="2" t="s">
        <v>1098</v>
      </c>
      <c r="F208" s="2" t="s">
        <v>1099</v>
      </c>
      <c r="G208" s="2" t="s">
        <v>873</v>
      </c>
      <c r="H208" s="2" t="s">
        <v>35</v>
      </c>
      <c r="I208" s="2" t="s">
        <v>1111</v>
      </c>
      <c r="J208" s="2" t="s">
        <v>912</v>
      </c>
      <c r="K208" s="2" t="s">
        <v>56</v>
      </c>
      <c r="L208" s="2" t="s">
        <v>1129</v>
      </c>
      <c r="M208" s="2" t="s">
        <v>56</v>
      </c>
      <c r="N208" s="2" t="s">
        <v>913</v>
      </c>
      <c r="O208" s="2" t="s">
        <v>565</v>
      </c>
      <c r="P208" s="2" t="s">
        <v>987</v>
      </c>
      <c r="Q208" s="2" t="s">
        <v>75</v>
      </c>
      <c r="R208" s="2" t="s">
        <v>448</v>
      </c>
      <c r="S208" s="2" t="n">
        <v>0</v>
      </c>
      <c r="T208" s="2" t="s">
        <v>48</v>
      </c>
      <c r="U208" s="2" t="s">
        <v>46</v>
      </c>
      <c r="V208" s="2" t="s">
        <v>230</v>
      </c>
      <c r="W208" s="2" t="s">
        <v>67</v>
      </c>
      <c r="X208" s="2"/>
      <c r="Y208" s="2"/>
      <c r="Z208" s="2"/>
      <c r="AA208" s="2"/>
      <c r="AB208" s="2"/>
      <c r="AC208" s="2" t="s">
        <v>1984</v>
      </c>
      <c r="AD208" s="2" t="s">
        <v>1985</v>
      </c>
      <c r="AE208" s="2" t="s">
        <v>915</v>
      </c>
      <c r="AF208" s="2" t="s">
        <v>462</v>
      </c>
      <c r="AG208" s="2" t="s">
        <v>1765</v>
      </c>
      <c r="AH208" s="2" t="s">
        <v>564</v>
      </c>
      <c r="AI208" s="2" t="s">
        <v>2014</v>
      </c>
      <c r="AJ208" s="2" t="s">
        <v>2015</v>
      </c>
      <c r="AK208" s="2" t="s">
        <v>1988</v>
      </c>
      <c r="AL208" s="2" t="s">
        <v>1989</v>
      </c>
      <c r="AM208" s="2" t="s">
        <v>2016</v>
      </c>
      <c r="AN208" s="2" t="s">
        <v>40</v>
      </c>
      <c r="AO208" s="2" t="n">
        <v>3</v>
      </c>
      <c r="AP208" s="2" t="s">
        <v>448</v>
      </c>
      <c r="AQ208" s="2"/>
      <c r="AR208" s="2" t="s">
        <v>1769</v>
      </c>
    </row>
    <row r="209" customFormat="false" ht="46.25" hidden="false" customHeight="false" outlineLevel="0" collapsed="false">
      <c r="A209" s="2" t="n">
        <v>208</v>
      </c>
      <c r="B209" s="2" t="s">
        <v>2017</v>
      </c>
      <c r="C209" s="2" t="s">
        <v>686</v>
      </c>
      <c r="D209" s="2" t="s">
        <v>34</v>
      </c>
      <c r="E209" s="2" t="s">
        <v>1098</v>
      </c>
      <c r="F209" s="2" t="s">
        <v>1099</v>
      </c>
      <c r="G209" s="2" t="s">
        <v>873</v>
      </c>
      <c r="H209" s="2" t="s">
        <v>35</v>
      </c>
      <c r="I209" s="2" t="s">
        <v>1111</v>
      </c>
      <c r="J209" s="2" t="s">
        <v>912</v>
      </c>
      <c r="K209" s="2" t="s">
        <v>56</v>
      </c>
      <c r="L209" s="2" t="s">
        <v>1129</v>
      </c>
      <c r="M209" s="2" t="s">
        <v>56</v>
      </c>
      <c r="N209" s="2" t="s">
        <v>913</v>
      </c>
      <c r="O209" s="2" t="s">
        <v>271</v>
      </c>
      <c r="P209" s="2" t="s">
        <v>951</v>
      </c>
      <c r="Q209" s="2" t="s">
        <v>58</v>
      </c>
      <c r="R209" s="2" t="s">
        <v>1888</v>
      </c>
      <c r="S209" s="2" t="n">
        <v>3</v>
      </c>
      <c r="T209" s="2" t="s">
        <v>41</v>
      </c>
      <c r="U209" s="2" t="s">
        <v>59</v>
      </c>
      <c r="V209" s="2" t="s">
        <v>211</v>
      </c>
      <c r="W209" s="2" t="s">
        <v>67</v>
      </c>
      <c r="X209" s="2"/>
      <c r="Y209" s="2"/>
      <c r="Z209" s="2"/>
      <c r="AA209" s="2"/>
      <c r="AB209" s="2"/>
      <c r="AC209" s="2" t="s">
        <v>1984</v>
      </c>
      <c r="AD209" s="2" t="s">
        <v>1985</v>
      </c>
      <c r="AE209" s="2" t="s">
        <v>915</v>
      </c>
      <c r="AF209" s="2" t="s">
        <v>462</v>
      </c>
      <c r="AG209" s="2" t="s">
        <v>1765</v>
      </c>
      <c r="AH209" s="2" t="s">
        <v>566</v>
      </c>
      <c r="AI209" s="2" t="s">
        <v>2018</v>
      </c>
      <c r="AJ209" s="2" t="s">
        <v>2019</v>
      </c>
      <c r="AK209" s="2" t="s">
        <v>1988</v>
      </c>
      <c r="AL209" s="2" t="s">
        <v>1989</v>
      </c>
      <c r="AM209" s="2" t="s">
        <v>1352</v>
      </c>
      <c r="AN209" s="2" t="s">
        <v>40</v>
      </c>
      <c r="AO209" s="2" t="n">
        <v>2</v>
      </c>
      <c r="AP209" s="2" t="s">
        <v>448</v>
      </c>
      <c r="AQ209" s="2"/>
      <c r="AR209" s="2" t="s">
        <v>1769</v>
      </c>
    </row>
    <row r="210" customFormat="false" ht="46.25" hidden="false" customHeight="false" outlineLevel="0" collapsed="false">
      <c r="A210" s="2" t="n">
        <v>209</v>
      </c>
      <c r="B210" s="2" t="s">
        <v>2020</v>
      </c>
      <c r="C210" s="2" t="s">
        <v>686</v>
      </c>
      <c r="D210" s="2" t="s">
        <v>34</v>
      </c>
      <c r="E210" s="2" t="s">
        <v>1098</v>
      </c>
      <c r="F210" s="2" t="s">
        <v>1099</v>
      </c>
      <c r="G210" s="2" t="s">
        <v>873</v>
      </c>
      <c r="H210" s="2" t="s">
        <v>35</v>
      </c>
      <c r="I210" s="2" t="s">
        <v>1111</v>
      </c>
      <c r="J210" s="2" t="s">
        <v>912</v>
      </c>
      <c r="K210" s="2" t="s">
        <v>56</v>
      </c>
      <c r="L210" s="2" t="s">
        <v>1129</v>
      </c>
      <c r="M210" s="2" t="s">
        <v>56</v>
      </c>
      <c r="N210" s="2" t="s">
        <v>913</v>
      </c>
      <c r="O210" s="2" t="s">
        <v>251</v>
      </c>
      <c r="P210" s="2" t="s">
        <v>940</v>
      </c>
      <c r="Q210" s="2" t="s">
        <v>75</v>
      </c>
      <c r="R210" s="2" t="s">
        <v>134</v>
      </c>
      <c r="S210" s="2" t="n">
        <v>1</v>
      </c>
      <c r="T210" s="2" t="s">
        <v>61</v>
      </c>
      <c r="U210" s="2" t="s">
        <v>59</v>
      </c>
      <c r="V210" s="2" t="s">
        <v>211</v>
      </c>
      <c r="W210" s="2" t="s">
        <v>67</v>
      </c>
      <c r="X210" s="2"/>
      <c r="Y210" s="2"/>
      <c r="Z210" s="2"/>
      <c r="AA210" s="2"/>
      <c r="AB210" s="2"/>
      <c r="AC210" s="2" t="s">
        <v>1984</v>
      </c>
      <c r="AD210" s="2" t="s">
        <v>1985</v>
      </c>
      <c r="AE210" s="2" t="s">
        <v>915</v>
      </c>
      <c r="AF210" s="2" t="s">
        <v>462</v>
      </c>
      <c r="AG210" s="2" t="s">
        <v>1765</v>
      </c>
      <c r="AH210" s="2" t="s">
        <v>567</v>
      </c>
      <c r="AI210" s="2" t="s">
        <v>2021</v>
      </c>
      <c r="AJ210" s="2" t="s">
        <v>2022</v>
      </c>
      <c r="AK210" s="2" t="s">
        <v>1988</v>
      </c>
      <c r="AL210" s="2" t="s">
        <v>1989</v>
      </c>
      <c r="AM210" s="2" t="s">
        <v>1312</v>
      </c>
      <c r="AN210" s="2" t="s">
        <v>40</v>
      </c>
      <c r="AO210" s="2" t="n">
        <v>4</v>
      </c>
      <c r="AP210" s="2" t="s">
        <v>448</v>
      </c>
      <c r="AQ210" s="2" t="s">
        <v>1768</v>
      </c>
      <c r="AR210" s="2" t="s">
        <v>1769</v>
      </c>
    </row>
    <row r="211" customFormat="false" ht="46.25" hidden="false" customHeight="false" outlineLevel="0" collapsed="false">
      <c r="A211" s="2" t="n">
        <v>210</v>
      </c>
      <c r="B211" s="2" t="s">
        <v>2023</v>
      </c>
      <c r="C211" s="2" t="s">
        <v>686</v>
      </c>
      <c r="D211" s="2" t="s">
        <v>34</v>
      </c>
      <c r="E211" s="2" t="s">
        <v>1098</v>
      </c>
      <c r="F211" s="2" t="s">
        <v>1099</v>
      </c>
      <c r="G211" s="2" t="s">
        <v>873</v>
      </c>
      <c r="H211" s="2" t="s">
        <v>35</v>
      </c>
      <c r="I211" s="2" t="s">
        <v>1111</v>
      </c>
      <c r="J211" s="2" t="s">
        <v>912</v>
      </c>
      <c r="K211" s="2" t="s">
        <v>56</v>
      </c>
      <c r="L211" s="2" t="s">
        <v>1129</v>
      </c>
      <c r="M211" s="2" t="s">
        <v>56</v>
      </c>
      <c r="N211" s="2" t="s">
        <v>913</v>
      </c>
      <c r="O211" s="2" t="s">
        <v>413</v>
      </c>
      <c r="P211" s="2" t="s">
        <v>918</v>
      </c>
      <c r="Q211" s="2" t="s">
        <v>52</v>
      </c>
      <c r="R211" s="2" t="s">
        <v>1777</v>
      </c>
      <c r="S211" s="2" t="n">
        <v>3</v>
      </c>
      <c r="T211" s="2" t="s">
        <v>41</v>
      </c>
      <c r="U211" s="2" t="s">
        <v>39</v>
      </c>
      <c r="V211" s="2" t="s">
        <v>215</v>
      </c>
      <c r="W211" s="2" t="s">
        <v>64</v>
      </c>
      <c r="X211" s="2"/>
      <c r="Y211" s="2"/>
      <c r="Z211" s="2"/>
      <c r="AA211" s="2"/>
      <c r="AB211" s="2"/>
      <c r="AC211" s="2" t="s">
        <v>1984</v>
      </c>
      <c r="AD211" s="2" t="s">
        <v>1985</v>
      </c>
      <c r="AE211" s="2" t="s">
        <v>915</v>
      </c>
      <c r="AF211" s="2" t="s">
        <v>462</v>
      </c>
      <c r="AG211" s="2" t="s">
        <v>1765</v>
      </c>
      <c r="AH211" s="2" t="s">
        <v>568</v>
      </c>
      <c r="AI211" s="2" t="s">
        <v>2024</v>
      </c>
      <c r="AJ211" s="2" t="s">
        <v>2025</v>
      </c>
      <c r="AK211" s="2" t="s">
        <v>1988</v>
      </c>
      <c r="AL211" s="2" t="s">
        <v>1989</v>
      </c>
      <c r="AM211" s="2" t="s">
        <v>2026</v>
      </c>
      <c r="AN211" s="2" t="s">
        <v>47</v>
      </c>
      <c r="AO211" s="2" t="n">
        <v>1</v>
      </c>
      <c r="AP211" s="2" t="s">
        <v>461</v>
      </c>
      <c r="AQ211" s="2"/>
      <c r="AR211" s="2" t="s">
        <v>1769</v>
      </c>
    </row>
    <row r="212" customFormat="false" ht="46.25" hidden="false" customHeight="false" outlineLevel="0" collapsed="false">
      <c r="A212" s="2" t="n">
        <v>211</v>
      </c>
      <c r="B212" s="2" t="s">
        <v>2027</v>
      </c>
      <c r="C212" s="2" t="s">
        <v>686</v>
      </c>
      <c r="D212" s="2" t="s">
        <v>34</v>
      </c>
      <c r="E212" s="2" t="s">
        <v>1098</v>
      </c>
      <c r="F212" s="2" t="s">
        <v>1099</v>
      </c>
      <c r="G212" s="2" t="s">
        <v>873</v>
      </c>
      <c r="H212" s="2" t="s">
        <v>35</v>
      </c>
      <c r="I212" s="2" t="s">
        <v>1111</v>
      </c>
      <c r="J212" s="2" t="s">
        <v>912</v>
      </c>
      <c r="K212" s="2" t="s">
        <v>56</v>
      </c>
      <c r="L212" s="2" t="s">
        <v>1129</v>
      </c>
      <c r="M212" s="2" t="s">
        <v>56</v>
      </c>
      <c r="N212" s="2" t="s">
        <v>913</v>
      </c>
      <c r="O212" s="2" t="s">
        <v>570</v>
      </c>
      <c r="P212" s="2" t="s">
        <v>988</v>
      </c>
      <c r="Q212" s="2" t="s">
        <v>75</v>
      </c>
      <c r="R212" s="2" t="s">
        <v>2028</v>
      </c>
      <c r="S212" s="2" t="n">
        <v>2</v>
      </c>
      <c r="T212" s="2" t="s">
        <v>41</v>
      </c>
      <c r="U212" s="2" t="s">
        <v>39</v>
      </c>
      <c r="V212" s="2" t="s">
        <v>215</v>
      </c>
      <c r="W212" s="2" t="s">
        <v>64</v>
      </c>
      <c r="X212" s="2"/>
      <c r="Y212" s="2"/>
      <c r="Z212" s="2"/>
      <c r="AA212" s="2"/>
      <c r="AB212" s="2"/>
      <c r="AC212" s="2" t="s">
        <v>1984</v>
      </c>
      <c r="AD212" s="2" t="s">
        <v>1985</v>
      </c>
      <c r="AE212" s="2" t="s">
        <v>915</v>
      </c>
      <c r="AF212" s="2" t="s">
        <v>462</v>
      </c>
      <c r="AG212" s="2" t="s">
        <v>1765</v>
      </c>
      <c r="AH212" s="2" t="s">
        <v>569</v>
      </c>
      <c r="AI212" s="2" t="s">
        <v>2029</v>
      </c>
      <c r="AJ212" s="2" t="s">
        <v>2030</v>
      </c>
      <c r="AK212" s="2" t="s">
        <v>1988</v>
      </c>
      <c r="AL212" s="2" t="s">
        <v>1989</v>
      </c>
      <c r="AM212" s="2" t="s">
        <v>2031</v>
      </c>
      <c r="AN212" s="2" t="s">
        <v>47</v>
      </c>
      <c r="AO212" s="2" t="n">
        <v>2</v>
      </c>
      <c r="AP212" s="2" t="s">
        <v>448</v>
      </c>
      <c r="AQ212" s="2"/>
      <c r="AR212" s="2" t="s">
        <v>1769</v>
      </c>
    </row>
    <row r="213" customFormat="false" ht="46.25" hidden="false" customHeight="false" outlineLevel="0" collapsed="false">
      <c r="A213" s="2" t="n">
        <v>212</v>
      </c>
      <c r="B213" s="2" t="s">
        <v>2032</v>
      </c>
      <c r="C213" s="2" t="s">
        <v>686</v>
      </c>
      <c r="D213" s="2" t="s">
        <v>34</v>
      </c>
      <c r="E213" s="2" t="s">
        <v>1098</v>
      </c>
      <c r="F213" s="2" t="s">
        <v>1099</v>
      </c>
      <c r="G213" s="2" t="s">
        <v>873</v>
      </c>
      <c r="H213" s="2" t="s">
        <v>35</v>
      </c>
      <c r="I213" s="2" t="s">
        <v>1111</v>
      </c>
      <c r="J213" s="2" t="s">
        <v>912</v>
      </c>
      <c r="K213" s="2" t="s">
        <v>56</v>
      </c>
      <c r="L213" s="2" t="s">
        <v>1129</v>
      </c>
      <c r="M213" s="2" t="s">
        <v>56</v>
      </c>
      <c r="N213" s="2" t="s">
        <v>913</v>
      </c>
      <c r="O213" s="2" t="s">
        <v>267</v>
      </c>
      <c r="P213" s="2" t="s">
        <v>949</v>
      </c>
      <c r="Q213" s="2" t="s">
        <v>75</v>
      </c>
      <c r="R213" s="2" t="s">
        <v>88</v>
      </c>
      <c r="S213" s="2" t="n">
        <v>1</v>
      </c>
      <c r="T213" s="2" t="s">
        <v>61</v>
      </c>
      <c r="U213" s="2" t="s">
        <v>39</v>
      </c>
      <c r="V213" s="2" t="s">
        <v>215</v>
      </c>
      <c r="W213" s="2" t="s">
        <v>64</v>
      </c>
      <c r="X213" s="2"/>
      <c r="Y213" s="2"/>
      <c r="Z213" s="2"/>
      <c r="AA213" s="2"/>
      <c r="AB213" s="2"/>
      <c r="AC213" s="2" t="s">
        <v>1984</v>
      </c>
      <c r="AD213" s="2" t="s">
        <v>1985</v>
      </c>
      <c r="AE213" s="2" t="s">
        <v>915</v>
      </c>
      <c r="AF213" s="2" t="s">
        <v>462</v>
      </c>
      <c r="AG213" s="2" t="s">
        <v>1765</v>
      </c>
      <c r="AH213" s="2" t="s">
        <v>571</v>
      </c>
      <c r="AI213" s="2" t="s">
        <v>2033</v>
      </c>
      <c r="AJ213" s="2" t="s">
        <v>2034</v>
      </c>
      <c r="AK213" s="2" t="s">
        <v>1988</v>
      </c>
      <c r="AL213" s="2" t="s">
        <v>1989</v>
      </c>
      <c r="AM213" s="2" t="s">
        <v>1344</v>
      </c>
      <c r="AN213" s="2" t="s">
        <v>47</v>
      </c>
      <c r="AO213" s="2" t="n">
        <v>2</v>
      </c>
      <c r="AP213" s="2" t="s">
        <v>448</v>
      </c>
      <c r="AQ213" s="2" t="s">
        <v>1768</v>
      </c>
      <c r="AR213" s="2" t="s">
        <v>1769</v>
      </c>
    </row>
    <row r="214" customFormat="false" ht="46.25" hidden="false" customHeight="false" outlineLevel="0" collapsed="false">
      <c r="A214" s="2" t="n">
        <v>213</v>
      </c>
      <c r="B214" s="2" t="s">
        <v>2035</v>
      </c>
      <c r="C214" s="2" t="s">
        <v>686</v>
      </c>
      <c r="D214" s="2" t="s">
        <v>34</v>
      </c>
      <c r="E214" s="2" t="s">
        <v>1098</v>
      </c>
      <c r="F214" s="2" t="s">
        <v>1099</v>
      </c>
      <c r="G214" s="2" t="s">
        <v>873</v>
      </c>
      <c r="H214" s="2" t="s">
        <v>35</v>
      </c>
      <c r="I214" s="2" t="s">
        <v>1111</v>
      </c>
      <c r="J214" s="2" t="s">
        <v>912</v>
      </c>
      <c r="K214" s="2" t="s">
        <v>56</v>
      </c>
      <c r="L214" s="2" t="s">
        <v>1129</v>
      </c>
      <c r="M214" s="2" t="s">
        <v>56</v>
      </c>
      <c r="N214" s="2" t="s">
        <v>913</v>
      </c>
      <c r="O214" s="2" t="s">
        <v>410</v>
      </c>
      <c r="P214" s="2" t="s">
        <v>980</v>
      </c>
      <c r="Q214" s="2" t="s">
        <v>75</v>
      </c>
      <c r="R214" s="2" t="s">
        <v>143</v>
      </c>
      <c r="S214" s="2" t="n">
        <v>1</v>
      </c>
      <c r="T214" s="2" t="s">
        <v>61</v>
      </c>
      <c r="U214" s="2" t="s">
        <v>53</v>
      </c>
      <c r="V214" s="2" t="s">
        <v>233</v>
      </c>
      <c r="W214" s="2" t="s">
        <v>64</v>
      </c>
      <c r="X214" s="2"/>
      <c r="Y214" s="2"/>
      <c r="Z214" s="2"/>
      <c r="AA214" s="2"/>
      <c r="AB214" s="2"/>
      <c r="AC214" s="2" t="s">
        <v>1984</v>
      </c>
      <c r="AD214" s="2" t="s">
        <v>1985</v>
      </c>
      <c r="AE214" s="2" t="s">
        <v>915</v>
      </c>
      <c r="AF214" s="2" t="s">
        <v>462</v>
      </c>
      <c r="AG214" s="2" t="s">
        <v>1765</v>
      </c>
      <c r="AH214" s="2" t="s">
        <v>572</v>
      </c>
      <c r="AI214" s="2" t="s">
        <v>2036</v>
      </c>
      <c r="AJ214" s="2" t="s">
        <v>2037</v>
      </c>
      <c r="AK214" s="2" t="s">
        <v>1988</v>
      </c>
      <c r="AL214" s="2" t="s">
        <v>1989</v>
      </c>
      <c r="AM214" s="2" t="s">
        <v>1648</v>
      </c>
      <c r="AN214" s="2" t="s">
        <v>47</v>
      </c>
      <c r="AO214" s="2" t="n">
        <v>1</v>
      </c>
      <c r="AP214" s="2" t="s">
        <v>461</v>
      </c>
      <c r="AQ214" s="2" t="s">
        <v>1768</v>
      </c>
      <c r="AR214" s="2" t="s">
        <v>1769</v>
      </c>
    </row>
    <row r="215" customFormat="false" ht="46.25" hidden="false" customHeight="false" outlineLevel="0" collapsed="false">
      <c r="A215" s="2" t="n">
        <v>214</v>
      </c>
      <c r="B215" s="2" t="s">
        <v>2038</v>
      </c>
      <c r="C215" s="2" t="s">
        <v>686</v>
      </c>
      <c r="D215" s="2" t="s">
        <v>34</v>
      </c>
      <c r="E215" s="2" t="s">
        <v>1098</v>
      </c>
      <c r="F215" s="2" t="s">
        <v>1099</v>
      </c>
      <c r="G215" s="2" t="s">
        <v>873</v>
      </c>
      <c r="H215" s="2" t="s">
        <v>35</v>
      </c>
      <c r="I215" s="2" t="s">
        <v>1111</v>
      </c>
      <c r="J215" s="2" t="s">
        <v>912</v>
      </c>
      <c r="K215" s="2" t="s">
        <v>56</v>
      </c>
      <c r="L215" s="2" t="s">
        <v>1129</v>
      </c>
      <c r="M215" s="2" t="s">
        <v>56</v>
      </c>
      <c r="N215" s="2" t="s">
        <v>913</v>
      </c>
      <c r="O215" s="2" t="s">
        <v>574</v>
      </c>
      <c r="P215" s="2" t="s">
        <v>989</v>
      </c>
      <c r="Q215" s="2" t="s">
        <v>75</v>
      </c>
      <c r="R215" s="2" t="s">
        <v>142</v>
      </c>
      <c r="S215" s="2" t="n">
        <v>1</v>
      </c>
      <c r="T215" s="2" t="s">
        <v>61</v>
      </c>
      <c r="U215" s="2" t="s">
        <v>39</v>
      </c>
      <c r="V215" s="2" t="s">
        <v>215</v>
      </c>
      <c r="W215" s="2" t="s">
        <v>64</v>
      </c>
      <c r="X215" s="2"/>
      <c r="Y215" s="2"/>
      <c r="Z215" s="2"/>
      <c r="AA215" s="2"/>
      <c r="AB215" s="2"/>
      <c r="AC215" s="2" t="s">
        <v>1984</v>
      </c>
      <c r="AD215" s="2" t="s">
        <v>1985</v>
      </c>
      <c r="AE215" s="2" t="s">
        <v>915</v>
      </c>
      <c r="AF215" s="2" t="s">
        <v>462</v>
      </c>
      <c r="AG215" s="2" t="s">
        <v>1765</v>
      </c>
      <c r="AH215" s="2" t="s">
        <v>573</v>
      </c>
      <c r="AI215" s="2" t="s">
        <v>2039</v>
      </c>
      <c r="AJ215" s="2" t="s">
        <v>2040</v>
      </c>
      <c r="AK215" s="2" t="s">
        <v>1988</v>
      </c>
      <c r="AL215" s="2" t="s">
        <v>1989</v>
      </c>
      <c r="AM215" s="2" t="s">
        <v>2041</v>
      </c>
      <c r="AN215" s="2" t="s">
        <v>47</v>
      </c>
      <c r="AO215" s="2" t="n">
        <v>1</v>
      </c>
      <c r="AP215" s="2" t="s">
        <v>461</v>
      </c>
      <c r="AQ215" s="2" t="s">
        <v>1768</v>
      </c>
      <c r="AR215" s="2" t="s">
        <v>1769</v>
      </c>
    </row>
    <row r="216" customFormat="false" ht="46.25" hidden="false" customHeight="false" outlineLevel="0" collapsed="false">
      <c r="A216" s="2" t="n">
        <v>215</v>
      </c>
      <c r="B216" s="2" t="s">
        <v>2042</v>
      </c>
      <c r="C216" s="2" t="s">
        <v>686</v>
      </c>
      <c r="D216" s="2" t="s">
        <v>34</v>
      </c>
      <c r="E216" s="2" t="s">
        <v>1098</v>
      </c>
      <c r="F216" s="2" t="s">
        <v>1099</v>
      </c>
      <c r="G216" s="2" t="s">
        <v>873</v>
      </c>
      <c r="H216" s="2" t="s">
        <v>35</v>
      </c>
      <c r="I216" s="2" t="s">
        <v>1111</v>
      </c>
      <c r="J216" s="2" t="s">
        <v>912</v>
      </c>
      <c r="K216" s="2" t="s">
        <v>56</v>
      </c>
      <c r="L216" s="2" t="s">
        <v>1129</v>
      </c>
      <c r="M216" s="2" t="s">
        <v>56</v>
      </c>
      <c r="N216" s="2" t="s">
        <v>913</v>
      </c>
      <c r="O216" s="2" t="s">
        <v>249</v>
      </c>
      <c r="P216" s="2" t="s">
        <v>990</v>
      </c>
      <c r="Q216" s="2" t="s">
        <v>75</v>
      </c>
      <c r="R216" s="2" t="s">
        <v>142</v>
      </c>
      <c r="S216" s="2" t="n">
        <v>1</v>
      </c>
      <c r="T216" s="2" t="s">
        <v>61</v>
      </c>
      <c r="U216" s="2" t="s">
        <v>39</v>
      </c>
      <c r="V216" s="2" t="s">
        <v>215</v>
      </c>
      <c r="W216" s="2" t="s">
        <v>64</v>
      </c>
      <c r="X216" s="2"/>
      <c r="Y216" s="2"/>
      <c r="Z216" s="2"/>
      <c r="AA216" s="2"/>
      <c r="AB216" s="2"/>
      <c r="AC216" s="2" t="s">
        <v>1984</v>
      </c>
      <c r="AD216" s="2" t="s">
        <v>1985</v>
      </c>
      <c r="AE216" s="2" t="s">
        <v>915</v>
      </c>
      <c r="AF216" s="2" t="s">
        <v>462</v>
      </c>
      <c r="AG216" s="2" t="s">
        <v>1765</v>
      </c>
      <c r="AH216" s="2" t="s">
        <v>575</v>
      </c>
      <c r="AI216" s="2" t="s">
        <v>2043</v>
      </c>
      <c r="AJ216" s="2" t="s">
        <v>2044</v>
      </c>
      <c r="AK216" s="2" t="s">
        <v>1988</v>
      </c>
      <c r="AL216" s="2" t="s">
        <v>1989</v>
      </c>
      <c r="AM216" s="2" t="s">
        <v>1308</v>
      </c>
      <c r="AN216" s="2" t="s">
        <v>47</v>
      </c>
      <c r="AO216" s="2" t="n">
        <v>1</v>
      </c>
      <c r="AP216" s="2" t="s">
        <v>461</v>
      </c>
      <c r="AQ216" s="2" t="s">
        <v>1768</v>
      </c>
      <c r="AR216" s="2" t="s">
        <v>1769</v>
      </c>
    </row>
    <row r="217" customFormat="false" ht="46.25" hidden="false" customHeight="false" outlineLevel="0" collapsed="false">
      <c r="A217" s="2" t="n">
        <v>216</v>
      </c>
      <c r="B217" s="2" t="s">
        <v>2045</v>
      </c>
      <c r="C217" s="2" t="s">
        <v>686</v>
      </c>
      <c r="D217" s="2" t="s">
        <v>34</v>
      </c>
      <c r="E217" s="2" t="s">
        <v>1098</v>
      </c>
      <c r="F217" s="2" t="s">
        <v>1099</v>
      </c>
      <c r="G217" s="2" t="s">
        <v>873</v>
      </c>
      <c r="H217" s="2" t="s">
        <v>35</v>
      </c>
      <c r="I217" s="2" t="s">
        <v>1111</v>
      </c>
      <c r="J217" s="2" t="s">
        <v>912</v>
      </c>
      <c r="K217" s="2" t="s">
        <v>56</v>
      </c>
      <c r="L217" s="2" t="s">
        <v>1129</v>
      </c>
      <c r="M217" s="2" t="s">
        <v>56</v>
      </c>
      <c r="N217" s="2" t="s">
        <v>913</v>
      </c>
      <c r="O217" s="2" t="s">
        <v>577</v>
      </c>
      <c r="P217" s="2" t="s">
        <v>991</v>
      </c>
      <c r="Q217" s="2" t="s">
        <v>75</v>
      </c>
      <c r="R217" s="2" t="s">
        <v>2046</v>
      </c>
      <c r="S217" s="2" t="n">
        <v>2</v>
      </c>
      <c r="T217" s="2" t="s">
        <v>41</v>
      </c>
      <c r="U217" s="2" t="s">
        <v>59</v>
      </c>
      <c r="V217" s="2" t="s">
        <v>211</v>
      </c>
      <c r="W217" s="2" t="s">
        <v>67</v>
      </c>
      <c r="X217" s="2"/>
      <c r="Y217" s="2"/>
      <c r="Z217" s="2"/>
      <c r="AA217" s="2"/>
      <c r="AB217" s="2"/>
      <c r="AC217" s="2" t="s">
        <v>1984</v>
      </c>
      <c r="AD217" s="2" t="s">
        <v>1985</v>
      </c>
      <c r="AE217" s="2" t="s">
        <v>915</v>
      </c>
      <c r="AF217" s="2" t="s">
        <v>462</v>
      </c>
      <c r="AG217" s="2" t="s">
        <v>1765</v>
      </c>
      <c r="AH217" s="2" t="s">
        <v>576</v>
      </c>
      <c r="AI217" s="2" t="s">
        <v>2047</v>
      </c>
      <c r="AJ217" s="2" t="s">
        <v>2048</v>
      </c>
      <c r="AK217" s="2" t="s">
        <v>1988</v>
      </c>
      <c r="AL217" s="2" t="s">
        <v>1989</v>
      </c>
      <c r="AM217" s="2" t="s">
        <v>2049</v>
      </c>
      <c r="AN217" s="2" t="s">
        <v>40</v>
      </c>
      <c r="AO217" s="2" t="n">
        <v>4</v>
      </c>
      <c r="AP217" s="2" t="s">
        <v>461</v>
      </c>
      <c r="AQ217" s="2"/>
      <c r="AR217" s="2" t="s">
        <v>1769</v>
      </c>
    </row>
    <row r="218" customFormat="false" ht="46.25" hidden="false" customHeight="false" outlineLevel="0" collapsed="false">
      <c r="A218" s="2" t="n">
        <v>217</v>
      </c>
      <c r="B218" s="2" t="s">
        <v>2050</v>
      </c>
      <c r="C218" s="2" t="s">
        <v>686</v>
      </c>
      <c r="D218" s="2" t="s">
        <v>34</v>
      </c>
      <c r="E218" s="2" t="s">
        <v>1098</v>
      </c>
      <c r="F218" s="2" t="s">
        <v>1099</v>
      </c>
      <c r="G218" s="2" t="s">
        <v>873</v>
      </c>
      <c r="H218" s="2" t="s">
        <v>35</v>
      </c>
      <c r="I218" s="2" t="s">
        <v>1111</v>
      </c>
      <c r="J218" s="2" t="s">
        <v>912</v>
      </c>
      <c r="K218" s="2" t="s">
        <v>56</v>
      </c>
      <c r="L218" s="2" t="s">
        <v>1129</v>
      </c>
      <c r="M218" s="2" t="s">
        <v>56</v>
      </c>
      <c r="N218" s="2" t="s">
        <v>913</v>
      </c>
      <c r="O218" s="2" t="s">
        <v>289</v>
      </c>
      <c r="P218" s="2" t="s">
        <v>975</v>
      </c>
      <c r="Q218" s="2" t="s">
        <v>52</v>
      </c>
      <c r="R218" s="2" t="s">
        <v>1963</v>
      </c>
      <c r="S218" s="2" t="n">
        <v>2</v>
      </c>
      <c r="T218" s="2" t="s">
        <v>41</v>
      </c>
      <c r="U218" s="2" t="s">
        <v>59</v>
      </c>
      <c r="V218" s="2" t="s">
        <v>211</v>
      </c>
      <c r="W218" s="2" t="s">
        <v>64</v>
      </c>
      <c r="X218" s="2"/>
      <c r="Y218" s="2"/>
      <c r="Z218" s="2"/>
      <c r="AA218" s="2"/>
      <c r="AB218" s="2"/>
      <c r="AC218" s="2" t="s">
        <v>1984</v>
      </c>
      <c r="AD218" s="2" t="s">
        <v>1985</v>
      </c>
      <c r="AE218" s="2" t="s">
        <v>915</v>
      </c>
      <c r="AF218" s="2" t="s">
        <v>462</v>
      </c>
      <c r="AG218" s="2" t="s">
        <v>1765</v>
      </c>
      <c r="AH218" s="2" t="s">
        <v>578</v>
      </c>
      <c r="AI218" s="2" t="s">
        <v>2051</v>
      </c>
      <c r="AJ218" s="2" t="s">
        <v>2052</v>
      </c>
      <c r="AK218" s="2" t="s">
        <v>1988</v>
      </c>
      <c r="AL218" s="2" t="s">
        <v>1989</v>
      </c>
      <c r="AM218" s="2" t="s">
        <v>1388</v>
      </c>
      <c r="AN218" s="2" t="s">
        <v>47</v>
      </c>
      <c r="AO218" s="2" t="n">
        <v>1</v>
      </c>
      <c r="AP218" s="2" t="s">
        <v>461</v>
      </c>
      <c r="AQ218" s="2"/>
      <c r="AR218" s="2" t="s">
        <v>1769</v>
      </c>
    </row>
    <row r="219" customFormat="false" ht="46.25" hidden="false" customHeight="false" outlineLevel="0" collapsed="false">
      <c r="A219" s="2" t="n">
        <v>218</v>
      </c>
      <c r="B219" s="2" t="s">
        <v>2053</v>
      </c>
      <c r="C219" s="2" t="s">
        <v>686</v>
      </c>
      <c r="D219" s="2" t="s">
        <v>34</v>
      </c>
      <c r="E219" s="2" t="s">
        <v>1098</v>
      </c>
      <c r="F219" s="2" t="s">
        <v>1099</v>
      </c>
      <c r="G219" s="2" t="s">
        <v>873</v>
      </c>
      <c r="H219" s="2" t="s">
        <v>35</v>
      </c>
      <c r="I219" s="2" t="s">
        <v>1111</v>
      </c>
      <c r="J219" s="2" t="s">
        <v>912</v>
      </c>
      <c r="K219" s="2" t="s">
        <v>56</v>
      </c>
      <c r="L219" s="2" t="s">
        <v>1129</v>
      </c>
      <c r="M219" s="2" t="s">
        <v>56</v>
      </c>
      <c r="N219" s="2" t="s">
        <v>913</v>
      </c>
      <c r="O219" s="2" t="s">
        <v>219</v>
      </c>
      <c r="P219" s="2" t="s">
        <v>919</v>
      </c>
      <c r="Q219" s="2" t="s">
        <v>52</v>
      </c>
      <c r="R219" s="2" t="s">
        <v>104</v>
      </c>
      <c r="S219" s="2" t="n">
        <v>1</v>
      </c>
      <c r="T219" s="2" t="s">
        <v>61</v>
      </c>
      <c r="U219" s="2" t="s">
        <v>59</v>
      </c>
      <c r="V219" s="2" t="s">
        <v>211</v>
      </c>
      <c r="W219" s="2" t="s">
        <v>64</v>
      </c>
      <c r="X219" s="2"/>
      <c r="Y219" s="2"/>
      <c r="Z219" s="2"/>
      <c r="AA219" s="2"/>
      <c r="AB219" s="2"/>
      <c r="AC219" s="2" t="s">
        <v>1984</v>
      </c>
      <c r="AD219" s="2" t="s">
        <v>1985</v>
      </c>
      <c r="AE219" s="2" t="s">
        <v>915</v>
      </c>
      <c r="AF219" s="2" t="s">
        <v>462</v>
      </c>
      <c r="AG219" s="2" t="s">
        <v>1765</v>
      </c>
      <c r="AH219" s="2" t="s">
        <v>579</v>
      </c>
      <c r="AI219" s="2" t="s">
        <v>2054</v>
      </c>
      <c r="AJ219" s="2" t="s">
        <v>2055</v>
      </c>
      <c r="AK219" s="2" t="s">
        <v>1988</v>
      </c>
      <c r="AL219" s="2" t="s">
        <v>1989</v>
      </c>
      <c r="AM219" s="2" t="s">
        <v>2056</v>
      </c>
      <c r="AN219" s="2" t="s">
        <v>47</v>
      </c>
      <c r="AO219" s="2" t="n">
        <v>1</v>
      </c>
      <c r="AP219" s="2" t="s">
        <v>461</v>
      </c>
      <c r="AQ219" s="2" t="s">
        <v>1768</v>
      </c>
      <c r="AR219" s="2" t="s">
        <v>1769</v>
      </c>
    </row>
    <row r="220" customFormat="false" ht="46.25" hidden="false" customHeight="false" outlineLevel="0" collapsed="false">
      <c r="A220" s="2" t="n">
        <v>219</v>
      </c>
      <c r="B220" s="2" t="s">
        <v>2057</v>
      </c>
      <c r="C220" s="2" t="s">
        <v>686</v>
      </c>
      <c r="D220" s="2" t="s">
        <v>34</v>
      </c>
      <c r="E220" s="2" t="s">
        <v>1098</v>
      </c>
      <c r="F220" s="2" t="s">
        <v>1099</v>
      </c>
      <c r="G220" s="2" t="s">
        <v>873</v>
      </c>
      <c r="H220" s="2" t="s">
        <v>35</v>
      </c>
      <c r="I220" s="2" t="s">
        <v>1111</v>
      </c>
      <c r="J220" s="2" t="s">
        <v>912</v>
      </c>
      <c r="K220" s="2" t="s">
        <v>56</v>
      </c>
      <c r="L220" s="2" t="s">
        <v>1129</v>
      </c>
      <c r="M220" s="2" t="s">
        <v>56</v>
      </c>
      <c r="N220" s="2" t="s">
        <v>913</v>
      </c>
      <c r="O220" s="2" t="s">
        <v>581</v>
      </c>
      <c r="P220" s="2" t="s">
        <v>993</v>
      </c>
      <c r="Q220" s="2" t="s">
        <v>69</v>
      </c>
      <c r="R220" s="2" t="s">
        <v>116</v>
      </c>
      <c r="S220" s="2" t="n">
        <v>1</v>
      </c>
      <c r="T220" s="2" t="s">
        <v>61</v>
      </c>
      <c r="U220" s="2" t="s">
        <v>46</v>
      </c>
      <c r="V220" s="2" t="s">
        <v>230</v>
      </c>
      <c r="W220" s="2" t="s">
        <v>64</v>
      </c>
      <c r="X220" s="2"/>
      <c r="Y220" s="2"/>
      <c r="Z220" s="2"/>
      <c r="AA220" s="2"/>
      <c r="AB220" s="2"/>
      <c r="AC220" s="2" t="s">
        <v>1984</v>
      </c>
      <c r="AD220" s="2" t="s">
        <v>1985</v>
      </c>
      <c r="AE220" s="2" t="s">
        <v>915</v>
      </c>
      <c r="AF220" s="2" t="s">
        <v>462</v>
      </c>
      <c r="AG220" s="2" t="s">
        <v>1765</v>
      </c>
      <c r="AH220" s="2" t="s">
        <v>580</v>
      </c>
      <c r="AI220" s="2" t="s">
        <v>2058</v>
      </c>
      <c r="AJ220" s="2" t="s">
        <v>2059</v>
      </c>
      <c r="AK220" s="2" t="s">
        <v>1988</v>
      </c>
      <c r="AL220" s="2" t="s">
        <v>1989</v>
      </c>
      <c r="AM220" s="2" t="s">
        <v>1722</v>
      </c>
      <c r="AN220" s="2" t="s">
        <v>47</v>
      </c>
      <c r="AO220" s="2" t="n">
        <v>3</v>
      </c>
      <c r="AP220" s="2" t="s">
        <v>448</v>
      </c>
      <c r="AQ220" s="2" t="s">
        <v>1768</v>
      </c>
      <c r="AR220" s="2" t="s">
        <v>1769</v>
      </c>
    </row>
    <row r="221" customFormat="false" ht="46.25" hidden="false" customHeight="false" outlineLevel="0" collapsed="false">
      <c r="A221" s="2" t="n">
        <v>220</v>
      </c>
      <c r="B221" s="2" t="s">
        <v>2060</v>
      </c>
      <c r="C221" s="2" t="s">
        <v>686</v>
      </c>
      <c r="D221" s="2" t="s">
        <v>34</v>
      </c>
      <c r="E221" s="2" t="s">
        <v>1098</v>
      </c>
      <c r="F221" s="2" t="s">
        <v>1099</v>
      </c>
      <c r="G221" s="2" t="s">
        <v>873</v>
      </c>
      <c r="H221" s="2" t="s">
        <v>35</v>
      </c>
      <c r="I221" s="2" t="s">
        <v>1111</v>
      </c>
      <c r="J221" s="2" t="s">
        <v>912</v>
      </c>
      <c r="K221" s="2" t="s">
        <v>56</v>
      </c>
      <c r="L221" s="2" t="s">
        <v>1129</v>
      </c>
      <c r="M221" s="2" t="s">
        <v>56</v>
      </c>
      <c r="N221" s="2" t="s">
        <v>913</v>
      </c>
      <c r="O221" s="2" t="s">
        <v>285</v>
      </c>
      <c r="P221" s="2" t="s">
        <v>971</v>
      </c>
      <c r="Q221" s="2" t="s">
        <v>69</v>
      </c>
      <c r="R221" s="2" t="s">
        <v>124</v>
      </c>
      <c r="S221" s="2" t="n">
        <v>1</v>
      </c>
      <c r="T221" s="2" t="s">
        <v>61</v>
      </c>
      <c r="U221" s="2" t="s">
        <v>59</v>
      </c>
      <c r="V221" s="2" t="s">
        <v>211</v>
      </c>
      <c r="W221" s="2" t="s">
        <v>67</v>
      </c>
      <c r="X221" s="2"/>
      <c r="Y221" s="2"/>
      <c r="Z221" s="2"/>
      <c r="AA221" s="2"/>
      <c r="AB221" s="2"/>
      <c r="AC221" s="2" t="s">
        <v>1984</v>
      </c>
      <c r="AD221" s="2" t="s">
        <v>1985</v>
      </c>
      <c r="AE221" s="2" t="s">
        <v>915</v>
      </c>
      <c r="AF221" s="2" t="s">
        <v>462</v>
      </c>
      <c r="AG221" s="2" t="s">
        <v>1765</v>
      </c>
      <c r="AH221" s="2" t="s">
        <v>582</v>
      </c>
      <c r="AI221" s="2" t="s">
        <v>2061</v>
      </c>
      <c r="AJ221" s="2" t="s">
        <v>2062</v>
      </c>
      <c r="AK221" s="2" t="s">
        <v>1988</v>
      </c>
      <c r="AL221" s="2" t="s">
        <v>1989</v>
      </c>
      <c r="AM221" s="2" t="s">
        <v>1380</v>
      </c>
      <c r="AN221" s="2" t="s">
        <v>40</v>
      </c>
      <c r="AO221" s="2" t="n">
        <v>3</v>
      </c>
      <c r="AP221" s="2" t="s">
        <v>461</v>
      </c>
      <c r="AQ221" s="2" t="s">
        <v>1768</v>
      </c>
      <c r="AR221" s="2" t="s">
        <v>1769</v>
      </c>
    </row>
    <row r="222" customFormat="false" ht="46.25" hidden="false" customHeight="false" outlineLevel="0" collapsed="false">
      <c r="A222" s="2" t="n">
        <v>221</v>
      </c>
      <c r="B222" s="2" t="s">
        <v>2063</v>
      </c>
      <c r="C222" s="2" t="s">
        <v>686</v>
      </c>
      <c r="D222" s="2" t="s">
        <v>34</v>
      </c>
      <c r="E222" s="2" t="s">
        <v>1098</v>
      </c>
      <c r="F222" s="2" t="s">
        <v>1099</v>
      </c>
      <c r="G222" s="2" t="s">
        <v>873</v>
      </c>
      <c r="H222" s="2" t="s">
        <v>35</v>
      </c>
      <c r="I222" s="2" t="s">
        <v>1111</v>
      </c>
      <c r="J222" s="2" t="s">
        <v>912</v>
      </c>
      <c r="K222" s="2" t="s">
        <v>56</v>
      </c>
      <c r="L222" s="2" t="s">
        <v>1129</v>
      </c>
      <c r="M222" s="2" t="s">
        <v>56</v>
      </c>
      <c r="N222" s="2" t="s">
        <v>913</v>
      </c>
      <c r="O222" s="2" t="s">
        <v>372</v>
      </c>
      <c r="P222" s="2" t="s">
        <v>955</v>
      </c>
      <c r="Q222" s="2" t="s">
        <v>71</v>
      </c>
      <c r="R222" s="2" t="s">
        <v>127</v>
      </c>
      <c r="S222" s="2" t="n">
        <v>1</v>
      </c>
      <c r="T222" s="2" t="s">
        <v>61</v>
      </c>
      <c r="U222" s="2" t="s">
        <v>59</v>
      </c>
      <c r="V222" s="2" t="s">
        <v>211</v>
      </c>
      <c r="W222" s="2" t="s">
        <v>67</v>
      </c>
      <c r="X222" s="2"/>
      <c r="Y222" s="2"/>
      <c r="Z222" s="2"/>
      <c r="AA222" s="2"/>
      <c r="AB222" s="2"/>
      <c r="AC222" s="2" t="s">
        <v>1984</v>
      </c>
      <c r="AD222" s="2" t="s">
        <v>1985</v>
      </c>
      <c r="AE222" s="2" t="s">
        <v>915</v>
      </c>
      <c r="AF222" s="2" t="s">
        <v>462</v>
      </c>
      <c r="AG222" s="2" t="s">
        <v>1765</v>
      </c>
      <c r="AH222" s="2" t="s">
        <v>583</v>
      </c>
      <c r="AI222" s="2" t="s">
        <v>2064</v>
      </c>
      <c r="AJ222" s="2" t="s">
        <v>2065</v>
      </c>
      <c r="AK222" s="2" t="s">
        <v>1988</v>
      </c>
      <c r="AL222" s="2" t="s">
        <v>1989</v>
      </c>
      <c r="AM222" s="2" t="s">
        <v>1568</v>
      </c>
      <c r="AN222" s="2" t="s">
        <v>40</v>
      </c>
      <c r="AO222" s="2" t="n">
        <v>4</v>
      </c>
      <c r="AP222" s="2" t="s">
        <v>448</v>
      </c>
      <c r="AQ222" s="2" t="s">
        <v>1768</v>
      </c>
      <c r="AR222" s="2" t="s">
        <v>1769</v>
      </c>
    </row>
    <row r="223" customFormat="false" ht="46.25" hidden="false" customHeight="false" outlineLevel="0" collapsed="false">
      <c r="A223" s="2" t="n">
        <v>222</v>
      </c>
      <c r="B223" s="2" t="s">
        <v>2066</v>
      </c>
      <c r="C223" s="2" t="s">
        <v>686</v>
      </c>
      <c r="D223" s="2" t="s">
        <v>34</v>
      </c>
      <c r="E223" s="2" t="s">
        <v>1098</v>
      </c>
      <c r="F223" s="2" t="s">
        <v>1099</v>
      </c>
      <c r="G223" s="2" t="s">
        <v>873</v>
      </c>
      <c r="H223" s="2" t="s">
        <v>35</v>
      </c>
      <c r="I223" s="2" t="s">
        <v>1111</v>
      </c>
      <c r="J223" s="2" t="s">
        <v>912</v>
      </c>
      <c r="K223" s="2" t="s">
        <v>56</v>
      </c>
      <c r="L223" s="2" t="s">
        <v>1129</v>
      </c>
      <c r="M223" s="2" t="s">
        <v>56</v>
      </c>
      <c r="N223" s="2" t="s">
        <v>913</v>
      </c>
      <c r="O223" s="2" t="s">
        <v>494</v>
      </c>
      <c r="P223" s="2" t="s">
        <v>939</v>
      </c>
      <c r="Q223" s="2" t="s">
        <v>71</v>
      </c>
      <c r="R223" s="2" t="s">
        <v>126</v>
      </c>
      <c r="S223" s="2" t="n">
        <v>1</v>
      </c>
      <c r="T223" s="2" t="s">
        <v>61</v>
      </c>
      <c r="U223" s="2" t="s">
        <v>59</v>
      </c>
      <c r="V223" s="2" t="s">
        <v>211</v>
      </c>
      <c r="W223" s="2" t="s">
        <v>67</v>
      </c>
      <c r="X223" s="2"/>
      <c r="Y223" s="2"/>
      <c r="Z223" s="2"/>
      <c r="AA223" s="2"/>
      <c r="AB223" s="2"/>
      <c r="AC223" s="2" t="s">
        <v>1984</v>
      </c>
      <c r="AD223" s="2" t="s">
        <v>1985</v>
      </c>
      <c r="AE223" s="2" t="s">
        <v>915</v>
      </c>
      <c r="AF223" s="2" t="s">
        <v>462</v>
      </c>
      <c r="AG223" s="2" t="s">
        <v>1765</v>
      </c>
      <c r="AH223" s="2" t="s">
        <v>584</v>
      </c>
      <c r="AI223" s="2" t="s">
        <v>2067</v>
      </c>
      <c r="AJ223" s="2" t="s">
        <v>2068</v>
      </c>
      <c r="AK223" s="2" t="s">
        <v>1988</v>
      </c>
      <c r="AL223" s="2" t="s">
        <v>1989</v>
      </c>
      <c r="AM223" s="2" t="s">
        <v>1846</v>
      </c>
      <c r="AN223" s="2" t="s">
        <v>40</v>
      </c>
      <c r="AO223" s="2" t="n">
        <v>3</v>
      </c>
      <c r="AP223" s="2" t="s">
        <v>495</v>
      </c>
      <c r="AQ223" s="2" t="s">
        <v>1768</v>
      </c>
      <c r="AR223" s="2" t="s">
        <v>1769</v>
      </c>
    </row>
    <row r="224" customFormat="false" ht="46.25" hidden="false" customHeight="false" outlineLevel="0" collapsed="false">
      <c r="A224" s="2" t="n">
        <v>223</v>
      </c>
      <c r="B224" s="2" t="s">
        <v>2069</v>
      </c>
      <c r="C224" s="2" t="s">
        <v>686</v>
      </c>
      <c r="D224" s="2" t="s">
        <v>34</v>
      </c>
      <c r="E224" s="2" t="s">
        <v>1098</v>
      </c>
      <c r="F224" s="2" t="s">
        <v>1099</v>
      </c>
      <c r="G224" s="2" t="s">
        <v>873</v>
      </c>
      <c r="H224" s="2" t="s">
        <v>35</v>
      </c>
      <c r="I224" s="2" t="s">
        <v>1111</v>
      </c>
      <c r="J224" s="2" t="s">
        <v>912</v>
      </c>
      <c r="K224" s="2" t="s">
        <v>56</v>
      </c>
      <c r="L224" s="2" t="s">
        <v>1129</v>
      </c>
      <c r="M224" s="2" t="s">
        <v>56</v>
      </c>
      <c r="N224" s="2" t="s">
        <v>913</v>
      </c>
      <c r="O224" s="2" t="s">
        <v>309</v>
      </c>
      <c r="P224" s="2" t="s">
        <v>979</v>
      </c>
      <c r="Q224" s="2" t="s">
        <v>71</v>
      </c>
      <c r="R224" s="2" t="s">
        <v>122</v>
      </c>
      <c r="S224" s="2" t="n">
        <v>1</v>
      </c>
      <c r="T224" s="2" t="s">
        <v>61</v>
      </c>
      <c r="U224" s="2" t="s">
        <v>59</v>
      </c>
      <c r="V224" s="2" t="s">
        <v>211</v>
      </c>
      <c r="W224" s="2" t="s">
        <v>67</v>
      </c>
      <c r="X224" s="2"/>
      <c r="Y224" s="2"/>
      <c r="Z224" s="2"/>
      <c r="AA224" s="2"/>
      <c r="AB224" s="2"/>
      <c r="AC224" s="2" t="s">
        <v>1984</v>
      </c>
      <c r="AD224" s="2" t="s">
        <v>1985</v>
      </c>
      <c r="AE224" s="2" t="s">
        <v>915</v>
      </c>
      <c r="AF224" s="2" t="s">
        <v>462</v>
      </c>
      <c r="AG224" s="2" t="s">
        <v>1765</v>
      </c>
      <c r="AH224" s="2" t="s">
        <v>585</v>
      </c>
      <c r="AI224" s="2" t="s">
        <v>2070</v>
      </c>
      <c r="AJ224" s="2" t="s">
        <v>2071</v>
      </c>
      <c r="AK224" s="2" t="s">
        <v>1988</v>
      </c>
      <c r="AL224" s="2" t="s">
        <v>1989</v>
      </c>
      <c r="AM224" s="2" t="s">
        <v>1428</v>
      </c>
      <c r="AN224" s="2" t="s">
        <v>40</v>
      </c>
      <c r="AO224" s="2" t="n">
        <v>2</v>
      </c>
      <c r="AP224" s="2" t="s">
        <v>461</v>
      </c>
      <c r="AQ224" s="2" t="s">
        <v>1768</v>
      </c>
      <c r="AR224" s="2" t="s">
        <v>1769</v>
      </c>
    </row>
    <row r="225" customFormat="false" ht="46.25" hidden="false" customHeight="false" outlineLevel="0" collapsed="false">
      <c r="A225" s="2" t="n">
        <v>224</v>
      </c>
      <c r="B225" s="2" t="s">
        <v>2072</v>
      </c>
      <c r="C225" s="2" t="s">
        <v>686</v>
      </c>
      <c r="D225" s="2" t="s">
        <v>34</v>
      </c>
      <c r="E225" s="2" t="s">
        <v>1098</v>
      </c>
      <c r="F225" s="2" t="s">
        <v>1099</v>
      </c>
      <c r="G225" s="2" t="s">
        <v>873</v>
      </c>
      <c r="H225" s="2" t="s">
        <v>35</v>
      </c>
      <c r="I225" s="2" t="s">
        <v>1111</v>
      </c>
      <c r="J225" s="2" t="s">
        <v>912</v>
      </c>
      <c r="K225" s="2" t="s">
        <v>56</v>
      </c>
      <c r="L225" s="2" t="s">
        <v>1129</v>
      </c>
      <c r="M225" s="2" t="s">
        <v>56</v>
      </c>
      <c r="N225" s="2" t="s">
        <v>913</v>
      </c>
      <c r="O225" s="2" t="s">
        <v>257</v>
      </c>
      <c r="P225" s="2" t="s">
        <v>942</v>
      </c>
      <c r="Q225" s="2" t="s">
        <v>45</v>
      </c>
      <c r="R225" s="2" t="s">
        <v>77</v>
      </c>
      <c r="S225" s="2" t="n">
        <v>1</v>
      </c>
      <c r="T225" s="2" t="s">
        <v>61</v>
      </c>
      <c r="U225" s="2" t="s">
        <v>59</v>
      </c>
      <c r="V225" s="2" t="s">
        <v>211</v>
      </c>
      <c r="W225" s="2" t="s">
        <v>67</v>
      </c>
      <c r="X225" s="2"/>
      <c r="Y225" s="2"/>
      <c r="Z225" s="2"/>
      <c r="AA225" s="2"/>
      <c r="AB225" s="2"/>
      <c r="AC225" s="2" t="s">
        <v>1984</v>
      </c>
      <c r="AD225" s="2" t="s">
        <v>1985</v>
      </c>
      <c r="AE225" s="2" t="s">
        <v>915</v>
      </c>
      <c r="AF225" s="2" t="s">
        <v>462</v>
      </c>
      <c r="AG225" s="2" t="s">
        <v>1765</v>
      </c>
      <c r="AH225" s="2" t="s">
        <v>586</v>
      </c>
      <c r="AI225" s="2" t="s">
        <v>2073</v>
      </c>
      <c r="AJ225" s="2" t="s">
        <v>2074</v>
      </c>
      <c r="AK225" s="2" t="s">
        <v>1988</v>
      </c>
      <c r="AL225" s="2" t="s">
        <v>1989</v>
      </c>
      <c r="AM225" s="2" t="s">
        <v>1324</v>
      </c>
      <c r="AN225" s="2" t="s">
        <v>40</v>
      </c>
      <c r="AO225" s="2" t="n">
        <v>3</v>
      </c>
      <c r="AP225" s="2" t="s">
        <v>461</v>
      </c>
      <c r="AQ225" s="2" t="s">
        <v>1768</v>
      </c>
      <c r="AR225" s="2" t="s">
        <v>1769</v>
      </c>
    </row>
    <row r="226" customFormat="false" ht="46.25" hidden="false" customHeight="false" outlineLevel="0" collapsed="false">
      <c r="A226" s="2" t="n">
        <v>225</v>
      </c>
      <c r="B226" s="2" t="s">
        <v>2075</v>
      </c>
      <c r="C226" s="2" t="s">
        <v>686</v>
      </c>
      <c r="D226" s="2" t="s">
        <v>34</v>
      </c>
      <c r="E226" s="2" t="s">
        <v>1098</v>
      </c>
      <c r="F226" s="2" t="s">
        <v>1099</v>
      </c>
      <c r="G226" s="2" t="s">
        <v>873</v>
      </c>
      <c r="H226" s="2" t="s">
        <v>35</v>
      </c>
      <c r="I226" s="2" t="s">
        <v>1111</v>
      </c>
      <c r="J226" s="2" t="s">
        <v>912</v>
      </c>
      <c r="K226" s="2" t="s">
        <v>56</v>
      </c>
      <c r="L226" s="2" t="s">
        <v>1129</v>
      </c>
      <c r="M226" s="2" t="s">
        <v>56</v>
      </c>
      <c r="N226" s="2" t="s">
        <v>913</v>
      </c>
      <c r="O226" s="2" t="s">
        <v>549</v>
      </c>
      <c r="P226" s="2" t="s">
        <v>978</v>
      </c>
      <c r="Q226" s="2" t="s">
        <v>45</v>
      </c>
      <c r="R226" s="2" t="s">
        <v>72</v>
      </c>
      <c r="S226" s="2" t="n">
        <v>1</v>
      </c>
      <c r="T226" s="2" t="s">
        <v>61</v>
      </c>
      <c r="U226" s="2" t="s">
        <v>59</v>
      </c>
      <c r="V226" s="2" t="s">
        <v>211</v>
      </c>
      <c r="W226" s="2" t="s">
        <v>67</v>
      </c>
      <c r="X226" s="2"/>
      <c r="Y226" s="2"/>
      <c r="Z226" s="2"/>
      <c r="AA226" s="2"/>
      <c r="AB226" s="2"/>
      <c r="AC226" s="2" t="s">
        <v>1984</v>
      </c>
      <c r="AD226" s="2" t="s">
        <v>1985</v>
      </c>
      <c r="AE226" s="2" t="s">
        <v>915</v>
      </c>
      <c r="AF226" s="2" t="s">
        <v>462</v>
      </c>
      <c r="AG226" s="2" t="s">
        <v>1765</v>
      </c>
      <c r="AH226" s="2" t="s">
        <v>587</v>
      </c>
      <c r="AI226" s="2" t="s">
        <v>2076</v>
      </c>
      <c r="AJ226" s="2" t="s">
        <v>2077</v>
      </c>
      <c r="AK226" s="2" t="s">
        <v>1988</v>
      </c>
      <c r="AL226" s="2" t="s">
        <v>1989</v>
      </c>
      <c r="AM226" s="2" t="s">
        <v>1973</v>
      </c>
      <c r="AN226" s="2" t="s">
        <v>40</v>
      </c>
      <c r="AO226" s="2" t="n">
        <v>2</v>
      </c>
      <c r="AP226" s="2" t="s">
        <v>461</v>
      </c>
      <c r="AQ226" s="2" t="s">
        <v>1768</v>
      </c>
      <c r="AR226" s="2" t="s">
        <v>1769</v>
      </c>
    </row>
    <row r="227" customFormat="false" ht="46.25" hidden="false" customHeight="false" outlineLevel="0" collapsed="false">
      <c r="A227" s="2" t="n">
        <v>226</v>
      </c>
      <c r="B227" s="2" t="s">
        <v>2078</v>
      </c>
      <c r="C227" s="2" t="s">
        <v>686</v>
      </c>
      <c r="D227" s="2" t="s">
        <v>34</v>
      </c>
      <c r="E227" s="2" t="s">
        <v>1098</v>
      </c>
      <c r="F227" s="2" t="s">
        <v>1099</v>
      </c>
      <c r="G227" s="2" t="s">
        <v>873</v>
      </c>
      <c r="H227" s="2" t="s">
        <v>35</v>
      </c>
      <c r="I227" s="2" t="s">
        <v>1111</v>
      </c>
      <c r="J227" s="2" t="s">
        <v>912</v>
      </c>
      <c r="K227" s="2" t="s">
        <v>56</v>
      </c>
      <c r="L227" s="2" t="s">
        <v>1129</v>
      </c>
      <c r="M227" s="2" t="s">
        <v>56</v>
      </c>
      <c r="N227" s="2" t="s">
        <v>913</v>
      </c>
      <c r="O227" s="2" t="s">
        <v>235</v>
      </c>
      <c r="P227" s="2" t="s">
        <v>932</v>
      </c>
      <c r="Q227" s="2" t="s">
        <v>45</v>
      </c>
      <c r="R227" s="2" t="s">
        <v>78</v>
      </c>
      <c r="S227" s="2" t="n">
        <v>1</v>
      </c>
      <c r="T227" s="2" t="s">
        <v>61</v>
      </c>
      <c r="U227" s="2" t="s">
        <v>46</v>
      </c>
      <c r="V227" s="2" t="s">
        <v>230</v>
      </c>
      <c r="W227" s="2" t="s">
        <v>64</v>
      </c>
      <c r="X227" s="2"/>
      <c r="Y227" s="2"/>
      <c r="Z227" s="2"/>
      <c r="AA227" s="2"/>
      <c r="AB227" s="2"/>
      <c r="AC227" s="2" t="s">
        <v>1984</v>
      </c>
      <c r="AD227" s="2" t="s">
        <v>1985</v>
      </c>
      <c r="AE227" s="2" t="s">
        <v>915</v>
      </c>
      <c r="AF227" s="2" t="s">
        <v>462</v>
      </c>
      <c r="AG227" s="2" t="s">
        <v>1765</v>
      </c>
      <c r="AH227" s="2" t="s">
        <v>588</v>
      </c>
      <c r="AI227" s="2" t="s">
        <v>2079</v>
      </c>
      <c r="AJ227" s="2" t="s">
        <v>2080</v>
      </c>
      <c r="AK227" s="2" t="s">
        <v>1988</v>
      </c>
      <c r="AL227" s="2" t="s">
        <v>1989</v>
      </c>
      <c r="AM227" s="2" t="s">
        <v>1280</v>
      </c>
      <c r="AN227" s="2" t="s">
        <v>47</v>
      </c>
      <c r="AO227" s="2" t="n">
        <v>5</v>
      </c>
      <c r="AP227" s="2" t="s">
        <v>461</v>
      </c>
      <c r="AQ227" s="2" t="s">
        <v>1768</v>
      </c>
      <c r="AR227" s="2" t="s">
        <v>1769</v>
      </c>
    </row>
    <row r="228" customFormat="false" ht="46.25" hidden="false" customHeight="false" outlineLevel="0" collapsed="false">
      <c r="A228" s="2" t="n">
        <v>227</v>
      </c>
      <c r="B228" s="2" t="s">
        <v>2081</v>
      </c>
      <c r="C228" s="2" t="s">
        <v>686</v>
      </c>
      <c r="D228" s="2" t="s">
        <v>34</v>
      </c>
      <c r="E228" s="2" t="s">
        <v>1098</v>
      </c>
      <c r="F228" s="2" t="s">
        <v>1099</v>
      </c>
      <c r="G228" s="2" t="s">
        <v>873</v>
      </c>
      <c r="H228" s="2" t="s">
        <v>35</v>
      </c>
      <c r="I228" s="2" t="s">
        <v>1111</v>
      </c>
      <c r="J228" s="2" t="s">
        <v>912</v>
      </c>
      <c r="K228" s="2" t="s">
        <v>56</v>
      </c>
      <c r="L228" s="2" t="s">
        <v>1129</v>
      </c>
      <c r="M228" s="2" t="s">
        <v>56</v>
      </c>
      <c r="N228" s="2" t="s">
        <v>913</v>
      </c>
      <c r="O228" s="2" t="s">
        <v>232</v>
      </c>
      <c r="P228" s="2" t="s">
        <v>931</v>
      </c>
      <c r="Q228" s="2" t="s">
        <v>45</v>
      </c>
      <c r="R228" s="2" t="s">
        <v>70</v>
      </c>
      <c r="S228" s="2" t="n">
        <v>1</v>
      </c>
      <c r="T228" s="2" t="s">
        <v>61</v>
      </c>
      <c r="U228" s="2" t="s">
        <v>39</v>
      </c>
      <c r="V228" s="2" t="s">
        <v>215</v>
      </c>
      <c r="W228" s="2" t="s">
        <v>64</v>
      </c>
      <c r="X228" s="2"/>
      <c r="Y228" s="2"/>
      <c r="Z228" s="2"/>
      <c r="AA228" s="2"/>
      <c r="AB228" s="2"/>
      <c r="AC228" s="2" t="s">
        <v>1984</v>
      </c>
      <c r="AD228" s="2" t="s">
        <v>1985</v>
      </c>
      <c r="AE228" s="2" t="s">
        <v>915</v>
      </c>
      <c r="AF228" s="2" t="s">
        <v>462</v>
      </c>
      <c r="AG228" s="2" t="s">
        <v>1765</v>
      </c>
      <c r="AH228" s="2" t="s">
        <v>589</v>
      </c>
      <c r="AI228" s="2" t="s">
        <v>2082</v>
      </c>
      <c r="AJ228" s="2" t="s">
        <v>2083</v>
      </c>
      <c r="AK228" s="2" t="s">
        <v>1988</v>
      </c>
      <c r="AL228" s="2" t="s">
        <v>1989</v>
      </c>
      <c r="AM228" s="2" t="s">
        <v>1276</v>
      </c>
      <c r="AN228" s="2" t="s">
        <v>47</v>
      </c>
      <c r="AO228" s="2" t="n">
        <v>4</v>
      </c>
      <c r="AP228" s="2" t="s">
        <v>461</v>
      </c>
      <c r="AQ228" s="2" t="s">
        <v>1768</v>
      </c>
      <c r="AR228" s="2" t="s">
        <v>1769</v>
      </c>
    </row>
    <row r="229" customFormat="false" ht="46.25" hidden="false" customHeight="false" outlineLevel="0" collapsed="false">
      <c r="A229" s="2" t="n">
        <v>228</v>
      </c>
      <c r="B229" s="2" t="s">
        <v>2084</v>
      </c>
      <c r="C229" s="2" t="s">
        <v>686</v>
      </c>
      <c r="D229" s="2" t="s">
        <v>34</v>
      </c>
      <c r="E229" s="2" t="s">
        <v>1098</v>
      </c>
      <c r="F229" s="2" t="s">
        <v>1099</v>
      </c>
      <c r="G229" s="2" t="s">
        <v>873</v>
      </c>
      <c r="H229" s="2" t="s">
        <v>35</v>
      </c>
      <c r="I229" s="2" t="s">
        <v>1111</v>
      </c>
      <c r="J229" s="2" t="s">
        <v>912</v>
      </c>
      <c r="K229" s="2" t="s">
        <v>56</v>
      </c>
      <c r="L229" s="2" t="s">
        <v>1129</v>
      </c>
      <c r="M229" s="2" t="s">
        <v>56</v>
      </c>
      <c r="N229" s="2" t="s">
        <v>913</v>
      </c>
      <c r="O229" s="2" t="s">
        <v>522</v>
      </c>
      <c r="P229" s="2" t="s">
        <v>994</v>
      </c>
      <c r="Q229" s="2" t="s">
        <v>69</v>
      </c>
      <c r="R229" s="2" t="s">
        <v>57</v>
      </c>
      <c r="S229" s="2" t="n">
        <v>1</v>
      </c>
      <c r="T229" s="2" t="s">
        <v>61</v>
      </c>
      <c r="U229" s="2" t="s">
        <v>59</v>
      </c>
      <c r="V229" s="2" t="s">
        <v>211</v>
      </c>
      <c r="W229" s="2" t="s">
        <v>67</v>
      </c>
      <c r="X229" s="2"/>
      <c r="Y229" s="2"/>
      <c r="Z229" s="2"/>
      <c r="AA229" s="2"/>
      <c r="AB229" s="2"/>
      <c r="AC229" s="2" t="s">
        <v>1984</v>
      </c>
      <c r="AD229" s="2" t="s">
        <v>1985</v>
      </c>
      <c r="AE229" s="2" t="s">
        <v>915</v>
      </c>
      <c r="AF229" s="2" t="s">
        <v>462</v>
      </c>
      <c r="AG229" s="2" t="s">
        <v>1765</v>
      </c>
      <c r="AH229" s="2" t="s">
        <v>590</v>
      </c>
      <c r="AI229" s="2" t="s">
        <v>2085</v>
      </c>
      <c r="AJ229" s="2" t="s">
        <v>2086</v>
      </c>
      <c r="AK229" s="2" t="s">
        <v>1988</v>
      </c>
      <c r="AL229" s="2" t="s">
        <v>1989</v>
      </c>
      <c r="AM229" s="2" t="s">
        <v>1915</v>
      </c>
      <c r="AN229" s="2" t="s">
        <v>40</v>
      </c>
      <c r="AO229" s="2" t="n">
        <v>2</v>
      </c>
      <c r="AP229" s="2" t="s">
        <v>461</v>
      </c>
      <c r="AQ229" s="2" t="s">
        <v>1768</v>
      </c>
      <c r="AR229" s="2" t="s">
        <v>1769</v>
      </c>
    </row>
    <row r="230" customFormat="false" ht="46.25" hidden="false" customHeight="false" outlineLevel="0" collapsed="false">
      <c r="A230" s="2" t="n">
        <v>229</v>
      </c>
      <c r="B230" s="2" t="s">
        <v>2087</v>
      </c>
      <c r="C230" s="2" t="s">
        <v>686</v>
      </c>
      <c r="D230" s="2" t="s">
        <v>34</v>
      </c>
      <c r="E230" s="2" t="s">
        <v>1098</v>
      </c>
      <c r="F230" s="2" t="s">
        <v>1099</v>
      </c>
      <c r="G230" s="2" t="s">
        <v>873</v>
      </c>
      <c r="H230" s="2" t="s">
        <v>35</v>
      </c>
      <c r="I230" s="2" t="s">
        <v>1111</v>
      </c>
      <c r="J230" s="2" t="s">
        <v>912</v>
      </c>
      <c r="K230" s="2" t="s">
        <v>56</v>
      </c>
      <c r="L230" s="2" t="s">
        <v>1129</v>
      </c>
      <c r="M230" s="2" t="s">
        <v>56</v>
      </c>
      <c r="N230" s="2" t="s">
        <v>913</v>
      </c>
      <c r="O230" s="2" t="s">
        <v>524</v>
      </c>
      <c r="P230" s="2" t="s">
        <v>995</v>
      </c>
      <c r="Q230" s="2" t="s">
        <v>45</v>
      </c>
      <c r="R230" s="2" t="s">
        <v>62</v>
      </c>
      <c r="S230" s="2" t="n">
        <v>1</v>
      </c>
      <c r="T230" s="2" t="s">
        <v>61</v>
      </c>
      <c r="U230" s="2" t="s">
        <v>59</v>
      </c>
      <c r="V230" s="2" t="s">
        <v>211</v>
      </c>
      <c r="W230" s="2" t="s">
        <v>67</v>
      </c>
      <c r="X230" s="2"/>
      <c r="Y230" s="2"/>
      <c r="Z230" s="2"/>
      <c r="AA230" s="2"/>
      <c r="AB230" s="2"/>
      <c r="AC230" s="2" t="s">
        <v>1984</v>
      </c>
      <c r="AD230" s="2" t="s">
        <v>1985</v>
      </c>
      <c r="AE230" s="2" t="s">
        <v>915</v>
      </c>
      <c r="AF230" s="2" t="s">
        <v>462</v>
      </c>
      <c r="AG230" s="2" t="s">
        <v>1765</v>
      </c>
      <c r="AH230" s="2" t="s">
        <v>591</v>
      </c>
      <c r="AI230" s="2" t="s">
        <v>2088</v>
      </c>
      <c r="AJ230" s="2" t="s">
        <v>2089</v>
      </c>
      <c r="AK230" s="2" t="s">
        <v>1988</v>
      </c>
      <c r="AL230" s="2" t="s">
        <v>1989</v>
      </c>
      <c r="AM230" s="2" t="s">
        <v>1919</v>
      </c>
      <c r="AN230" s="2" t="s">
        <v>40</v>
      </c>
      <c r="AO230" s="2" t="n">
        <v>2</v>
      </c>
      <c r="AP230" s="2" t="s">
        <v>461</v>
      </c>
      <c r="AQ230" s="2" t="s">
        <v>1768</v>
      </c>
      <c r="AR230" s="2" t="s">
        <v>1769</v>
      </c>
    </row>
    <row r="231" customFormat="false" ht="46.25" hidden="false" customHeight="false" outlineLevel="0" collapsed="false">
      <c r="A231" s="2" t="n">
        <v>230</v>
      </c>
      <c r="B231" s="2" t="s">
        <v>2090</v>
      </c>
      <c r="C231" s="2" t="s">
        <v>686</v>
      </c>
      <c r="D231" s="2" t="s">
        <v>34</v>
      </c>
      <c r="E231" s="2" t="s">
        <v>1098</v>
      </c>
      <c r="F231" s="2" t="s">
        <v>1099</v>
      </c>
      <c r="G231" s="2" t="s">
        <v>873</v>
      </c>
      <c r="H231" s="2" t="s">
        <v>35</v>
      </c>
      <c r="I231" s="2" t="s">
        <v>1111</v>
      </c>
      <c r="J231" s="2" t="s">
        <v>912</v>
      </c>
      <c r="K231" s="2" t="s">
        <v>56</v>
      </c>
      <c r="L231" s="2" t="s">
        <v>1129</v>
      </c>
      <c r="M231" s="2" t="s">
        <v>56</v>
      </c>
      <c r="N231" s="2" t="s">
        <v>913</v>
      </c>
      <c r="O231" s="2" t="s">
        <v>229</v>
      </c>
      <c r="P231" s="2" t="s">
        <v>929</v>
      </c>
      <c r="Q231" s="2" t="s">
        <v>45</v>
      </c>
      <c r="R231" s="2" t="s">
        <v>74</v>
      </c>
      <c r="S231" s="2" t="n">
        <v>1</v>
      </c>
      <c r="T231" s="2" t="s">
        <v>61</v>
      </c>
      <c r="U231" s="2" t="s">
        <v>39</v>
      </c>
      <c r="V231" s="2" t="s">
        <v>215</v>
      </c>
      <c r="W231" s="2" t="s">
        <v>64</v>
      </c>
      <c r="X231" s="2"/>
      <c r="Y231" s="2"/>
      <c r="Z231" s="2"/>
      <c r="AA231" s="2"/>
      <c r="AB231" s="2"/>
      <c r="AC231" s="2" t="s">
        <v>1984</v>
      </c>
      <c r="AD231" s="2" t="s">
        <v>1985</v>
      </c>
      <c r="AE231" s="2" t="s">
        <v>915</v>
      </c>
      <c r="AF231" s="2" t="s">
        <v>462</v>
      </c>
      <c r="AG231" s="2" t="s">
        <v>1765</v>
      </c>
      <c r="AH231" s="2" t="s">
        <v>592</v>
      </c>
      <c r="AI231" s="2" t="s">
        <v>2091</v>
      </c>
      <c r="AJ231" s="2" t="s">
        <v>2092</v>
      </c>
      <c r="AK231" s="2" t="s">
        <v>1988</v>
      </c>
      <c r="AL231" s="2" t="s">
        <v>1989</v>
      </c>
      <c r="AM231" s="2" t="s">
        <v>1272</v>
      </c>
      <c r="AN231" s="2" t="s">
        <v>47</v>
      </c>
      <c r="AO231" s="2" t="n">
        <v>5</v>
      </c>
      <c r="AP231" s="2" t="s">
        <v>461</v>
      </c>
      <c r="AQ231" s="2" t="s">
        <v>1768</v>
      </c>
      <c r="AR231" s="2" t="s">
        <v>1769</v>
      </c>
    </row>
    <row r="232" customFormat="false" ht="46.25" hidden="false" customHeight="false" outlineLevel="0" collapsed="false">
      <c r="A232" s="2" t="n">
        <v>231</v>
      </c>
      <c r="B232" s="2" t="s">
        <v>2093</v>
      </c>
      <c r="C232" s="2" t="s">
        <v>686</v>
      </c>
      <c r="D232" s="2" t="s">
        <v>34</v>
      </c>
      <c r="E232" s="2" t="s">
        <v>1098</v>
      </c>
      <c r="F232" s="2" t="s">
        <v>1099</v>
      </c>
      <c r="G232" s="2" t="s">
        <v>873</v>
      </c>
      <c r="H232" s="2" t="s">
        <v>35</v>
      </c>
      <c r="I232" s="2" t="s">
        <v>1111</v>
      </c>
      <c r="J232" s="2" t="s">
        <v>912</v>
      </c>
      <c r="K232" s="2" t="s">
        <v>56</v>
      </c>
      <c r="L232" s="2" t="s">
        <v>1129</v>
      </c>
      <c r="M232" s="2" t="s">
        <v>56</v>
      </c>
      <c r="N232" s="2" t="s">
        <v>913</v>
      </c>
      <c r="O232" s="2" t="s">
        <v>481</v>
      </c>
      <c r="P232" s="2" t="s">
        <v>928</v>
      </c>
      <c r="Q232" s="2" t="s">
        <v>45</v>
      </c>
      <c r="R232" s="2" t="s">
        <v>76</v>
      </c>
      <c r="S232" s="2" t="n">
        <v>1</v>
      </c>
      <c r="T232" s="2" t="s">
        <v>61</v>
      </c>
      <c r="U232" s="2" t="s">
        <v>39</v>
      </c>
      <c r="V232" s="2" t="s">
        <v>215</v>
      </c>
      <c r="W232" s="2" t="s">
        <v>64</v>
      </c>
      <c r="X232" s="2"/>
      <c r="Y232" s="2"/>
      <c r="Z232" s="2"/>
      <c r="AA232" s="2"/>
      <c r="AB232" s="2"/>
      <c r="AC232" s="2" t="s">
        <v>1984</v>
      </c>
      <c r="AD232" s="2" t="s">
        <v>1985</v>
      </c>
      <c r="AE232" s="2" t="s">
        <v>915</v>
      </c>
      <c r="AF232" s="2" t="s">
        <v>462</v>
      </c>
      <c r="AG232" s="2" t="s">
        <v>1765</v>
      </c>
      <c r="AH232" s="2" t="s">
        <v>593</v>
      </c>
      <c r="AI232" s="2" t="s">
        <v>2094</v>
      </c>
      <c r="AJ232" s="2" t="s">
        <v>2095</v>
      </c>
      <c r="AK232" s="2" t="s">
        <v>1988</v>
      </c>
      <c r="AL232" s="2" t="s">
        <v>1989</v>
      </c>
      <c r="AM232" s="2" t="s">
        <v>1814</v>
      </c>
      <c r="AN232" s="2" t="s">
        <v>47</v>
      </c>
      <c r="AO232" s="2" t="n">
        <v>4</v>
      </c>
      <c r="AP232" s="2" t="s">
        <v>461</v>
      </c>
      <c r="AQ232" s="2" t="s">
        <v>1768</v>
      </c>
      <c r="AR232" s="2" t="s">
        <v>1769</v>
      </c>
    </row>
    <row r="233" customFormat="false" ht="46.25" hidden="false" customHeight="false" outlineLevel="0" collapsed="false">
      <c r="A233" s="2" t="n">
        <v>232</v>
      </c>
      <c r="B233" s="2" t="s">
        <v>2096</v>
      </c>
      <c r="C233" s="2" t="s">
        <v>686</v>
      </c>
      <c r="D233" s="2" t="s">
        <v>34</v>
      </c>
      <c r="E233" s="2" t="s">
        <v>1098</v>
      </c>
      <c r="F233" s="2" t="s">
        <v>1099</v>
      </c>
      <c r="G233" s="2" t="s">
        <v>873</v>
      </c>
      <c r="H233" s="2" t="s">
        <v>35</v>
      </c>
      <c r="I233" s="2" t="s">
        <v>1111</v>
      </c>
      <c r="J233" s="2" t="s">
        <v>912</v>
      </c>
      <c r="K233" s="2" t="s">
        <v>56</v>
      </c>
      <c r="L233" s="2" t="s">
        <v>1129</v>
      </c>
      <c r="M233" s="2" t="s">
        <v>56</v>
      </c>
      <c r="N233" s="2" t="s">
        <v>913</v>
      </c>
      <c r="O233" s="2" t="s">
        <v>359</v>
      </c>
      <c r="P233" s="2" t="s">
        <v>944</v>
      </c>
      <c r="Q233" s="2" t="s">
        <v>75</v>
      </c>
      <c r="R233" s="2" t="s">
        <v>140</v>
      </c>
      <c r="S233" s="2" t="n">
        <v>1</v>
      </c>
      <c r="T233" s="2" t="s">
        <v>61</v>
      </c>
      <c r="U233" s="2" t="s">
        <v>53</v>
      </c>
      <c r="V233" s="2" t="s">
        <v>233</v>
      </c>
      <c r="W233" s="2" t="s">
        <v>67</v>
      </c>
      <c r="X233" s="2"/>
      <c r="Y233" s="2"/>
      <c r="Z233" s="2"/>
      <c r="AA233" s="2"/>
      <c r="AB233" s="2"/>
      <c r="AC233" s="2" t="s">
        <v>1984</v>
      </c>
      <c r="AD233" s="2" t="s">
        <v>1985</v>
      </c>
      <c r="AE233" s="2" t="s">
        <v>915</v>
      </c>
      <c r="AF233" s="2" t="s">
        <v>462</v>
      </c>
      <c r="AG233" s="2" t="s">
        <v>1765</v>
      </c>
      <c r="AH233" s="2" t="s">
        <v>594</v>
      </c>
      <c r="AI233" s="2" t="s">
        <v>2097</v>
      </c>
      <c r="AJ233" s="2" t="s">
        <v>2098</v>
      </c>
      <c r="AK233" s="2" t="s">
        <v>1988</v>
      </c>
      <c r="AL233" s="2" t="s">
        <v>1989</v>
      </c>
      <c r="AM233" s="2" t="s">
        <v>1698</v>
      </c>
      <c r="AN233" s="2" t="s">
        <v>40</v>
      </c>
      <c r="AO233" s="2" t="n">
        <v>2</v>
      </c>
      <c r="AP233" s="2" t="s">
        <v>495</v>
      </c>
      <c r="AQ233" s="2" t="s">
        <v>1768</v>
      </c>
      <c r="AR233" s="2" t="s">
        <v>1769</v>
      </c>
    </row>
    <row r="234" customFormat="false" ht="46.25" hidden="false" customHeight="false" outlineLevel="0" collapsed="false">
      <c r="A234" s="2" t="n">
        <v>233</v>
      </c>
      <c r="B234" s="2" t="s">
        <v>2099</v>
      </c>
      <c r="C234" s="2" t="s">
        <v>686</v>
      </c>
      <c r="D234" s="2" t="s">
        <v>34</v>
      </c>
      <c r="E234" s="2" t="s">
        <v>1098</v>
      </c>
      <c r="F234" s="2" t="s">
        <v>1099</v>
      </c>
      <c r="G234" s="2" t="s">
        <v>873</v>
      </c>
      <c r="H234" s="2" t="s">
        <v>35</v>
      </c>
      <c r="I234" s="2" t="s">
        <v>1111</v>
      </c>
      <c r="J234" s="2" t="s">
        <v>912</v>
      </c>
      <c r="K234" s="2" t="s">
        <v>56</v>
      </c>
      <c r="L234" s="2" t="s">
        <v>1129</v>
      </c>
      <c r="M234" s="2" t="s">
        <v>56</v>
      </c>
      <c r="N234" s="2" t="s">
        <v>913</v>
      </c>
      <c r="O234" s="2" t="s">
        <v>221</v>
      </c>
      <c r="P234" s="2" t="s">
        <v>921</v>
      </c>
      <c r="Q234" s="2" t="s">
        <v>75</v>
      </c>
      <c r="R234" s="2" t="s">
        <v>141</v>
      </c>
      <c r="S234" s="2" t="n">
        <v>1</v>
      </c>
      <c r="T234" s="2" t="s">
        <v>61</v>
      </c>
      <c r="U234" s="2" t="s">
        <v>39</v>
      </c>
      <c r="V234" s="2" t="s">
        <v>215</v>
      </c>
      <c r="W234" s="2" t="s">
        <v>67</v>
      </c>
      <c r="X234" s="2"/>
      <c r="Y234" s="2"/>
      <c r="Z234" s="2"/>
      <c r="AA234" s="2"/>
      <c r="AB234" s="2"/>
      <c r="AC234" s="2" t="s">
        <v>1984</v>
      </c>
      <c r="AD234" s="2" t="s">
        <v>1985</v>
      </c>
      <c r="AE234" s="2" t="s">
        <v>915</v>
      </c>
      <c r="AF234" s="2" t="s">
        <v>462</v>
      </c>
      <c r="AG234" s="2" t="s">
        <v>1765</v>
      </c>
      <c r="AH234" s="2" t="s">
        <v>595</v>
      </c>
      <c r="AI234" s="2" t="s">
        <v>2100</v>
      </c>
      <c r="AJ234" s="2" t="s">
        <v>2101</v>
      </c>
      <c r="AK234" s="2" t="s">
        <v>1988</v>
      </c>
      <c r="AL234" s="2" t="s">
        <v>1989</v>
      </c>
      <c r="AM234" s="2" t="s">
        <v>2102</v>
      </c>
      <c r="AN234" s="2" t="s">
        <v>40</v>
      </c>
      <c r="AO234" s="2" t="n">
        <v>3</v>
      </c>
      <c r="AP234" s="2" t="s">
        <v>461</v>
      </c>
      <c r="AQ234" s="2" t="s">
        <v>1768</v>
      </c>
      <c r="AR234" s="2" t="s">
        <v>1769</v>
      </c>
    </row>
    <row r="235" customFormat="false" ht="46.25" hidden="false" customHeight="false" outlineLevel="0" collapsed="false">
      <c r="A235" s="2" t="n">
        <v>234</v>
      </c>
      <c r="B235" s="2" t="s">
        <v>2103</v>
      </c>
      <c r="C235" s="2" t="s">
        <v>686</v>
      </c>
      <c r="D235" s="2" t="s">
        <v>34</v>
      </c>
      <c r="E235" s="2" t="s">
        <v>1098</v>
      </c>
      <c r="F235" s="2" t="s">
        <v>1099</v>
      </c>
      <c r="G235" s="2" t="s">
        <v>873</v>
      </c>
      <c r="H235" s="2" t="s">
        <v>35</v>
      </c>
      <c r="I235" s="2" t="s">
        <v>1111</v>
      </c>
      <c r="J235" s="2" t="s">
        <v>912</v>
      </c>
      <c r="K235" s="2" t="s">
        <v>56</v>
      </c>
      <c r="L235" s="2" t="s">
        <v>1129</v>
      </c>
      <c r="M235" s="2" t="s">
        <v>56</v>
      </c>
      <c r="N235" s="2" t="s">
        <v>913</v>
      </c>
      <c r="O235" s="2" t="s">
        <v>214</v>
      </c>
      <c r="P235" s="2" t="s">
        <v>916</v>
      </c>
      <c r="Q235" s="2" t="s">
        <v>75</v>
      </c>
      <c r="R235" s="2" t="s">
        <v>139</v>
      </c>
      <c r="S235" s="2" t="n">
        <v>1</v>
      </c>
      <c r="T235" s="2" t="s">
        <v>61</v>
      </c>
      <c r="U235" s="2" t="s">
        <v>39</v>
      </c>
      <c r="V235" s="2" t="s">
        <v>215</v>
      </c>
      <c r="W235" s="2" t="s">
        <v>67</v>
      </c>
      <c r="X235" s="2"/>
      <c r="Y235" s="2"/>
      <c r="Z235" s="2"/>
      <c r="AA235" s="2"/>
      <c r="AB235" s="2"/>
      <c r="AC235" s="2" t="s">
        <v>1984</v>
      </c>
      <c r="AD235" s="2" t="s">
        <v>1985</v>
      </c>
      <c r="AE235" s="2" t="s">
        <v>915</v>
      </c>
      <c r="AF235" s="2" t="s">
        <v>462</v>
      </c>
      <c r="AG235" s="2" t="s">
        <v>1765</v>
      </c>
      <c r="AH235" s="2" t="s">
        <v>596</v>
      </c>
      <c r="AI235" s="2" t="s">
        <v>2104</v>
      </c>
      <c r="AJ235" s="2" t="s">
        <v>2105</v>
      </c>
      <c r="AK235" s="2" t="s">
        <v>1988</v>
      </c>
      <c r="AL235" s="2" t="s">
        <v>1989</v>
      </c>
      <c r="AM235" s="2" t="s">
        <v>2106</v>
      </c>
      <c r="AN235" s="2" t="s">
        <v>40</v>
      </c>
      <c r="AO235" s="2" t="n">
        <v>4</v>
      </c>
      <c r="AP235" s="2" t="s">
        <v>461</v>
      </c>
      <c r="AQ235" s="2" t="s">
        <v>1768</v>
      </c>
      <c r="AR235" s="2" t="s">
        <v>1769</v>
      </c>
    </row>
    <row r="236" customFormat="false" ht="46.25" hidden="false" customHeight="false" outlineLevel="0" collapsed="false">
      <c r="A236" s="2" t="n">
        <v>235</v>
      </c>
      <c r="B236" s="2" t="s">
        <v>2107</v>
      </c>
      <c r="C236" s="2" t="s">
        <v>686</v>
      </c>
      <c r="D236" s="2" t="s">
        <v>34</v>
      </c>
      <c r="E236" s="2" t="s">
        <v>1098</v>
      </c>
      <c r="F236" s="2" t="s">
        <v>1099</v>
      </c>
      <c r="G236" s="2" t="s">
        <v>873</v>
      </c>
      <c r="H236" s="2" t="s">
        <v>35</v>
      </c>
      <c r="I236" s="2" t="s">
        <v>1111</v>
      </c>
      <c r="J236" s="2" t="s">
        <v>912</v>
      </c>
      <c r="K236" s="2" t="s">
        <v>56</v>
      </c>
      <c r="L236" s="2" t="s">
        <v>1129</v>
      </c>
      <c r="M236" s="2" t="s">
        <v>56</v>
      </c>
      <c r="N236" s="2" t="s">
        <v>913</v>
      </c>
      <c r="O236" s="2" t="s">
        <v>598</v>
      </c>
      <c r="P236" s="2" t="s">
        <v>996</v>
      </c>
      <c r="Q236" s="2" t="s">
        <v>75</v>
      </c>
      <c r="R236" s="2" t="s">
        <v>141</v>
      </c>
      <c r="S236" s="2" t="n">
        <v>1</v>
      </c>
      <c r="T236" s="2" t="s">
        <v>61</v>
      </c>
      <c r="U236" s="2" t="s">
        <v>39</v>
      </c>
      <c r="V236" s="2" t="s">
        <v>215</v>
      </c>
      <c r="W236" s="2" t="s">
        <v>67</v>
      </c>
      <c r="X236" s="2"/>
      <c r="Y236" s="2"/>
      <c r="Z236" s="2"/>
      <c r="AA236" s="2"/>
      <c r="AB236" s="2"/>
      <c r="AC236" s="2" t="s">
        <v>1984</v>
      </c>
      <c r="AD236" s="2" t="s">
        <v>1985</v>
      </c>
      <c r="AE236" s="2" t="s">
        <v>915</v>
      </c>
      <c r="AF236" s="2" t="s">
        <v>462</v>
      </c>
      <c r="AG236" s="2" t="s">
        <v>1765</v>
      </c>
      <c r="AH236" s="2" t="s">
        <v>597</v>
      </c>
      <c r="AI236" s="2" t="s">
        <v>2108</v>
      </c>
      <c r="AJ236" s="2" t="s">
        <v>2109</v>
      </c>
      <c r="AK236" s="2" t="s">
        <v>1988</v>
      </c>
      <c r="AL236" s="2" t="s">
        <v>1989</v>
      </c>
      <c r="AM236" s="2" t="s">
        <v>2110</v>
      </c>
      <c r="AN236" s="2" t="s">
        <v>40</v>
      </c>
      <c r="AO236" s="2" t="n">
        <v>3</v>
      </c>
      <c r="AP236" s="2" t="s">
        <v>461</v>
      </c>
      <c r="AQ236" s="2" t="s">
        <v>1768</v>
      </c>
      <c r="AR236" s="2" t="s">
        <v>1769</v>
      </c>
    </row>
    <row r="237" customFormat="false" ht="46.25" hidden="false" customHeight="false" outlineLevel="0" collapsed="false">
      <c r="A237" s="2" t="n">
        <v>236</v>
      </c>
      <c r="B237" s="2" t="s">
        <v>2111</v>
      </c>
      <c r="C237" s="2" t="s">
        <v>686</v>
      </c>
      <c r="D237" s="2" t="s">
        <v>34</v>
      </c>
      <c r="E237" s="2" t="s">
        <v>1098</v>
      </c>
      <c r="F237" s="2" t="s">
        <v>1099</v>
      </c>
      <c r="G237" s="2" t="s">
        <v>873</v>
      </c>
      <c r="H237" s="2" t="s">
        <v>35</v>
      </c>
      <c r="I237" s="2" t="s">
        <v>1111</v>
      </c>
      <c r="J237" s="2" t="s">
        <v>912</v>
      </c>
      <c r="K237" s="2" t="s">
        <v>56</v>
      </c>
      <c r="L237" s="2" t="s">
        <v>1129</v>
      </c>
      <c r="M237" s="2" t="s">
        <v>56</v>
      </c>
      <c r="N237" s="2" t="s">
        <v>913</v>
      </c>
      <c r="O237" s="2" t="s">
        <v>510</v>
      </c>
      <c r="P237" s="2" t="s">
        <v>950</v>
      </c>
      <c r="Q237" s="2" t="s">
        <v>75</v>
      </c>
      <c r="R237" s="2" t="s">
        <v>138</v>
      </c>
      <c r="S237" s="2" t="n">
        <v>1</v>
      </c>
      <c r="T237" s="2" t="s">
        <v>61</v>
      </c>
      <c r="U237" s="2" t="s">
        <v>59</v>
      </c>
      <c r="V237" s="2" t="s">
        <v>211</v>
      </c>
      <c r="W237" s="2" t="s">
        <v>67</v>
      </c>
      <c r="X237" s="2"/>
      <c r="Y237" s="2"/>
      <c r="Z237" s="2"/>
      <c r="AA237" s="2"/>
      <c r="AB237" s="2"/>
      <c r="AC237" s="2" t="s">
        <v>1984</v>
      </c>
      <c r="AD237" s="2" t="s">
        <v>1985</v>
      </c>
      <c r="AE237" s="2" t="s">
        <v>915</v>
      </c>
      <c r="AF237" s="2" t="s">
        <v>462</v>
      </c>
      <c r="AG237" s="2" t="s">
        <v>1765</v>
      </c>
      <c r="AH237" s="2" t="s">
        <v>599</v>
      </c>
      <c r="AI237" s="2" t="s">
        <v>2112</v>
      </c>
      <c r="AJ237" s="2" t="s">
        <v>2113</v>
      </c>
      <c r="AK237" s="2" t="s">
        <v>1988</v>
      </c>
      <c r="AL237" s="2" t="s">
        <v>1989</v>
      </c>
      <c r="AM237" s="2" t="s">
        <v>1884</v>
      </c>
      <c r="AN237" s="2" t="s">
        <v>40</v>
      </c>
      <c r="AO237" s="2" t="n">
        <v>3</v>
      </c>
      <c r="AP237" s="2" t="s">
        <v>448</v>
      </c>
      <c r="AQ237" s="2" t="s">
        <v>1768</v>
      </c>
      <c r="AR237" s="2" t="s">
        <v>1769</v>
      </c>
    </row>
    <row r="238" customFormat="false" ht="46.25" hidden="false" customHeight="false" outlineLevel="0" collapsed="false">
      <c r="A238" s="2" t="n">
        <v>237</v>
      </c>
      <c r="B238" s="2" t="s">
        <v>2114</v>
      </c>
      <c r="C238" s="2" t="s">
        <v>686</v>
      </c>
      <c r="D238" s="2" t="s">
        <v>34</v>
      </c>
      <c r="E238" s="2" t="s">
        <v>1098</v>
      </c>
      <c r="F238" s="2" t="s">
        <v>1099</v>
      </c>
      <c r="G238" s="2" t="s">
        <v>873</v>
      </c>
      <c r="H238" s="2" t="s">
        <v>35</v>
      </c>
      <c r="I238" s="2" t="s">
        <v>1111</v>
      </c>
      <c r="J238" s="2" t="s">
        <v>912</v>
      </c>
      <c r="K238" s="2" t="s">
        <v>56</v>
      </c>
      <c r="L238" s="2" t="s">
        <v>1129</v>
      </c>
      <c r="M238" s="2" t="s">
        <v>56</v>
      </c>
      <c r="N238" s="2" t="s">
        <v>913</v>
      </c>
      <c r="O238" s="2" t="s">
        <v>460</v>
      </c>
      <c r="P238" s="2" t="s">
        <v>914</v>
      </c>
      <c r="Q238" s="2" t="s">
        <v>75</v>
      </c>
      <c r="R238" s="2" t="s">
        <v>147</v>
      </c>
      <c r="S238" s="2" t="n">
        <v>1</v>
      </c>
      <c r="T238" s="2" t="s">
        <v>61</v>
      </c>
      <c r="U238" s="2" t="s">
        <v>46</v>
      </c>
      <c r="V238" s="2" t="s">
        <v>230</v>
      </c>
      <c r="W238" s="2" t="s">
        <v>67</v>
      </c>
      <c r="X238" s="2"/>
      <c r="Y238" s="2"/>
      <c r="Z238" s="2"/>
      <c r="AA238" s="2"/>
      <c r="AB238" s="2"/>
      <c r="AC238" s="2" t="s">
        <v>1984</v>
      </c>
      <c r="AD238" s="2" t="s">
        <v>1985</v>
      </c>
      <c r="AE238" s="2" t="s">
        <v>915</v>
      </c>
      <c r="AF238" s="2" t="s">
        <v>462</v>
      </c>
      <c r="AG238" s="2" t="s">
        <v>1765</v>
      </c>
      <c r="AH238" s="2" t="s">
        <v>600</v>
      </c>
      <c r="AI238" s="2" t="s">
        <v>2115</v>
      </c>
      <c r="AJ238" s="2" t="s">
        <v>2116</v>
      </c>
      <c r="AK238" s="2" t="s">
        <v>1988</v>
      </c>
      <c r="AL238" s="2" t="s">
        <v>1989</v>
      </c>
      <c r="AM238" s="2" t="s">
        <v>2117</v>
      </c>
      <c r="AN238" s="2" t="s">
        <v>40</v>
      </c>
      <c r="AO238" s="2" t="n">
        <v>2</v>
      </c>
      <c r="AP238" s="2" t="s">
        <v>461</v>
      </c>
      <c r="AQ238" s="2" t="s">
        <v>1768</v>
      </c>
      <c r="AR238" s="2" t="s">
        <v>1769</v>
      </c>
    </row>
    <row r="239" customFormat="false" ht="46.25" hidden="false" customHeight="false" outlineLevel="0" collapsed="false">
      <c r="A239" s="2" t="n">
        <v>238</v>
      </c>
      <c r="B239" s="2" t="s">
        <v>2118</v>
      </c>
      <c r="C239" s="2" t="s">
        <v>686</v>
      </c>
      <c r="D239" s="2" t="s">
        <v>34</v>
      </c>
      <c r="E239" s="2" t="s">
        <v>1098</v>
      </c>
      <c r="F239" s="2" t="s">
        <v>1099</v>
      </c>
      <c r="G239" s="2" t="s">
        <v>873</v>
      </c>
      <c r="H239" s="2" t="s">
        <v>35</v>
      </c>
      <c r="I239" s="2" t="s">
        <v>1111</v>
      </c>
      <c r="J239" s="2" t="s">
        <v>912</v>
      </c>
      <c r="K239" s="2" t="s">
        <v>56</v>
      </c>
      <c r="L239" s="2" t="s">
        <v>1129</v>
      </c>
      <c r="M239" s="2" t="s">
        <v>56</v>
      </c>
      <c r="N239" s="2" t="s">
        <v>913</v>
      </c>
      <c r="O239" s="2" t="s">
        <v>479</v>
      </c>
      <c r="P239" s="2" t="s">
        <v>927</v>
      </c>
      <c r="Q239" s="2" t="s">
        <v>75</v>
      </c>
      <c r="R239" s="2" t="s">
        <v>141</v>
      </c>
      <c r="S239" s="2" t="n">
        <v>1</v>
      </c>
      <c r="T239" s="2" t="s">
        <v>61</v>
      </c>
      <c r="U239" s="2" t="s">
        <v>39</v>
      </c>
      <c r="V239" s="2" t="s">
        <v>215</v>
      </c>
      <c r="W239" s="2" t="s">
        <v>67</v>
      </c>
      <c r="X239" s="2"/>
      <c r="Y239" s="2"/>
      <c r="Z239" s="2"/>
      <c r="AA239" s="2"/>
      <c r="AB239" s="2"/>
      <c r="AC239" s="2" t="s">
        <v>1984</v>
      </c>
      <c r="AD239" s="2" t="s">
        <v>1985</v>
      </c>
      <c r="AE239" s="2" t="s">
        <v>915</v>
      </c>
      <c r="AF239" s="2" t="s">
        <v>462</v>
      </c>
      <c r="AG239" s="2" t="s">
        <v>1765</v>
      </c>
      <c r="AH239" s="2" t="s">
        <v>601</v>
      </c>
      <c r="AI239" s="2" t="s">
        <v>2119</v>
      </c>
      <c r="AJ239" s="2" t="s">
        <v>2120</v>
      </c>
      <c r="AK239" s="2" t="s">
        <v>1988</v>
      </c>
      <c r="AL239" s="2" t="s">
        <v>1989</v>
      </c>
      <c r="AM239" s="2" t="s">
        <v>1810</v>
      </c>
      <c r="AN239" s="2" t="s">
        <v>40</v>
      </c>
      <c r="AO239" s="2" t="n">
        <v>3</v>
      </c>
      <c r="AP239" s="2" t="s">
        <v>461</v>
      </c>
      <c r="AQ239" s="2" t="s">
        <v>1768</v>
      </c>
      <c r="AR239" s="2" t="s">
        <v>1769</v>
      </c>
    </row>
    <row r="240" customFormat="false" ht="46.25" hidden="false" customHeight="false" outlineLevel="0" collapsed="false">
      <c r="A240" s="2" t="n">
        <v>239</v>
      </c>
      <c r="B240" s="2" t="s">
        <v>2121</v>
      </c>
      <c r="C240" s="2" t="s">
        <v>686</v>
      </c>
      <c r="D240" s="2" t="s">
        <v>34</v>
      </c>
      <c r="E240" s="2" t="s">
        <v>1098</v>
      </c>
      <c r="F240" s="2" t="s">
        <v>1099</v>
      </c>
      <c r="G240" s="2" t="s">
        <v>873</v>
      </c>
      <c r="H240" s="2" t="s">
        <v>35</v>
      </c>
      <c r="I240" s="2" t="s">
        <v>1111</v>
      </c>
      <c r="J240" s="2" t="s">
        <v>912</v>
      </c>
      <c r="K240" s="2" t="s">
        <v>56</v>
      </c>
      <c r="L240" s="2" t="s">
        <v>1129</v>
      </c>
      <c r="M240" s="2" t="s">
        <v>56</v>
      </c>
      <c r="N240" s="2" t="s">
        <v>913</v>
      </c>
      <c r="O240" s="2" t="s">
        <v>227</v>
      </c>
      <c r="P240" s="2" t="s">
        <v>926</v>
      </c>
      <c r="Q240" s="2" t="s">
        <v>75</v>
      </c>
      <c r="R240" s="2" t="s">
        <v>1806</v>
      </c>
      <c r="S240" s="2" t="n">
        <v>2</v>
      </c>
      <c r="T240" s="2" t="s">
        <v>41</v>
      </c>
      <c r="U240" s="2" t="s">
        <v>39</v>
      </c>
      <c r="V240" s="2" t="s">
        <v>215</v>
      </c>
      <c r="W240" s="2" t="s">
        <v>67</v>
      </c>
      <c r="X240" s="2"/>
      <c r="Y240" s="2"/>
      <c r="Z240" s="2"/>
      <c r="AA240" s="2"/>
      <c r="AB240" s="2"/>
      <c r="AC240" s="2" t="s">
        <v>1984</v>
      </c>
      <c r="AD240" s="2" t="s">
        <v>1985</v>
      </c>
      <c r="AE240" s="2" t="s">
        <v>915</v>
      </c>
      <c r="AF240" s="2" t="s">
        <v>462</v>
      </c>
      <c r="AG240" s="2" t="s">
        <v>1765</v>
      </c>
      <c r="AH240" s="2" t="s">
        <v>602</v>
      </c>
      <c r="AI240" s="2" t="s">
        <v>2122</v>
      </c>
      <c r="AJ240" s="2" t="s">
        <v>2123</v>
      </c>
      <c r="AK240" s="2" t="s">
        <v>1988</v>
      </c>
      <c r="AL240" s="2" t="s">
        <v>1989</v>
      </c>
      <c r="AM240" s="2" t="s">
        <v>1268</v>
      </c>
      <c r="AN240" s="2" t="s">
        <v>40</v>
      </c>
      <c r="AO240" s="2" t="n">
        <v>3</v>
      </c>
      <c r="AP240" s="2" t="s">
        <v>461</v>
      </c>
      <c r="AQ240" s="2"/>
      <c r="AR240" s="2" t="s">
        <v>1769</v>
      </c>
    </row>
    <row r="241" customFormat="false" ht="46.25" hidden="false" customHeight="false" outlineLevel="0" collapsed="false">
      <c r="A241" s="2" t="n">
        <v>240</v>
      </c>
      <c r="B241" s="2" t="s">
        <v>2124</v>
      </c>
      <c r="C241" s="2" t="s">
        <v>686</v>
      </c>
      <c r="D241" s="2" t="s">
        <v>34</v>
      </c>
      <c r="E241" s="2" t="s">
        <v>1098</v>
      </c>
      <c r="F241" s="2" t="s">
        <v>1099</v>
      </c>
      <c r="G241" s="2" t="s">
        <v>873</v>
      </c>
      <c r="H241" s="2" t="s">
        <v>35</v>
      </c>
      <c r="I241" s="2" t="s">
        <v>1111</v>
      </c>
      <c r="J241" s="2" t="s">
        <v>912</v>
      </c>
      <c r="K241" s="2" t="s">
        <v>56</v>
      </c>
      <c r="L241" s="2" t="s">
        <v>1129</v>
      </c>
      <c r="M241" s="2" t="s">
        <v>56</v>
      </c>
      <c r="N241" s="2" t="s">
        <v>913</v>
      </c>
      <c r="O241" s="2" t="s">
        <v>465</v>
      </c>
      <c r="P241" s="2" t="s">
        <v>917</v>
      </c>
      <c r="Q241" s="2" t="s">
        <v>75</v>
      </c>
      <c r="R241" s="2" t="s">
        <v>145</v>
      </c>
      <c r="S241" s="2" t="n">
        <v>1</v>
      </c>
      <c r="T241" s="2" t="s">
        <v>61</v>
      </c>
      <c r="U241" s="2" t="s">
        <v>53</v>
      </c>
      <c r="V241" s="2" t="s">
        <v>233</v>
      </c>
      <c r="W241" s="2" t="s">
        <v>67</v>
      </c>
      <c r="X241" s="2"/>
      <c r="Y241" s="2"/>
      <c r="Z241" s="2"/>
      <c r="AA241" s="2"/>
      <c r="AB241" s="2"/>
      <c r="AC241" s="2" t="s">
        <v>1984</v>
      </c>
      <c r="AD241" s="2" t="s">
        <v>1985</v>
      </c>
      <c r="AE241" s="2" t="s">
        <v>915</v>
      </c>
      <c r="AF241" s="2" t="s">
        <v>462</v>
      </c>
      <c r="AG241" s="2" t="s">
        <v>1765</v>
      </c>
      <c r="AH241" s="2" t="s">
        <v>603</v>
      </c>
      <c r="AI241" s="2" t="s">
        <v>2125</v>
      </c>
      <c r="AJ241" s="2" t="s">
        <v>2126</v>
      </c>
      <c r="AK241" s="2" t="s">
        <v>1988</v>
      </c>
      <c r="AL241" s="2" t="s">
        <v>1989</v>
      </c>
      <c r="AM241" s="2" t="s">
        <v>2127</v>
      </c>
      <c r="AN241" s="2" t="s">
        <v>40</v>
      </c>
      <c r="AO241" s="2" t="n">
        <v>2</v>
      </c>
      <c r="AP241" s="2" t="s">
        <v>461</v>
      </c>
      <c r="AQ241" s="2" t="s">
        <v>1768</v>
      </c>
      <c r="AR241" s="2" t="s">
        <v>1769</v>
      </c>
    </row>
    <row r="242" customFormat="false" ht="46.25" hidden="false" customHeight="false" outlineLevel="0" collapsed="false">
      <c r="A242" s="2" t="n">
        <v>241</v>
      </c>
      <c r="B242" s="2" t="s">
        <v>2128</v>
      </c>
      <c r="C242" s="2" t="s">
        <v>686</v>
      </c>
      <c r="D242" s="2" t="s">
        <v>34</v>
      </c>
      <c r="E242" s="2" t="s">
        <v>1098</v>
      </c>
      <c r="F242" s="2" t="s">
        <v>1099</v>
      </c>
      <c r="G242" s="2" t="s">
        <v>873</v>
      </c>
      <c r="H242" s="2" t="s">
        <v>35</v>
      </c>
      <c r="I242" s="2" t="s">
        <v>1111</v>
      </c>
      <c r="J242" s="2" t="s">
        <v>912</v>
      </c>
      <c r="K242" s="2" t="s">
        <v>56</v>
      </c>
      <c r="L242" s="2" t="s">
        <v>1129</v>
      </c>
      <c r="M242" s="2" t="s">
        <v>56</v>
      </c>
      <c r="N242" s="2" t="s">
        <v>913</v>
      </c>
      <c r="O242" s="2" t="s">
        <v>342</v>
      </c>
      <c r="P242" s="2" t="s">
        <v>922</v>
      </c>
      <c r="Q242" s="2" t="s">
        <v>66</v>
      </c>
      <c r="R242" s="2" t="s">
        <v>98</v>
      </c>
      <c r="S242" s="2" t="n">
        <v>1</v>
      </c>
      <c r="T242" s="2" t="s">
        <v>61</v>
      </c>
      <c r="U242" s="2" t="s">
        <v>39</v>
      </c>
      <c r="V242" s="2" t="s">
        <v>215</v>
      </c>
      <c r="W242" s="2" t="s">
        <v>67</v>
      </c>
      <c r="X242" s="2"/>
      <c r="Y242" s="2"/>
      <c r="Z242" s="2"/>
      <c r="AA242" s="2"/>
      <c r="AB242" s="2"/>
      <c r="AC242" s="2" t="s">
        <v>1984</v>
      </c>
      <c r="AD242" s="2" t="s">
        <v>1985</v>
      </c>
      <c r="AE242" s="2" t="s">
        <v>915</v>
      </c>
      <c r="AF242" s="2" t="s">
        <v>462</v>
      </c>
      <c r="AG242" s="2" t="s">
        <v>1765</v>
      </c>
      <c r="AH242" s="2" t="s">
        <v>604</v>
      </c>
      <c r="AI242" s="2" t="s">
        <v>2129</v>
      </c>
      <c r="AJ242" s="2" t="s">
        <v>2130</v>
      </c>
      <c r="AK242" s="2" t="s">
        <v>1988</v>
      </c>
      <c r="AL242" s="2" t="s">
        <v>1989</v>
      </c>
      <c r="AM242" s="2" t="s">
        <v>2131</v>
      </c>
      <c r="AN242" s="2" t="s">
        <v>40</v>
      </c>
      <c r="AO242" s="2" t="n">
        <v>3</v>
      </c>
      <c r="AP242" s="2" t="s">
        <v>461</v>
      </c>
      <c r="AQ242" s="2" t="s">
        <v>1768</v>
      </c>
      <c r="AR242" s="2" t="s">
        <v>1769</v>
      </c>
    </row>
    <row r="243" customFormat="false" ht="46.25" hidden="false" customHeight="false" outlineLevel="0" collapsed="false">
      <c r="A243" s="2" t="n">
        <v>242</v>
      </c>
      <c r="B243" s="2" t="s">
        <v>2132</v>
      </c>
      <c r="C243" s="2" t="s">
        <v>686</v>
      </c>
      <c r="D243" s="2" t="s">
        <v>34</v>
      </c>
      <c r="E243" s="2" t="s">
        <v>1098</v>
      </c>
      <c r="F243" s="2" t="s">
        <v>1099</v>
      </c>
      <c r="G243" s="2" t="s">
        <v>873</v>
      </c>
      <c r="H243" s="2" t="s">
        <v>35</v>
      </c>
      <c r="I243" s="2" t="s">
        <v>1111</v>
      </c>
      <c r="J243" s="2" t="s">
        <v>912</v>
      </c>
      <c r="K243" s="2" t="s">
        <v>56</v>
      </c>
      <c r="L243" s="2" t="s">
        <v>1129</v>
      </c>
      <c r="M243" s="2" t="s">
        <v>56</v>
      </c>
      <c r="N243" s="2" t="s">
        <v>913</v>
      </c>
      <c r="O243" s="2" t="s">
        <v>526</v>
      </c>
      <c r="P243" s="2" t="s">
        <v>961</v>
      </c>
      <c r="Q243" s="2" t="s">
        <v>66</v>
      </c>
      <c r="R243" s="2" t="s">
        <v>102</v>
      </c>
      <c r="S243" s="2" t="n">
        <v>1</v>
      </c>
      <c r="T243" s="2" t="s">
        <v>61</v>
      </c>
      <c r="U243" s="2" t="s">
        <v>53</v>
      </c>
      <c r="V243" s="2" t="s">
        <v>233</v>
      </c>
      <c r="W243" s="2" t="s">
        <v>67</v>
      </c>
      <c r="X243" s="2"/>
      <c r="Y243" s="2"/>
      <c r="Z243" s="2"/>
      <c r="AA243" s="2"/>
      <c r="AB243" s="2"/>
      <c r="AC243" s="2" t="s">
        <v>1984</v>
      </c>
      <c r="AD243" s="2" t="s">
        <v>1985</v>
      </c>
      <c r="AE243" s="2" t="s">
        <v>915</v>
      </c>
      <c r="AF243" s="2" t="s">
        <v>462</v>
      </c>
      <c r="AG243" s="2" t="s">
        <v>1765</v>
      </c>
      <c r="AH243" s="2" t="s">
        <v>605</v>
      </c>
      <c r="AI243" s="2" t="s">
        <v>2133</v>
      </c>
      <c r="AJ243" s="2" t="s">
        <v>2134</v>
      </c>
      <c r="AK243" s="2" t="s">
        <v>1988</v>
      </c>
      <c r="AL243" s="2" t="s">
        <v>1989</v>
      </c>
      <c r="AM243" s="2" t="s">
        <v>1923</v>
      </c>
      <c r="AN243" s="2" t="s">
        <v>40</v>
      </c>
      <c r="AO243" s="2" t="n">
        <v>4</v>
      </c>
      <c r="AP243" s="2" t="s">
        <v>448</v>
      </c>
      <c r="AQ243" s="2" t="s">
        <v>1768</v>
      </c>
      <c r="AR243" s="2" t="s">
        <v>1769</v>
      </c>
    </row>
    <row r="244" customFormat="false" ht="46.25" hidden="false" customHeight="false" outlineLevel="0" collapsed="false">
      <c r="A244" s="2" t="n">
        <v>243</v>
      </c>
      <c r="B244" s="2" t="s">
        <v>2135</v>
      </c>
      <c r="C244" s="2" t="s">
        <v>686</v>
      </c>
      <c r="D244" s="2" t="s">
        <v>34</v>
      </c>
      <c r="E244" s="2" t="s">
        <v>1098</v>
      </c>
      <c r="F244" s="2" t="s">
        <v>1099</v>
      </c>
      <c r="G244" s="2" t="s">
        <v>873</v>
      </c>
      <c r="H244" s="2" t="s">
        <v>35</v>
      </c>
      <c r="I244" s="2" t="s">
        <v>1111</v>
      </c>
      <c r="J244" s="2" t="s">
        <v>912</v>
      </c>
      <c r="K244" s="2" t="s">
        <v>56</v>
      </c>
      <c r="L244" s="2" t="s">
        <v>1129</v>
      </c>
      <c r="M244" s="2" t="s">
        <v>56</v>
      </c>
      <c r="N244" s="2" t="s">
        <v>913</v>
      </c>
      <c r="O244" s="2" t="s">
        <v>476</v>
      </c>
      <c r="P244" s="2" t="s">
        <v>925</v>
      </c>
      <c r="Q244" s="2" t="s">
        <v>69</v>
      </c>
      <c r="R244" s="2" t="s">
        <v>106</v>
      </c>
      <c r="S244" s="2" t="n">
        <v>1</v>
      </c>
      <c r="T244" s="2" t="s">
        <v>61</v>
      </c>
      <c r="U244" s="2" t="s">
        <v>39</v>
      </c>
      <c r="V244" s="2" t="s">
        <v>215</v>
      </c>
      <c r="W244" s="2" t="s">
        <v>67</v>
      </c>
      <c r="X244" s="2"/>
      <c r="Y244" s="2"/>
      <c r="Z244" s="2"/>
      <c r="AA244" s="2"/>
      <c r="AB244" s="2"/>
      <c r="AC244" s="2" t="s">
        <v>1984</v>
      </c>
      <c r="AD244" s="2" t="s">
        <v>1985</v>
      </c>
      <c r="AE244" s="2" t="s">
        <v>915</v>
      </c>
      <c r="AF244" s="2" t="s">
        <v>462</v>
      </c>
      <c r="AG244" s="2" t="s">
        <v>1765</v>
      </c>
      <c r="AH244" s="2" t="s">
        <v>606</v>
      </c>
      <c r="AI244" s="2" t="s">
        <v>2136</v>
      </c>
      <c r="AJ244" s="2" t="s">
        <v>2137</v>
      </c>
      <c r="AK244" s="2" t="s">
        <v>1988</v>
      </c>
      <c r="AL244" s="2" t="s">
        <v>1989</v>
      </c>
      <c r="AM244" s="2" t="s">
        <v>1802</v>
      </c>
      <c r="AN244" s="2" t="s">
        <v>40</v>
      </c>
      <c r="AO244" s="2" t="n">
        <v>3</v>
      </c>
      <c r="AP244" s="2" t="s">
        <v>461</v>
      </c>
      <c r="AQ244" s="2" t="s">
        <v>1768</v>
      </c>
      <c r="AR244" s="2" t="s">
        <v>1769</v>
      </c>
    </row>
    <row r="245" customFormat="false" ht="46.25" hidden="false" customHeight="false" outlineLevel="0" collapsed="false">
      <c r="A245" s="2" t="n">
        <v>244</v>
      </c>
      <c r="B245" s="2" t="s">
        <v>2138</v>
      </c>
      <c r="C245" s="2" t="s">
        <v>686</v>
      </c>
      <c r="D245" s="2" t="s">
        <v>34</v>
      </c>
      <c r="E245" s="2" t="s">
        <v>1098</v>
      </c>
      <c r="F245" s="2" t="s">
        <v>1099</v>
      </c>
      <c r="G245" s="2" t="s">
        <v>873</v>
      </c>
      <c r="H245" s="2" t="s">
        <v>35</v>
      </c>
      <c r="I245" s="2" t="s">
        <v>1111</v>
      </c>
      <c r="J245" s="2" t="s">
        <v>912</v>
      </c>
      <c r="K245" s="2" t="s">
        <v>56</v>
      </c>
      <c r="L245" s="2" t="s">
        <v>1129</v>
      </c>
      <c r="M245" s="2" t="s">
        <v>56</v>
      </c>
      <c r="N245" s="2" t="s">
        <v>913</v>
      </c>
      <c r="O245" s="2" t="s">
        <v>608</v>
      </c>
      <c r="P245" s="2" t="s">
        <v>997</v>
      </c>
      <c r="Q245" s="2" t="s">
        <v>45</v>
      </c>
      <c r="R245" s="2" t="s">
        <v>2139</v>
      </c>
      <c r="S245" s="2" t="n">
        <v>3</v>
      </c>
      <c r="T245" s="2" t="s">
        <v>41</v>
      </c>
      <c r="U245" s="2" t="s">
        <v>39</v>
      </c>
      <c r="V245" s="2" t="s">
        <v>215</v>
      </c>
      <c r="W245" s="2" t="s">
        <v>67</v>
      </c>
      <c r="X245" s="2"/>
      <c r="Y245" s="2"/>
      <c r="Z245" s="2"/>
      <c r="AA245" s="2"/>
      <c r="AB245" s="2"/>
      <c r="AC245" s="2" t="s">
        <v>1984</v>
      </c>
      <c r="AD245" s="2" t="s">
        <v>1985</v>
      </c>
      <c r="AE245" s="2" t="s">
        <v>915</v>
      </c>
      <c r="AF245" s="2" t="s">
        <v>462</v>
      </c>
      <c r="AG245" s="2" t="s">
        <v>1765</v>
      </c>
      <c r="AH245" s="2" t="s">
        <v>607</v>
      </c>
      <c r="AI245" s="2" t="s">
        <v>2140</v>
      </c>
      <c r="AJ245" s="2" t="s">
        <v>2141</v>
      </c>
      <c r="AK245" s="2" t="s">
        <v>1988</v>
      </c>
      <c r="AL245" s="2" t="s">
        <v>1989</v>
      </c>
      <c r="AM245" s="2" t="s">
        <v>2142</v>
      </c>
      <c r="AN245" s="2" t="s">
        <v>40</v>
      </c>
      <c r="AO245" s="2" t="n">
        <v>2</v>
      </c>
      <c r="AP245" s="2" t="s">
        <v>461</v>
      </c>
      <c r="AQ245" s="2"/>
      <c r="AR245" s="2" t="s">
        <v>1769</v>
      </c>
    </row>
    <row r="246" customFormat="false" ht="46.25" hidden="false" customHeight="false" outlineLevel="0" collapsed="false">
      <c r="A246" s="2" t="n">
        <v>245</v>
      </c>
      <c r="B246" s="2" t="s">
        <v>2143</v>
      </c>
      <c r="C246" s="2" t="s">
        <v>686</v>
      </c>
      <c r="D246" s="2" t="s">
        <v>34</v>
      </c>
      <c r="E246" s="2" t="s">
        <v>1098</v>
      </c>
      <c r="F246" s="2" t="s">
        <v>1099</v>
      </c>
      <c r="G246" s="2" t="s">
        <v>873</v>
      </c>
      <c r="H246" s="2" t="s">
        <v>35</v>
      </c>
      <c r="I246" s="2" t="s">
        <v>1111</v>
      </c>
      <c r="J246" s="2" t="s">
        <v>912</v>
      </c>
      <c r="K246" s="2" t="s">
        <v>56</v>
      </c>
      <c r="L246" s="2" t="s">
        <v>1129</v>
      </c>
      <c r="M246" s="2" t="s">
        <v>56</v>
      </c>
      <c r="N246" s="2" t="s">
        <v>913</v>
      </c>
      <c r="O246" s="2" t="s">
        <v>243</v>
      </c>
      <c r="P246" s="2" t="s">
        <v>936</v>
      </c>
      <c r="Q246" s="2" t="s">
        <v>45</v>
      </c>
      <c r="R246" s="2" t="s">
        <v>96</v>
      </c>
      <c r="S246" s="2" t="n">
        <v>1</v>
      </c>
      <c r="T246" s="2" t="s">
        <v>61</v>
      </c>
      <c r="U246" s="2" t="s">
        <v>39</v>
      </c>
      <c r="V246" s="2" t="s">
        <v>215</v>
      </c>
      <c r="W246" s="2" t="s">
        <v>64</v>
      </c>
      <c r="X246" s="2"/>
      <c r="Y246" s="2"/>
      <c r="Z246" s="2"/>
      <c r="AA246" s="2"/>
      <c r="AB246" s="2"/>
      <c r="AC246" s="2" t="s">
        <v>1984</v>
      </c>
      <c r="AD246" s="2" t="s">
        <v>1985</v>
      </c>
      <c r="AE246" s="2" t="s">
        <v>915</v>
      </c>
      <c r="AF246" s="2" t="s">
        <v>462</v>
      </c>
      <c r="AG246" s="2" t="s">
        <v>1765</v>
      </c>
      <c r="AH246" s="2" t="s">
        <v>609</v>
      </c>
      <c r="AI246" s="2" t="s">
        <v>2144</v>
      </c>
      <c r="AJ246" s="2" t="s">
        <v>2145</v>
      </c>
      <c r="AK246" s="2" t="s">
        <v>1988</v>
      </c>
      <c r="AL246" s="2" t="s">
        <v>1989</v>
      </c>
      <c r="AM246" s="2" t="s">
        <v>1296</v>
      </c>
      <c r="AN246" s="2" t="s">
        <v>47</v>
      </c>
      <c r="AO246" s="2" t="n">
        <v>4</v>
      </c>
      <c r="AP246" s="2" t="s">
        <v>461</v>
      </c>
      <c r="AQ246" s="2" t="s">
        <v>1768</v>
      </c>
      <c r="AR246" s="2" t="s">
        <v>1769</v>
      </c>
    </row>
    <row r="247" customFormat="false" ht="46.25" hidden="false" customHeight="false" outlineLevel="0" collapsed="false">
      <c r="A247" s="2" t="n">
        <v>246</v>
      </c>
      <c r="B247" s="2" t="s">
        <v>2146</v>
      </c>
      <c r="C247" s="2" t="s">
        <v>686</v>
      </c>
      <c r="D247" s="2" t="s">
        <v>34</v>
      </c>
      <c r="E247" s="2" t="s">
        <v>1098</v>
      </c>
      <c r="F247" s="2" t="s">
        <v>1099</v>
      </c>
      <c r="G247" s="2" t="s">
        <v>873</v>
      </c>
      <c r="H247" s="2" t="s">
        <v>35</v>
      </c>
      <c r="I247" s="2" t="s">
        <v>1111</v>
      </c>
      <c r="J247" s="2" t="s">
        <v>912</v>
      </c>
      <c r="K247" s="2" t="s">
        <v>56</v>
      </c>
      <c r="L247" s="2" t="s">
        <v>1129</v>
      </c>
      <c r="M247" s="2" t="s">
        <v>56</v>
      </c>
      <c r="N247" s="2" t="s">
        <v>913</v>
      </c>
      <c r="O247" s="2" t="s">
        <v>241</v>
      </c>
      <c r="P247" s="2" t="s">
        <v>998</v>
      </c>
      <c r="Q247" s="2" t="s">
        <v>45</v>
      </c>
      <c r="R247" s="2" t="s">
        <v>76</v>
      </c>
      <c r="S247" s="2" t="n">
        <v>1</v>
      </c>
      <c r="T247" s="2" t="s">
        <v>61</v>
      </c>
      <c r="U247" s="2" t="s">
        <v>39</v>
      </c>
      <c r="V247" s="2" t="s">
        <v>215</v>
      </c>
      <c r="W247" s="2" t="s">
        <v>64</v>
      </c>
      <c r="X247" s="2"/>
      <c r="Y247" s="2"/>
      <c r="Z247" s="2"/>
      <c r="AA247" s="2"/>
      <c r="AB247" s="2"/>
      <c r="AC247" s="2" t="s">
        <v>1984</v>
      </c>
      <c r="AD247" s="2" t="s">
        <v>1985</v>
      </c>
      <c r="AE247" s="2" t="s">
        <v>915</v>
      </c>
      <c r="AF247" s="2" t="s">
        <v>462</v>
      </c>
      <c r="AG247" s="2" t="s">
        <v>1765</v>
      </c>
      <c r="AH247" s="2" t="s">
        <v>610</v>
      </c>
      <c r="AI247" s="2" t="s">
        <v>2147</v>
      </c>
      <c r="AJ247" s="2" t="s">
        <v>2148</v>
      </c>
      <c r="AK247" s="2" t="s">
        <v>1988</v>
      </c>
      <c r="AL247" s="2" t="s">
        <v>1989</v>
      </c>
      <c r="AM247" s="2" t="s">
        <v>1292</v>
      </c>
      <c r="AN247" s="2" t="s">
        <v>47</v>
      </c>
      <c r="AO247" s="2" t="n">
        <v>5</v>
      </c>
      <c r="AP247" s="2" t="s">
        <v>461</v>
      </c>
      <c r="AQ247" s="2" t="s">
        <v>1768</v>
      </c>
      <c r="AR247" s="2" t="s">
        <v>1769</v>
      </c>
    </row>
    <row r="248" customFormat="false" ht="46.25" hidden="false" customHeight="false" outlineLevel="0" collapsed="false">
      <c r="A248" s="2" t="n">
        <v>247</v>
      </c>
      <c r="B248" s="2" t="s">
        <v>2149</v>
      </c>
      <c r="C248" s="2" t="s">
        <v>686</v>
      </c>
      <c r="D248" s="2" t="s">
        <v>34</v>
      </c>
      <c r="E248" s="2" t="s">
        <v>1098</v>
      </c>
      <c r="F248" s="2" t="s">
        <v>1099</v>
      </c>
      <c r="G248" s="2" t="s">
        <v>873</v>
      </c>
      <c r="H248" s="2" t="s">
        <v>35</v>
      </c>
      <c r="I248" s="2" t="s">
        <v>1111</v>
      </c>
      <c r="J248" s="2" t="s">
        <v>912</v>
      </c>
      <c r="K248" s="2" t="s">
        <v>56</v>
      </c>
      <c r="L248" s="2" t="s">
        <v>1129</v>
      </c>
      <c r="M248" s="2" t="s">
        <v>56</v>
      </c>
      <c r="N248" s="2" t="s">
        <v>913</v>
      </c>
      <c r="O248" s="2" t="s">
        <v>532</v>
      </c>
      <c r="P248" s="2" t="s">
        <v>964</v>
      </c>
      <c r="Q248" s="2" t="s">
        <v>45</v>
      </c>
      <c r="R248" s="2" t="s">
        <v>65</v>
      </c>
      <c r="S248" s="2" t="n">
        <v>1</v>
      </c>
      <c r="T248" s="2" t="s">
        <v>61</v>
      </c>
      <c r="U248" s="2" t="s">
        <v>59</v>
      </c>
      <c r="V248" s="2" t="s">
        <v>211</v>
      </c>
      <c r="W248" s="2" t="s">
        <v>67</v>
      </c>
      <c r="X248" s="2"/>
      <c r="Y248" s="2"/>
      <c r="Z248" s="2"/>
      <c r="AA248" s="2"/>
      <c r="AB248" s="2"/>
      <c r="AC248" s="2" t="s">
        <v>1984</v>
      </c>
      <c r="AD248" s="2" t="s">
        <v>1985</v>
      </c>
      <c r="AE248" s="2" t="s">
        <v>915</v>
      </c>
      <c r="AF248" s="2" t="s">
        <v>462</v>
      </c>
      <c r="AG248" s="2" t="s">
        <v>1765</v>
      </c>
      <c r="AH248" s="2" t="s">
        <v>611</v>
      </c>
      <c r="AI248" s="2" t="s">
        <v>2150</v>
      </c>
      <c r="AJ248" s="2" t="s">
        <v>2151</v>
      </c>
      <c r="AK248" s="2" t="s">
        <v>1988</v>
      </c>
      <c r="AL248" s="2" t="s">
        <v>1989</v>
      </c>
      <c r="AM248" s="2" t="s">
        <v>1934</v>
      </c>
      <c r="AN248" s="2" t="s">
        <v>40</v>
      </c>
      <c r="AO248" s="2" t="n">
        <v>3</v>
      </c>
      <c r="AP248" s="2" t="s">
        <v>448</v>
      </c>
      <c r="AQ248" s="2" t="s">
        <v>1768</v>
      </c>
      <c r="AR248" s="2" t="s">
        <v>1769</v>
      </c>
    </row>
    <row r="249" customFormat="false" ht="46.25" hidden="false" customHeight="false" outlineLevel="0" collapsed="false">
      <c r="A249" s="2" t="n">
        <v>248</v>
      </c>
      <c r="B249" s="2" t="s">
        <v>2152</v>
      </c>
      <c r="C249" s="2" t="s">
        <v>686</v>
      </c>
      <c r="D249" s="2" t="s">
        <v>34</v>
      </c>
      <c r="E249" s="2" t="s">
        <v>1098</v>
      </c>
      <c r="F249" s="2" t="s">
        <v>1099</v>
      </c>
      <c r="G249" s="2" t="s">
        <v>873</v>
      </c>
      <c r="H249" s="2" t="s">
        <v>35</v>
      </c>
      <c r="I249" s="2" t="s">
        <v>1111</v>
      </c>
      <c r="J249" s="2" t="s">
        <v>912</v>
      </c>
      <c r="K249" s="2" t="s">
        <v>56</v>
      </c>
      <c r="L249" s="2" t="s">
        <v>1129</v>
      </c>
      <c r="M249" s="2" t="s">
        <v>56</v>
      </c>
      <c r="N249" s="2" t="s">
        <v>913</v>
      </c>
      <c r="O249" s="2" t="s">
        <v>530</v>
      </c>
      <c r="P249" s="2" t="s">
        <v>999</v>
      </c>
      <c r="Q249" s="2" t="s">
        <v>45</v>
      </c>
      <c r="R249" s="2" t="s">
        <v>97</v>
      </c>
      <c r="S249" s="2" t="n">
        <v>1</v>
      </c>
      <c r="T249" s="2" t="s">
        <v>61</v>
      </c>
      <c r="U249" s="2" t="s">
        <v>59</v>
      </c>
      <c r="V249" s="2" t="s">
        <v>211</v>
      </c>
      <c r="W249" s="2" t="s">
        <v>67</v>
      </c>
      <c r="X249" s="2"/>
      <c r="Y249" s="2"/>
      <c r="Z249" s="2"/>
      <c r="AA249" s="2"/>
      <c r="AB249" s="2"/>
      <c r="AC249" s="2" t="s">
        <v>1984</v>
      </c>
      <c r="AD249" s="2" t="s">
        <v>1985</v>
      </c>
      <c r="AE249" s="2" t="s">
        <v>915</v>
      </c>
      <c r="AF249" s="2" t="s">
        <v>462</v>
      </c>
      <c r="AG249" s="2" t="s">
        <v>1765</v>
      </c>
      <c r="AH249" s="2" t="s">
        <v>612</v>
      </c>
      <c r="AI249" s="2" t="s">
        <v>2153</v>
      </c>
      <c r="AJ249" s="2" t="s">
        <v>2154</v>
      </c>
      <c r="AK249" s="2" t="s">
        <v>1988</v>
      </c>
      <c r="AL249" s="2" t="s">
        <v>1989</v>
      </c>
      <c r="AM249" s="2" t="s">
        <v>1710</v>
      </c>
      <c r="AN249" s="2" t="s">
        <v>40</v>
      </c>
      <c r="AO249" s="2" t="n">
        <v>2</v>
      </c>
      <c r="AP249" s="2" t="s">
        <v>461</v>
      </c>
      <c r="AQ249" s="2" t="s">
        <v>1768</v>
      </c>
      <c r="AR249" s="2" t="s">
        <v>1769</v>
      </c>
    </row>
    <row r="250" customFormat="false" ht="46.25" hidden="false" customHeight="false" outlineLevel="0" collapsed="false">
      <c r="A250" s="2" t="n">
        <v>249</v>
      </c>
      <c r="B250" s="2" t="s">
        <v>2155</v>
      </c>
      <c r="C250" s="2" t="s">
        <v>686</v>
      </c>
      <c r="D250" s="2" t="s">
        <v>34</v>
      </c>
      <c r="E250" s="2" t="s">
        <v>1098</v>
      </c>
      <c r="F250" s="2" t="s">
        <v>1099</v>
      </c>
      <c r="G250" s="2" t="s">
        <v>873</v>
      </c>
      <c r="H250" s="2" t="s">
        <v>35</v>
      </c>
      <c r="I250" s="2" t="s">
        <v>1111</v>
      </c>
      <c r="J250" s="2" t="s">
        <v>912</v>
      </c>
      <c r="K250" s="2" t="s">
        <v>56</v>
      </c>
      <c r="L250" s="2" t="s">
        <v>1129</v>
      </c>
      <c r="M250" s="2" t="s">
        <v>56</v>
      </c>
      <c r="N250" s="2" t="s">
        <v>913</v>
      </c>
      <c r="O250" s="2" t="s">
        <v>528</v>
      </c>
      <c r="P250" s="2" t="s">
        <v>1000</v>
      </c>
      <c r="Q250" s="2" t="s">
        <v>75</v>
      </c>
      <c r="R250" s="2" t="s">
        <v>95</v>
      </c>
      <c r="S250" s="2" t="n">
        <v>1</v>
      </c>
      <c r="T250" s="2" t="s">
        <v>61</v>
      </c>
      <c r="U250" s="2" t="s">
        <v>59</v>
      </c>
      <c r="V250" s="2" t="s">
        <v>211</v>
      </c>
      <c r="W250" s="2" t="s">
        <v>67</v>
      </c>
      <c r="X250" s="2"/>
      <c r="Y250" s="2"/>
      <c r="Z250" s="2"/>
      <c r="AA250" s="2"/>
      <c r="AB250" s="2"/>
      <c r="AC250" s="2" t="s">
        <v>1984</v>
      </c>
      <c r="AD250" s="2" t="s">
        <v>1985</v>
      </c>
      <c r="AE250" s="2" t="s">
        <v>915</v>
      </c>
      <c r="AF250" s="2" t="s">
        <v>462</v>
      </c>
      <c r="AG250" s="2" t="s">
        <v>1765</v>
      </c>
      <c r="AH250" s="2" t="s">
        <v>613</v>
      </c>
      <c r="AI250" s="2" t="s">
        <v>2156</v>
      </c>
      <c r="AJ250" s="2" t="s">
        <v>2157</v>
      </c>
      <c r="AK250" s="2" t="s">
        <v>1988</v>
      </c>
      <c r="AL250" s="2" t="s">
        <v>1989</v>
      </c>
      <c r="AM250" s="2" t="s">
        <v>1927</v>
      </c>
      <c r="AN250" s="2" t="s">
        <v>40</v>
      </c>
      <c r="AO250" s="2" t="n">
        <v>2</v>
      </c>
      <c r="AP250" s="2" t="s">
        <v>461</v>
      </c>
      <c r="AQ250" s="2" t="s">
        <v>1768</v>
      </c>
      <c r="AR250" s="2" t="s">
        <v>1769</v>
      </c>
    </row>
    <row r="251" customFormat="false" ht="46.25" hidden="false" customHeight="false" outlineLevel="0" collapsed="false">
      <c r="A251" s="2" t="n">
        <v>250</v>
      </c>
      <c r="B251" s="2" t="s">
        <v>2158</v>
      </c>
      <c r="C251" s="2" t="s">
        <v>686</v>
      </c>
      <c r="D251" s="2" t="s">
        <v>34</v>
      </c>
      <c r="E251" s="2" t="s">
        <v>1098</v>
      </c>
      <c r="F251" s="2" t="s">
        <v>1099</v>
      </c>
      <c r="G251" s="2" t="s">
        <v>873</v>
      </c>
      <c r="H251" s="2" t="s">
        <v>35</v>
      </c>
      <c r="I251" s="2" t="s">
        <v>1111</v>
      </c>
      <c r="J251" s="2" t="s">
        <v>912</v>
      </c>
      <c r="K251" s="2" t="s">
        <v>56</v>
      </c>
      <c r="L251" s="2" t="s">
        <v>1129</v>
      </c>
      <c r="M251" s="2" t="s">
        <v>56</v>
      </c>
      <c r="N251" s="2" t="s">
        <v>913</v>
      </c>
      <c r="O251" s="2" t="s">
        <v>239</v>
      </c>
      <c r="P251" s="2" t="s">
        <v>934</v>
      </c>
      <c r="Q251" s="2" t="s">
        <v>45</v>
      </c>
      <c r="R251" s="2" t="s">
        <v>96</v>
      </c>
      <c r="S251" s="2" t="n">
        <v>1</v>
      </c>
      <c r="T251" s="2" t="s">
        <v>61</v>
      </c>
      <c r="U251" s="2" t="s">
        <v>39</v>
      </c>
      <c r="V251" s="2" t="s">
        <v>215</v>
      </c>
      <c r="W251" s="2" t="s">
        <v>64</v>
      </c>
      <c r="X251" s="2"/>
      <c r="Y251" s="2"/>
      <c r="Z251" s="2"/>
      <c r="AA251" s="2"/>
      <c r="AB251" s="2"/>
      <c r="AC251" s="2" t="s">
        <v>1984</v>
      </c>
      <c r="AD251" s="2" t="s">
        <v>1985</v>
      </c>
      <c r="AE251" s="2" t="s">
        <v>915</v>
      </c>
      <c r="AF251" s="2" t="s">
        <v>462</v>
      </c>
      <c r="AG251" s="2" t="s">
        <v>1765</v>
      </c>
      <c r="AH251" s="2" t="s">
        <v>614</v>
      </c>
      <c r="AI251" s="2" t="s">
        <v>2159</v>
      </c>
      <c r="AJ251" s="2" t="s">
        <v>2160</v>
      </c>
      <c r="AK251" s="2" t="s">
        <v>1988</v>
      </c>
      <c r="AL251" s="2" t="s">
        <v>1989</v>
      </c>
      <c r="AM251" s="2" t="s">
        <v>1288</v>
      </c>
      <c r="AN251" s="2" t="s">
        <v>47</v>
      </c>
      <c r="AO251" s="2" t="n">
        <v>4</v>
      </c>
      <c r="AP251" s="2" t="s">
        <v>461</v>
      </c>
      <c r="AQ251" s="2" t="s">
        <v>1768</v>
      </c>
      <c r="AR251" s="2" t="s">
        <v>1769</v>
      </c>
    </row>
    <row r="252" customFormat="false" ht="46.25" hidden="false" customHeight="false" outlineLevel="0" collapsed="false">
      <c r="A252" s="2" t="n">
        <v>251</v>
      </c>
      <c r="B252" s="2" t="s">
        <v>2161</v>
      </c>
      <c r="C252" s="2" t="s">
        <v>686</v>
      </c>
      <c r="D252" s="2" t="s">
        <v>34</v>
      </c>
      <c r="E252" s="2" t="s">
        <v>1098</v>
      </c>
      <c r="F252" s="2" t="s">
        <v>1099</v>
      </c>
      <c r="G252" s="2" t="s">
        <v>873</v>
      </c>
      <c r="H252" s="2" t="s">
        <v>35</v>
      </c>
      <c r="I252" s="2" t="s">
        <v>1111</v>
      </c>
      <c r="J252" s="2" t="s">
        <v>912</v>
      </c>
      <c r="K252" s="2" t="s">
        <v>56</v>
      </c>
      <c r="L252" s="2" t="s">
        <v>1129</v>
      </c>
      <c r="M252" s="2" t="s">
        <v>56</v>
      </c>
      <c r="N252" s="2" t="s">
        <v>913</v>
      </c>
      <c r="O252" s="2" t="s">
        <v>489</v>
      </c>
      <c r="P252" s="2" t="s">
        <v>935</v>
      </c>
      <c r="Q252" s="2" t="s">
        <v>45</v>
      </c>
      <c r="R252" s="2" t="s">
        <v>94</v>
      </c>
      <c r="S252" s="2" t="n">
        <v>1</v>
      </c>
      <c r="T252" s="2" t="s">
        <v>61</v>
      </c>
      <c r="U252" s="2" t="s">
        <v>46</v>
      </c>
      <c r="V252" s="2" t="s">
        <v>230</v>
      </c>
      <c r="W252" s="2" t="s">
        <v>64</v>
      </c>
      <c r="X252" s="2"/>
      <c r="Y252" s="2"/>
      <c r="Z252" s="2"/>
      <c r="AA252" s="2"/>
      <c r="AB252" s="2"/>
      <c r="AC252" s="2" t="s">
        <v>1984</v>
      </c>
      <c r="AD252" s="2" t="s">
        <v>1985</v>
      </c>
      <c r="AE252" s="2" t="s">
        <v>915</v>
      </c>
      <c r="AF252" s="2" t="s">
        <v>462</v>
      </c>
      <c r="AG252" s="2" t="s">
        <v>1765</v>
      </c>
      <c r="AH252" s="2" t="s">
        <v>615</v>
      </c>
      <c r="AI252" s="2" t="s">
        <v>2162</v>
      </c>
      <c r="AJ252" s="2" t="s">
        <v>2163</v>
      </c>
      <c r="AK252" s="2" t="s">
        <v>1988</v>
      </c>
      <c r="AL252" s="2" t="s">
        <v>1989</v>
      </c>
      <c r="AM252" s="2" t="s">
        <v>1834</v>
      </c>
      <c r="AN252" s="2" t="s">
        <v>47</v>
      </c>
      <c r="AO252" s="2" t="n">
        <v>3</v>
      </c>
      <c r="AP252" s="2" t="s">
        <v>461</v>
      </c>
      <c r="AQ252" s="2" t="s">
        <v>1768</v>
      </c>
      <c r="AR252" s="2" t="s">
        <v>1769</v>
      </c>
    </row>
    <row r="253" customFormat="false" ht="46.25" hidden="false" customHeight="false" outlineLevel="0" collapsed="false">
      <c r="A253" s="2" t="n">
        <v>252</v>
      </c>
      <c r="B253" s="2" t="s">
        <v>2164</v>
      </c>
      <c r="C253" s="2" t="s">
        <v>686</v>
      </c>
      <c r="D253" s="2" t="s">
        <v>34</v>
      </c>
      <c r="E253" s="2" t="s">
        <v>1098</v>
      </c>
      <c r="F253" s="2" t="s">
        <v>1099</v>
      </c>
      <c r="G253" s="2" t="s">
        <v>873</v>
      </c>
      <c r="H253" s="2" t="s">
        <v>35</v>
      </c>
      <c r="I253" s="2" t="s">
        <v>1111</v>
      </c>
      <c r="J253" s="2" t="s">
        <v>912</v>
      </c>
      <c r="K253" s="2" t="s">
        <v>56</v>
      </c>
      <c r="L253" s="2" t="s">
        <v>1129</v>
      </c>
      <c r="M253" s="2" t="s">
        <v>56</v>
      </c>
      <c r="N253" s="2" t="s">
        <v>913</v>
      </c>
      <c r="O253" s="2" t="s">
        <v>484</v>
      </c>
      <c r="P253" s="2" t="s">
        <v>930</v>
      </c>
      <c r="Q253" s="2" t="s">
        <v>58</v>
      </c>
      <c r="R253" s="2" t="s">
        <v>91</v>
      </c>
      <c r="S253" s="2" t="n">
        <v>1</v>
      </c>
      <c r="T253" s="2" t="s">
        <v>61</v>
      </c>
      <c r="U253" s="2" t="s">
        <v>39</v>
      </c>
      <c r="V253" s="2" t="s">
        <v>215</v>
      </c>
      <c r="W253" s="2" t="s">
        <v>64</v>
      </c>
      <c r="X253" s="2"/>
      <c r="Y253" s="2"/>
      <c r="Z253" s="2"/>
      <c r="AA253" s="2"/>
      <c r="AB253" s="2"/>
      <c r="AC253" s="2" t="s">
        <v>1984</v>
      </c>
      <c r="AD253" s="2" t="s">
        <v>1985</v>
      </c>
      <c r="AE253" s="2" t="s">
        <v>915</v>
      </c>
      <c r="AF253" s="2" t="s">
        <v>462</v>
      </c>
      <c r="AG253" s="2" t="s">
        <v>1765</v>
      </c>
      <c r="AH253" s="2" t="s">
        <v>616</v>
      </c>
      <c r="AI253" s="2" t="s">
        <v>2165</v>
      </c>
      <c r="AJ253" s="2" t="s">
        <v>2166</v>
      </c>
      <c r="AK253" s="2" t="s">
        <v>1988</v>
      </c>
      <c r="AL253" s="2" t="s">
        <v>1989</v>
      </c>
      <c r="AM253" s="2" t="s">
        <v>1821</v>
      </c>
      <c r="AN253" s="2" t="s">
        <v>47</v>
      </c>
      <c r="AO253" s="2" t="n">
        <v>3</v>
      </c>
      <c r="AP253" s="2" t="s">
        <v>461</v>
      </c>
      <c r="AQ253" s="2" t="s">
        <v>1768</v>
      </c>
      <c r="AR253" s="2" t="s">
        <v>1769</v>
      </c>
    </row>
    <row r="254" customFormat="false" ht="46.25" hidden="false" customHeight="false" outlineLevel="0" collapsed="false">
      <c r="A254" s="2" t="n">
        <v>253</v>
      </c>
      <c r="B254" s="2" t="s">
        <v>2167</v>
      </c>
      <c r="C254" s="2" t="s">
        <v>686</v>
      </c>
      <c r="D254" s="2" t="s">
        <v>34</v>
      </c>
      <c r="E254" s="2" t="s">
        <v>1098</v>
      </c>
      <c r="F254" s="2" t="s">
        <v>1099</v>
      </c>
      <c r="G254" s="2" t="s">
        <v>873</v>
      </c>
      <c r="H254" s="2" t="s">
        <v>35</v>
      </c>
      <c r="I254" s="2" t="s">
        <v>1111</v>
      </c>
      <c r="J254" s="2" t="s">
        <v>912</v>
      </c>
      <c r="K254" s="2" t="s">
        <v>56</v>
      </c>
      <c r="L254" s="2" t="s">
        <v>1129</v>
      </c>
      <c r="M254" s="2" t="s">
        <v>56</v>
      </c>
      <c r="N254" s="2" t="s">
        <v>913</v>
      </c>
      <c r="O254" s="2" t="s">
        <v>618</v>
      </c>
      <c r="P254" s="2" t="s">
        <v>1001</v>
      </c>
      <c r="Q254" s="2" t="s">
        <v>58</v>
      </c>
      <c r="R254" s="2" t="s">
        <v>1853</v>
      </c>
      <c r="S254" s="2" t="n">
        <v>2</v>
      </c>
      <c r="T254" s="2" t="s">
        <v>41</v>
      </c>
      <c r="U254" s="2" t="s">
        <v>59</v>
      </c>
      <c r="V254" s="2" t="s">
        <v>211</v>
      </c>
      <c r="W254" s="2" t="s">
        <v>67</v>
      </c>
      <c r="X254" s="2"/>
      <c r="Y254" s="2"/>
      <c r="Z254" s="2"/>
      <c r="AA254" s="2"/>
      <c r="AB254" s="2"/>
      <c r="AC254" s="2" t="s">
        <v>1984</v>
      </c>
      <c r="AD254" s="2" t="s">
        <v>1985</v>
      </c>
      <c r="AE254" s="2" t="s">
        <v>915</v>
      </c>
      <c r="AF254" s="2" t="s">
        <v>462</v>
      </c>
      <c r="AG254" s="2" t="s">
        <v>1765</v>
      </c>
      <c r="AH254" s="2" t="s">
        <v>617</v>
      </c>
      <c r="AI254" s="2" t="s">
        <v>2168</v>
      </c>
      <c r="AJ254" s="2" t="s">
        <v>2169</v>
      </c>
      <c r="AK254" s="2" t="s">
        <v>1988</v>
      </c>
      <c r="AL254" s="2" t="s">
        <v>1989</v>
      </c>
      <c r="AM254" s="2" t="s">
        <v>1688</v>
      </c>
      <c r="AN254" s="2" t="s">
        <v>40</v>
      </c>
      <c r="AO254" s="2" t="n">
        <v>3</v>
      </c>
      <c r="AP254" s="2" t="s">
        <v>448</v>
      </c>
      <c r="AQ254" s="2"/>
      <c r="AR254" s="2" t="s">
        <v>1769</v>
      </c>
    </row>
    <row r="255" customFormat="false" ht="46.25" hidden="false" customHeight="false" outlineLevel="0" collapsed="false">
      <c r="A255" s="2" t="n">
        <v>254</v>
      </c>
      <c r="B255" s="2" t="s">
        <v>2170</v>
      </c>
      <c r="C255" s="2" t="s">
        <v>686</v>
      </c>
      <c r="D255" s="2" t="s">
        <v>34</v>
      </c>
      <c r="E255" s="2" t="s">
        <v>1098</v>
      </c>
      <c r="F255" s="2" t="s">
        <v>1099</v>
      </c>
      <c r="G255" s="2" t="s">
        <v>873</v>
      </c>
      <c r="H255" s="2" t="s">
        <v>35</v>
      </c>
      <c r="I255" s="2" t="s">
        <v>1111</v>
      </c>
      <c r="J255" s="2" t="s">
        <v>912</v>
      </c>
      <c r="K255" s="2" t="s">
        <v>56</v>
      </c>
      <c r="L255" s="2" t="s">
        <v>1129</v>
      </c>
      <c r="M255" s="2" t="s">
        <v>56</v>
      </c>
      <c r="N255" s="2" t="s">
        <v>913</v>
      </c>
      <c r="O255" s="2" t="s">
        <v>513</v>
      </c>
      <c r="P255" s="2" t="s">
        <v>952</v>
      </c>
      <c r="Q255" s="2" t="s">
        <v>58</v>
      </c>
      <c r="R255" s="2" t="s">
        <v>84</v>
      </c>
      <c r="S255" s="2" t="n">
        <v>1</v>
      </c>
      <c r="T255" s="2" t="s">
        <v>61</v>
      </c>
      <c r="U255" s="2" t="s">
        <v>53</v>
      </c>
      <c r="V255" s="2" t="s">
        <v>233</v>
      </c>
      <c r="W255" s="2" t="s">
        <v>67</v>
      </c>
      <c r="X255" s="2"/>
      <c r="Y255" s="2"/>
      <c r="Z255" s="2"/>
      <c r="AA255" s="2"/>
      <c r="AB255" s="2"/>
      <c r="AC255" s="2" t="s">
        <v>1984</v>
      </c>
      <c r="AD255" s="2" t="s">
        <v>1985</v>
      </c>
      <c r="AE255" s="2" t="s">
        <v>915</v>
      </c>
      <c r="AF255" s="2" t="s">
        <v>462</v>
      </c>
      <c r="AG255" s="2" t="s">
        <v>1765</v>
      </c>
      <c r="AH255" s="2" t="s">
        <v>619</v>
      </c>
      <c r="AI255" s="2" t="s">
        <v>2171</v>
      </c>
      <c r="AJ255" s="2" t="s">
        <v>2172</v>
      </c>
      <c r="AK255" s="2" t="s">
        <v>1988</v>
      </c>
      <c r="AL255" s="2" t="s">
        <v>1989</v>
      </c>
      <c r="AM255" s="2" t="s">
        <v>1892</v>
      </c>
      <c r="AN255" s="2" t="s">
        <v>40</v>
      </c>
      <c r="AO255" s="2" t="n">
        <v>4</v>
      </c>
      <c r="AP255" s="2" t="s">
        <v>448</v>
      </c>
      <c r="AQ255" s="2" t="s">
        <v>1768</v>
      </c>
      <c r="AR255" s="2" t="s">
        <v>1769</v>
      </c>
    </row>
    <row r="256" customFormat="false" ht="46.25" hidden="false" customHeight="false" outlineLevel="0" collapsed="false">
      <c r="A256" s="2" t="n">
        <v>255</v>
      </c>
      <c r="B256" s="2" t="s">
        <v>2173</v>
      </c>
      <c r="C256" s="2" t="s">
        <v>686</v>
      </c>
      <c r="D256" s="2" t="s">
        <v>34</v>
      </c>
      <c r="E256" s="2" t="s">
        <v>1098</v>
      </c>
      <c r="F256" s="2" t="s">
        <v>1099</v>
      </c>
      <c r="G256" s="2" t="s">
        <v>873</v>
      </c>
      <c r="H256" s="2" t="s">
        <v>35</v>
      </c>
      <c r="I256" s="2" t="s">
        <v>1111</v>
      </c>
      <c r="J256" s="2" t="s">
        <v>912</v>
      </c>
      <c r="K256" s="2" t="s">
        <v>56</v>
      </c>
      <c r="L256" s="2" t="s">
        <v>1129</v>
      </c>
      <c r="M256" s="2" t="s">
        <v>56</v>
      </c>
      <c r="N256" s="2" t="s">
        <v>913</v>
      </c>
      <c r="O256" s="2" t="s">
        <v>519</v>
      </c>
      <c r="P256" s="2" t="s">
        <v>956</v>
      </c>
      <c r="Q256" s="2" t="s">
        <v>58</v>
      </c>
      <c r="R256" s="2" t="s">
        <v>1908</v>
      </c>
      <c r="S256" s="2" t="n">
        <v>3</v>
      </c>
      <c r="T256" s="2" t="s">
        <v>41</v>
      </c>
      <c r="U256" s="2" t="s">
        <v>59</v>
      </c>
      <c r="V256" s="2" t="s">
        <v>211</v>
      </c>
      <c r="W256" s="2" t="s">
        <v>67</v>
      </c>
      <c r="X256" s="2"/>
      <c r="Y256" s="2"/>
      <c r="Z256" s="2"/>
      <c r="AA256" s="2"/>
      <c r="AB256" s="2"/>
      <c r="AC256" s="2" t="s">
        <v>1984</v>
      </c>
      <c r="AD256" s="2" t="s">
        <v>1985</v>
      </c>
      <c r="AE256" s="2" t="s">
        <v>915</v>
      </c>
      <c r="AF256" s="2" t="s">
        <v>462</v>
      </c>
      <c r="AG256" s="2" t="s">
        <v>1765</v>
      </c>
      <c r="AH256" s="2" t="s">
        <v>620</v>
      </c>
      <c r="AI256" s="2" t="s">
        <v>2174</v>
      </c>
      <c r="AJ256" s="2" t="s">
        <v>2175</v>
      </c>
      <c r="AK256" s="2" t="s">
        <v>1988</v>
      </c>
      <c r="AL256" s="2" t="s">
        <v>1989</v>
      </c>
      <c r="AM256" s="2" t="s">
        <v>1907</v>
      </c>
      <c r="AN256" s="2" t="s">
        <v>40</v>
      </c>
      <c r="AO256" s="2" t="n">
        <v>3</v>
      </c>
      <c r="AP256" s="2" t="s">
        <v>461</v>
      </c>
      <c r="AQ256" s="2"/>
      <c r="AR256" s="2" t="s">
        <v>1769</v>
      </c>
    </row>
    <row r="257" customFormat="false" ht="46.25" hidden="false" customHeight="false" outlineLevel="0" collapsed="false">
      <c r="A257" s="2" t="n">
        <v>256</v>
      </c>
      <c r="B257" s="2" t="s">
        <v>2176</v>
      </c>
      <c r="C257" s="2" t="s">
        <v>686</v>
      </c>
      <c r="D257" s="2" t="s">
        <v>34</v>
      </c>
      <c r="E257" s="2" t="s">
        <v>1098</v>
      </c>
      <c r="F257" s="2" t="s">
        <v>1099</v>
      </c>
      <c r="G257" s="2" t="s">
        <v>873</v>
      </c>
      <c r="H257" s="2" t="s">
        <v>35</v>
      </c>
      <c r="I257" s="2" t="s">
        <v>1111</v>
      </c>
      <c r="J257" s="2" t="s">
        <v>912</v>
      </c>
      <c r="K257" s="2" t="s">
        <v>56</v>
      </c>
      <c r="L257" s="2" t="s">
        <v>1129</v>
      </c>
      <c r="M257" s="2" t="s">
        <v>56</v>
      </c>
      <c r="N257" s="2" t="s">
        <v>913</v>
      </c>
      <c r="O257" s="2" t="s">
        <v>536</v>
      </c>
      <c r="P257" s="2" t="s">
        <v>968</v>
      </c>
      <c r="Q257" s="2" t="s">
        <v>69</v>
      </c>
      <c r="R257" s="2" t="s">
        <v>118</v>
      </c>
      <c r="S257" s="2" t="n">
        <v>1</v>
      </c>
      <c r="T257" s="2" t="s">
        <v>61</v>
      </c>
      <c r="U257" s="2" t="s">
        <v>39</v>
      </c>
      <c r="V257" s="2" t="s">
        <v>215</v>
      </c>
      <c r="W257" s="2" t="s">
        <v>67</v>
      </c>
      <c r="X257" s="2"/>
      <c r="Y257" s="2"/>
      <c r="Z257" s="2"/>
      <c r="AA257" s="2"/>
      <c r="AB257" s="2"/>
      <c r="AC257" s="2" t="s">
        <v>1984</v>
      </c>
      <c r="AD257" s="2" t="s">
        <v>1985</v>
      </c>
      <c r="AE257" s="2" t="s">
        <v>915</v>
      </c>
      <c r="AF257" s="2" t="s">
        <v>462</v>
      </c>
      <c r="AG257" s="2" t="s">
        <v>1765</v>
      </c>
      <c r="AH257" s="2" t="s">
        <v>621</v>
      </c>
      <c r="AI257" s="2" t="s">
        <v>2177</v>
      </c>
      <c r="AJ257" s="2" t="s">
        <v>2178</v>
      </c>
      <c r="AK257" s="2" t="s">
        <v>1988</v>
      </c>
      <c r="AL257" s="2" t="s">
        <v>1989</v>
      </c>
      <c r="AM257" s="2" t="s">
        <v>1942</v>
      </c>
      <c r="AN257" s="2" t="s">
        <v>40</v>
      </c>
      <c r="AO257" s="2" t="n">
        <v>4</v>
      </c>
      <c r="AP257" s="2" t="s">
        <v>461</v>
      </c>
      <c r="AQ257" s="2" t="s">
        <v>1768</v>
      </c>
      <c r="AR257" s="2" t="s">
        <v>1769</v>
      </c>
    </row>
    <row r="258" customFormat="false" ht="46.25" hidden="false" customHeight="false" outlineLevel="0" collapsed="false">
      <c r="A258" s="2" t="n">
        <v>257</v>
      </c>
      <c r="B258" s="2" t="s">
        <v>2179</v>
      </c>
      <c r="C258" s="2" t="s">
        <v>686</v>
      </c>
      <c r="D258" s="2" t="s">
        <v>34</v>
      </c>
      <c r="E258" s="2" t="s">
        <v>1098</v>
      </c>
      <c r="F258" s="2" t="s">
        <v>1099</v>
      </c>
      <c r="G258" s="2" t="s">
        <v>873</v>
      </c>
      <c r="H258" s="2" t="s">
        <v>35</v>
      </c>
      <c r="I258" s="2" t="s">
        <v>1111</v>
      </c>
      <c r="J258" s="2" t="s">
        <v>912</v>
      </c>
      <c r="K258" s="2" t="s">
        <v>56</v>
      </c>
      <c r="L258" s="2" t="s">
        <v>1129</v>
      </c>
      <c r="M258" s="2" t="s">
        <v>56</v>
      </c>
      <c r="N258" s="2" t="s">
        <v>913</v>
      </c>
      <c r="O258" s="2" t="s">
        <v>623</v>
      </c>
      <c r="P258" s="2" t="s">
        <v>1002</v>
      </c>
      <c r="Q258" s="2" t="s">
        <v>69</v>
      </c>
      <c r="R258" s="2" t="s">
        <v>106</v>
      </c>
      <c r="S258" s="2" t="n">
        <v>1</v>
      </c>
      <c r="T258" s="2" t="s">
        <v>61</v>
      </c>
      <c r="U258" s="2" t="s">
        <v>39</v>
      </c>
      <c r="V258" s="2" t="s">
        <v>215</v>
      </c>
      <c r="W258" s="2" t="s">
        <v>67</v>
      </c>
      <c r="X258" s="2"/>
      <c r="Y258" s="2"/>
      <c r="Z258" s="2"/>
      <c r="AA258" s="2"/>
      <c r="AB258" s="2"/>
      <c r="AC258" s="2" t="s">
        <v>1984</v>
      </c>
      <c r="AD258" s="2" t="s">
        <v>1985</v>
      </c>
      <c r="AE258" s="2" t="s">
        <v>915</v>
      </c>
      <c r="AF258" s="2" t="s">
        <v>462</v>
      </c>
      <c r="AG258" s="2" t="s">
        <v>1765</v>
      </c>
      <c r="AH258" s="2" t="s">
        <v>622</v>
      </c>
      <c r="AI258" s="2" t="s">
        <v>2180</v>
      </c>
      <c r="AJ258" s="2" t="s">
        <v>2181</v>
      </c>
      <c r="AK258" s="2" t="s">
        <v>1988</v>
      </c>
      <c r="AL258" s="2" t="s">
        <v>1989</v>
      </c>
      <c r="AM258" s="2" t="s">
        <v>2182</v>
      </c>
      <c r="AN258" s="2" t="s">
        <v>40</v>
      </c>
      <c r="AO258" s="2" t="n">
        <v>3</v>
      </c>
      <c r="AP258" s="2" t="s">
        <v>461</v>
      </c>
      <c r="AQ258" s="2" t="s">
        <v>1768</v>
      </c>
      <c r="AR258" s="2" t="s">
        <v>1769</v>
      </c>
    </row>
    <row r="259" customFormat="false" ht="46.25" hidden="false" customHeight="false" outlineLevel="0" collapsed="false">
      <c r="A259" s="2" t="n">
        <v>258</v>
      </c>
      <c r="B259" s="2" t="s">
        <v>2183</v>
      </c>
      <c r="C259" s="2" t="s">
        <v>686</v>
      </c>
      <c r="D259" s="2" t="s">
        <v>34</v>
      </c>
      <c r="E259" s="2" t="s">
        <v>1098</v>
      </c>
      <c r="F259" s="2" t="s">
        <v>1099</v>
      </c>
      <c r="G259" s="2" t="s">
        <v>873</v>
      </c>
      <c r="H259" s="2" t="s">
        <v>35</v>
      </c>
      <c r="I259" s="2" t="s">
        <v>1111</v>
      </c>
      <c r="J259" s="2" t="s">
        <v>912</v>
      </c>
      <c r="K259" s="2" t="s">
        <v>56</v>
      </c>
      <c r="L259" s="2" t="s">
        <v>1129</v>
      </c>
      <c r="M259" s="2" t="s">
        <v>56</v>
      </c>
      <c r="N259" s="2" t="s">
        <v>913</v>
      </c>
      <c r="O259" s="2" t="s">
        <v>505</v>
      </c>
      <c r="P259" s="2" t="s">
        <v>947</v>
      </c>
      <c r="Q259" s="2" t="s">
        <v>69</v>
      </c>
      <c r="R259" s="2" t="s">
        <v>107</v>
      </c>
      <c r="S259" s="2" t="n">
        <v>1</v>
      </c>
      <c r="T259" s="2" t="s">
        <v>61</v>
      </c>
      <c r="U259" s="2" t="s">
        <v>53</v>
      </c>
      <c r="V259" s="2" t="s">
        <v>233</v>
      </c>
      <c r="W259" s="2" t="s">
        <v>67</v>
      </c>
      <c r="X259" s="2"/>
      <c r="Y259" s="2"/>
      <c r="Z259" s="2"/>
      <c r="AA259" s="2"/>
      <c r="AB259" s="2"/>
      <c r="AC259" s="2" t="s">
        <v>1984</v>
      </c>
      <c r="AD259" s="2" t="s">
        <v>1985</v>
      </c>
      <c r="AE259" s="2" t="s">
        <v>915</v>
      </c>
      <c r="AF259" s="2" t="s">
        <v>462</v>
      </c>
      <c r="AG259" s="2" t="s">
        <v>1765</v>
      </c>
      <c r="AH259" s="2" t="s">
        <v>624</v>
      </c>
      <c r="AI259" s="2" t="s">
        <v>2184</v>
      </c>
      <c r="AJ259" s="2" t="s">
        <v>2185</v>
      </c>
      <c r="AK259" s="2" t="s">
        <v>1988</v>
      </c>
      <c r="AL259" s="2" t="s">
        <v>1989</v>
      </c>
      <c r="AM259" s="2" t="s">
        <v>1873</v>
      </c>
      <c r="AN259" s="2" t="s">
        <v>40</v>
      </c>
      <c r="AO259" s="2" t="n">
        <v>2</v>
      </c>
      <c r="AP259" s="2" t="s">
        <v>495</v>
      </c>
      <c r="AQ259" s="2" t="s">
        <v>1768</v>
      </c>
      <c r="AR259" s="2" t="s">
        <v>1769</v>
      </c>
    </row>
    <row r="260" customFormat="false" ht="46.25" hidden="false" customHeight="false" outlineLevel="0" collapsed="false">
      <c r="A260" s="2" t="n">
        <v>259</v>
      </c>
      <c r="B260" s="2" t="s">
        <v>2186</v>
      </c>
      <c r="C260" s="2" t="s">
        <v>686</v>
      </c>
      <c r="D260" s="2" t="s">
        <v>34</v>
      </c>
      <c r="E260" s="2" t="s">
        <v>1098</v>
      </c>
      <c r="F260" s="2" t="s">
        <v>1099</v>
      </c>
      <c r="G260" s="2" t="s">
        <v>873</v>
      </c>
      <c r="H260" s="2" t="s">
        <v>35</v>
      </c>
      <c r="I260" s="2" t="s">
        <v>1111</v>
      </c>
      <c r="J260" s="2" t="s">
        <v>912</v>
      </c>
      <c r="K260" s="2" t="s">
        <v>56</v>
      </c>
      <c r="L260" s="2" t="s">
        <v>1129</v>
      </c>
      <c r="M260" s="2" t="s">
        <v>56</v>
      </c>
      <c r="N260" s="2" t="s">
        <v>913</v>
      </c>
      <c r="O260" s="2" t="s">
        <v>534</v>
      </c>
      <c r="P260" s="2" t="s">
        <v>966</v>
      </c>
      <c r="Q260" s="2" t="s">
        <v>69</v>
      </c>
      <c r="R260" s="2" t="s">
        <v>117</v>
      </c>
      <c r="S260" s="2" t="n">
        <v>1</v>
      </c>
      <c r="T260" s="2" t="s">
        <v>61</v>
      </c>
      <c r="U260" s="2" t="s">
        <v>39</v>
      </c>
      <c r="V260" s="2" t="s">
        <v>215</v>
      </c>
      <c r="W260" s="2" t="s">
        <v>67</v>
      </c>
      <c r="X260" s="2"/>
      <c r="Y260" s="2"/>
      <c r="Z260" s="2"/>
      <c r="AA260" s="2"/>
      <c r="AB260" s="2"/>
      <c r="AC260" s="2" t="s">
        <v>1984</v>
      </c>
      <c r="AD260" s="2" t="s">
        <v>1985</v>
      </c>
      <c r="AE260" s="2" t="s">
        <v>915</v>
      </c>
      <c r="AF260" s="2" t="s">
        <v>462</v>
      </c>
      <c r="AG260" s="2" t="s">
        <v>1765</v>
      </c>
      <c r="AH260" s="2" t="s">
        <v>625</v>
      </c>
      <c r="AI260" s="2" t="s">
        <v>2187</v>
      </c>
      <c r="AJ260" s="2" t="s">
        <v>2188</v>
      </c>
      <c r="AK260" s="2" t="s">
        <v>1988</v>
      </c>
      <c r="AL260" s="2" t="s">
        <v>1989</v>
      </c>
      <c r="AM260" s="2" t="s">
        <v>1938</v>
      </c>
      <c r="AN260" s="2" t="s">
        <v>40</v>
      </c>
      <c r="AO260" s="2" t="n">
        <v>4</v>
      </c>
      <c r="AP260" s="2" t="s">
        <v>461</v>
      </c>
      <c r="AQ260" s="2" t="s">
        <v>1768</v>
      </c>
      <c r="AR260" s="2" t="s">
        <v>1769</v>
      </c>
    </row>
    <row r="261" customFormat="false" ht="46.25" hidden="false" customHeight="false" outlineLevel="0" collapsed="false">
      <c r="A261" s="2" t="n">
        <v>260</v>
      </c>
      <c r="B261" s="2" t="s">
        <v>2189</v>
      </c>
      <c r="C261" s="2" t="s">
        <v>686</v>
      </c>
      <c r="D261" s="2" t="s">
        <v>34</v>
      </c>
      <c r="E261" s="2" t="s">
        <v>1098</v>
      </c>
      <c r="F261" s="2" t="s">
        <v>1099</v>
      </c>
      <c r="G261" s="2" t="s">
        <v>873</v>
      </c>
      <c r="H261" s="2" t="s">
        <v>35</v>
      </c>
      <c r="I261" s="2" t="s">
        <v>1111</v>
      </c>
      <c r="J261" s="2" t="s">
        <v>912</v>
      </c>
      <c r="K261" s="2" t="s">
        <v>56</v>
      </c>
      <c r="L261" s="2" t="s">
        <v>1129</v>
      </c>
      <c r="M261" s="2" t="s">
        <v>56</v>
      </c>
      <c r="N261" s="2" t="s">
        <v>913</v>
      </c>
      <c r="O261" s="2" t="s">
        <v>472</v>
      </c>
      <c r="P261" s="2" t="s">
        <v>923</v>
      </c>
      <c r="Q261" s="2" t="s">
        <v>69</v>
      </c>
      <c r="R261" s="2" t="s">
        <v>106</v>
      </c>
      <c r="S261" s="2" t="n">
        <v>1</v>
      </c>
      <c r="T261" s="2" t="s">
        <v>61</v>
      </c>
      <c r="U261" s="2" t="s">
        <v>39</v>
      </c>
      <c r="V261" s="2" t="s">
        <v>215</v>
      </c>
      <c r="W261" s="2" t="s">
        <v>67</v>
      </c>
      <c r="X261" s="2"/>
      <c r="Y261" s="2"/>
      <c r="Z261" s="2"/>
      <c r="AA261" s="2"/>
      <c r="AB261" s="2"/>
      <c r="AC261" s="2" t="s">
        <v>1984</v>
      </c>
      <c r="AD261" s="2" t="s">
        <v>1985</v>
      </c>
      <c r="AE261" s="2" t="s">
        <v>915</v>
      </c>
      <c r="AF261" s="2" t="s">
        <v>462</v>
      </c>
      <c r="AG261" s="2" t="s">
        <v>1765</v>
      </c>
      <c r="AH261" s="2" t="s">
        <v>626</v>
      </c>
      <c r="AI261" s="2" t="s">
        <v>2190</v>
      </c>
      <c r="AJ261" s="2" t="s">
        <v>2191</v>
      </c>
      <c r="AK261" s="2" t="s">
        <v>1988</v>
      </c>
      <c r="AL261" s="2" t="s">
        <v>1989</v>
      </c>
      <c r="AM261" s="2" t="s">
        <v>2192</v>
      </c>
      <c r="AN261" s="2" t="s">
        <v>40</v>
      </c>
      <c r="AO261" s="2" t="n">
        <v>3</v>
      </c>
      <c r="AP261" s="2" t="s">
        <v>461</v>
      </c>
      <c r="AQ261" s="2" t="s">
        <v>1768</v>
      </c>
      <c r="AR261" s="2" t="s">
        <v>1769</v>
      </c>
    </row>
    <row r="262" customFormat="false" ht="46.25" hidden="false" customHeight="false" outlineLevel="0" collapsed="false">
      <c r="A262" s="2" t="n">
        <v>261</v>
      </c>
      <c r="B262" s="2" t="s">
        <v>2193</v>
      </c>
      <c r="C262" s="2" t="s">
        <v>686</v>
      </c>
      <c r="D262" s="2" t="s">
        <v>34</v>
      </c>
      <c r="E262" s="2" t="s">
        <v>1098</v>
      </c>
      <c r="F262" s="2" t="s">
        <v>1099</v>
      </c>
      <c r="G262" s="2" t="s">
        <v>873</v>
      </c>
      <c r="H262" s="2" t="s">
        <v>35</v>
      </c>
      <c r="I262" s="2" t="s">
        <v>1111</v>
      </c>
      <c r="J262" s="2" t="s">
        <v>912</v>
      </c>
      <c r="K262" s="2" t="s">
        <v>56</v>
      </c>
      <c r="L262" s="2" t="s">
        <v>1129</v>
      </c>
      <c r="M262" s="2" t="s">
        <v>56</v>
      </c>
      <c r="N262" s="2" t="s">
        <v>913</v>
      </c>
      <c r="O262" s="2" t="s">
        <v>287</v>
      </c>
      <c r="P262" s="2" t="s">
        <v>972</v>
      </c>
      <c r="Q262" s="2" t="s">
        <v>69</v>
      </c>
      <c r="R262" s="2" t="s">
        <v>115</v>
      </c>
      <c r="S262" s="2" t="n">
        <v>1</v>
      </c>
      <c r="T262" s="2" t="s">
        <v>61</v>
      </c>
      <c r="U262" s="2" t="s">
        <v>59</v>
      </c>
      <c r="V262" s="2" t="s">
        <v>211</v>
      </c>
      <c r="W262" s="2" t="s">
        <v>67</v>
      </c>
      <c r="X262" s="2"/>
      <c r="Y262" s="2"/>
      <c r="Z262" s="2"/>
      <c r="AA262" s="2"/>
      <c r="AB262" s="2"/>
      <c r="AC262" s="2" t="s">
        <v>1984</v>
      </c>
      <c r="AD262" s="2" t="s">
        <v>1985</v>
      </c>
      <c r="AE262" s="2" t="s">
        <v>915</v>
      </c>
      <c r="AF262" s="2" t="s">
        <v>462</v>
      </c>
      <c r="AG262" s="2" t="s">
        <v>1765</v>
      </c>
      <c r="AH262" s="2" t="s">
        <v>627</v>
      </c>
      <c r="AI262" s="2" t="s">
        <v>2194</v>
      </c>
      <c r="AJ262" s="2" t="s">
        <v>2195</v>
      </c>
      <c r="AK262" s="2" t="s">
        <v>1988</v>
      </c>
      <c r="AL262" s="2" t="s">
        <v>1989</v>
      </c>
      <c r="AM262" s="2" t="s">
        <v>1384</v>
      </c>
      <c r="AN262" s="2" t="s">
        <v>40</v>
      </c>
      <c r="AO262" s="2" t="n">
        <v>3</v>
      </c>
      <c r="AP262" s="2" t="s">
        <v>461</v>
      </c>
      <c r="AQ262" s="2" t="s">
        <v>1768</v>
      </c>
      <c r="AR262" s="2" t="s">
        <v>1769</v>
      </c>
    </row>
    <row r="263" customFormat="false" ht="46.25" hidden="false" customHeight="false" outlineLevel="0" collapsed="false">
      <c r="A263" s="2" t="n">
        <v>262</v>
      </c>
      <c r="B263" s="2" t="s">
        <v>2196</v>
      </c>
      <c r="C263" s="2" t="s">
        <v>686</v>
      </c>
      <c r="D263" s="2" t="s">
        <v>34</v>
      </c>
      <c r="E263" s="2" t="s">
        <v>1098</v>
      </c>
      <c r="F263" s="2" t="s">
        <v>1099</v>
      </c>
      <c r="G263" s="2" t="s">
        <v>873</v>
      </c>
      <c r="H263" s="2" t="s">
        <v>35</v>
      </c>
      <c r="I263" s="2" t="s">
        <v>1111</v>
      </c>
      <c r="J263" s="2" t="s">
        <v>912</v>
      </c>
      <c r="K263" s="2" t="s">
        <v>56</v>
      </c>
      <c r="L263" s="2" t="s">
        <v>1129</v>
      </c>
      <c r="M263" s="2" t="s">
        <v>56</v>
      </c>
      <c r="N263" s="2" t="s">
        <v>913</v>
      </c>
      <c r="O263" s="2" t="s">
        <v>515</v>
      </c>
      <c r="P263" s="2" t="s">
        <v>953</v>
      </c>
      <c r="Q263" s="2" t="s">
        <v>69</v>
      </c>
      <c r="R263" s="2" t="s">
        <v>109</v>
      </c>
      <c r="S263" s="2" t="n">
        <v>1</v>
      </c>
      <c r="T263" s="2" t="s">
        <v>61</v>
      </c>
      <c r="U263" s="2" t="s">
        <v>59</v>
      </c>
      <c r="V263" s="2" t="s">
        <v>211</v>
      </c>
      <c r="W263" s="2" t="s">
        <v>67</v>
      </c>
      <c r="X263" s="2"/>
      <c r="Y263" s="2"/>
      <c r="Z263" s="2"/>
      <c r="AA263" s="2"/>
      <c r="AB263" s="2"/>
      <c r="AC263" s="2" t="s">
        <v>1984</v>
      </c>
      <c r="AD263" s="2" t="s">
        <v>1985</v>
      </c>
      <c r="AE263" s="2" t="s">
        <v>915</v>
      </c>
      <c r="AF263" s="2" t="s">
        <v>462</v>
      </c>
      <c r="AG263" s="2" t="s">
        <v>1765</v>
      </c>
      <c r="AH263" s="2" t="s">
        <v>628</v>
      </c>
      <c r="AI263" s="2" t="s">
        <v>2197</v>
      </c>
      <c r="AJ263" s="2" t="s">
        <v>2198</v>
      </c>
      <c r="AK263" s="2" t="s">
        <v>1988</v>
      </c>
      <c r="AL263" s="2" t="s">
        <v>1989</v>
      </c>
      <c r="AM263" s="2" t="s">
        <v>1896</v>
      </c>
      <c r="AN263" s="2" t="s">
        <v>40</v>
      </c>
      <c r="AO263" s="2" t="n">
        <v>4</v>
      </c>
      <c r="AP263" s="2" t="s">
        <v>461</v>
      </c>
      <c r="AQ263" s="2" t="s">
        <v>1768</v>
      </c>
      <c r="AR263" s="2" t="s">
        <v>1769</v>
      </c>
    </row>
    <row r="264" customFormat="false" ht="46.25" hidden="false" customHeight="false" outlineLevel="0" collapsed="false">
      <c r="A264" s="2" t="n">
        <v>263</v>
      </c>
      <c r="B264" s="2" t="s">
        <v>2199</v>
      </c>
      <c r="C264" s="2" t="s">
        <v>686</v>
      </c>
      <c r="D264" s="2" t="s">
        <v>34</v>
      </c>
      <c r="E264" s="2" t="s">
        <v>1098</v>
      </c>
      <c r="F264" s="2" t="s">
        <v>1099</v>
      </c>
      <c r="G264" s="2" t="s">
        <v>873</v>
      </c>
      <c r="H264" s="2" t="s">
        <v>35</v>
      </c>
      <c r="I264" s="2" t="s">
        <v>1111</v>
      </c>
      <c r="J264" s="2" t="s">
        <v>912</v>
      </c>
      <c r="K264" s="2" t="s">
        <v>56</v>
      </c>
      <c r="L264" s="2" t="s">
        <v>1129</v>
      </c>
      <c r="M264" s="2" t="s">
        <v>56</v>
      </c>
      <c r="N264" s="2" t="s">
        <v>913</v>
      </c>
      <c r="O264" s="2" t="s">
        <v>507</v>
      </c>
      <c r="P264" s="2" t="s">
        <v>948</v>
      </c>
      <c r="Q264" s="2" t="s">
        <v>69</v>
      </c>
      <c r="R264" s="2" t="s">
        <v>110</v>
      </c>
      <c r="S264" s="2" t="n">
        <v>1</v>
      </c>
      <c r="T264" s="2" t="s">
        <v>61</v>
      </c>
      <c r="U264" s="2" t="s">
        <v>53</v>
      </c>
      <c r="V264" s="2" t="s">
        <v>233</v>
      </c>
      <c r="W264" s="2" t="s">
        <v>67</v>
      </c>
      <c r="X264" s="2"/>
      <c r="Y264" s="2"/>
      <c r="Z264" s="2"/>
      <c r="AA264" s="2"/>
      <c r="AB264" s="2"/>
      <c r="AC264" s="2" t="s">
        <v>1984</v>
      </c>
      <c r="AD264" s="2" t="s">
        <v>1985</v>
      </c>
      <c r="AE264" s="2" t="s">
        <v>915</v>
      </c>
      <c r="AF264" s="2" t="s">
        <v>462</v>
      </c>
      <c r="AG264" s="2" t="s">
        <v>1765</v>
      </c>
      <c r="AH264" s="2" t="s">
        <v>629</v>
      </c>
      <c r="AI264" s="2" t="s">
        <v>2200</v>
      </c>
      <c r="AJ264" s="2" t="s">
        <v>2201</v>
      </c>
      <c r="AK264" s="2" t="s">
        <v>1988</v>
      </c>
      <c r="AL264" s="2" t="s">
        <v>1989</v>
      </c>
      <c r="AM264" s="2" t="s">
        <v>1877</v>
      </c>
      <c r="AN264" s="2" t="s">
        <v>40</v>
      </c>
      <c r="AO264" s="2" t="n">
        <v>2</v>
      </c>
      <c r="AP264" s="2" t="s">
        <v>495</v>
      </c>
      <c r="AQ264" s="2" t="s">
        <v>1768</v>
      </c>
      <c r="AR264" s="2" t="s">
        <v>1769</v>
      </c>
    </row>
    <row r="265" customFormat="false" ht="46.25" hidden="false" customHeight="false" outlineLevel="0" collapsed="false">
      <c r="A265" s="2" t="n">
        <v>264</v>
      </c>
      <c r="B265" s="2" t="s">
        <v>2202</v>
      </c>
      <c r="C265" s="2" t="s">
        <v>686</v>
      </c>
      <c r="D265" s="2" t="s">
        <v>34</v>
      </c>
      <c r="E265" s="2" t="s">
        <v>1098</v>
      </c>
      <c r="F265" s="2" t="s">
        <v>1099</v>
      </c>
      <c r="G265" s="2" t="s">
        <v>873</v>
      </c>
      <c r="H265" s="2" t="s">
        <v>35</v>
      </c>
      <c r="I265" s="2" t="s">
        <v>1111</v>
      </c>
      <c r="J265" s="2" t="s">
        <v>912</v>
      </c>
      <c r="K265" s="2" t="s">
        <v>56</v>
      </c>
      <c r="L265" s="2" t="s">
        <v>1129</v>
      </c>
      <c r="M265" s="2" t="s">
        <v>56</v>
      </c>
      <c r="N265" s="2" t="s">
        <v>913</v>
      </c>
      <c r="O265" s="2" t="s">
        <v>374</v>
      </c>
      <c r="P265" s="2" t="s">
        <v>1003</v>
      </c>
      <c r="Q265" s="2" t="s">
        <v>69</v>
      </c>
      <c r="R265" s="2" t="s">
        <v>124</v>
      </c>
      <c r="S265" s="2" t="n">
        <v>1</v>
      </c>
      <c r="T265" s="2" t="s">
        <v>61</v>
      </c>
      <c r="U265" s="2" t="s">
        <v>59</v>
      </c>
      <c r="V265" s="2" t="s">
        <v>211</v>
      </c>
      <c r="W265" s="2" t="s">
        <v>67</v>
      </c>
      <c r="X265" s="2"/>
      <c r="Y265" s="2"/>
      <c r="Z265" s="2"/>
      <c r="AA265" s="2"/>
      <c r="AB265" s="2"/>
      <c r="AC265" s="2" t="s">
        <v>1984</v>
      </c>
      <c r="AD265" s="2" t="s">
        <v>1985</v>
      </c>
      <c r="AE265" s="2" t="s">
        <v>915</v>
      </c>
      <c r="AF265" s="2" t="s">
        <v>462</v>
      </c>
      <c r="AG265" s="2" t="s">
        <v>1765</v>
      </c>
      <c r="AH265" s="2" t="s">
        <v>630</v>
      </c>
      <c r="AI265" s="2" t="s">
        <v>2203</v>
      </c>
      <c r="AJ265" s="2" t="s">
        <v>2204</v>
      </c>
      <c r="AK265" s="2" t="s">
        <v>1988</v>
      </c>
      <c r="AL265" s="2" t="s">
        <v>1989</v>
      </c>
      <c r="AM265" s="2" t="s">
        <v>1572</v>
      </c>
      <c r="AN265" s="2" t="s">
        <v>40</v>
      </c>
      <c r="AO265" s="2" t="n">
        <v>3</v>
      </c>
      <c r="AP265" s="2" t="s">
        <v>461</v>
      </c>
      <c r="AQ265" s="2" t="s">
        <v>1768</v>
      </c>
      <c r="AR265" s="2" t="s">
        <v>1769</v>
      </c>
    </row>
    <row r="266" customFormat="false" ht="46.25" hidden="false" customHeight="false" outlineLevel="0" collapsed="false">
      <c r="A266" s="2" t="n">
        <v>265</v>
      </c>
      <c r="B266" s="2" t="s">
        <v>2205</v>
      </c>
      <c r="C266" s="2" t="s">
        <v>686</v>
      </c>
      <c r="D266" s="2" t="s">
        <v>34</v>
      </c>
      <c r="E266" s="2" t="s">
        <v>1098</v>
      </c>
      <c r="F266" s="2" t="s">
        <v>1099</v>
      </c>
      <c r="G266" s="2" t="s">
        <v>873</v>
      </c>
      <c r="H266" s="2" t="s">
        <v>35</v>
      </c>
      <c r="I266" s="2" t="s">
        <v>1111</v>
      </c>
      <c r="J266" s="2" t="s">
        <v>912</v>
      </c>
      <c r="K266" s="2" t="s">
        <v>56</v>
      </c>
      <c r="L266" s="2" t="s">
        <v>1129</v>
      </c>
      <c r="M266" s="2" t="s">
        <v>56</v>
      </c>
      <c r="N266" s="2" t="s">
        <v>913</v>
      </c>
      <c r="O266" s="2" t="s">
        <v>275</v>
      </c>
      <c r="P266" s="2" t="s">
        <v>954</v>
      </c>
      <c r="Q266" s="2" t="s">
        <v>69</v>
      </c>
      <c r="R266" s="2" t="s">
        <v>1900</v>
      </c>
      <c r="S266" s="2" t="n">
        <v>2</v>
      </c>
      <c r="T266" s="2" t="s">
        <v>41</v>
      </c>
      <c r="U266" s="2" t="s">
        <v>59</v>
      </c>
      <c r="V266" s="2" t="s">
        <v>211</v>
      </c>
      <c r="W266" s="2" t="s">
        <v>67</v>
      </c>
      <c r="X266" s="2"/>
      <c r="Y266" s="2"/>
      <c r="Z266" s="2"/>
      <c r="AA266" s="2"/>
      <c r="AB266" s="2"/>
      <c r="AC266" s="2" t="s">
        <v>1984</v>
      </c>
      <c r="AD266" s="2" t="s">
        <v>1985</v>
      </c>
      <c r="AE266" s="2" t="s">
        <v>915</v>
      </c>
      <c r="AF266" s="2" t="s">
        <v>462</v>
      </c>
      <c r="AG266" s="2" t="s">
        <v>1765</v>
      </c>
      <c r="AH266" s="2" t="s">
        <v>631</v>
      </c>
      <c r="AI266" s="2" t="s">
        <v>2206</v>
      </c>
      <c r="AJ266" s="2" t="s">
        <v>2207</v>
      </c>
      <c r="AK266" s="2" t="s">
        <v>1988</v>
      </c>
      <c r="AL266" s="2" t="s">
        <v>1989</v>
      </c>
      <c r="AM266" s="2" t="s">
        <v>1564</v>
      </c>
      <c r="AN266" s="2" t="s">
        <v>40</v>
      </c>
      <c r="AO266" s="2" t="n">
        <v>3</v>
      </c>
      <c r="AP266" s="2" t="s">
        <v>448</v>
      </c>
      <c r="AQ266" s="2"/>
      <c r="AR266" s="2" t="s">
        <v>1769</v>
      </c>
    </row>
    <row r="267" customFormat="false" ht="46.25" hidden="false" customHeight="false" outlineLevel="0" collapsed="false">
      <c r="A267" s="2" t="n">
        <v>266</v>
      </c>
      <c r="B267" s="2" t="s">
        <v>2208</v>
      </c>
      <c r="C267" s="2" t="s">
        <v>686</v>
      </c>
      <c r="D267" s="2" t="s">
        <v>34</v>
      </c>
      <c r="E267" s="2" t="s">
        <v>1098</v>
      </c>
      <c r="F267" s="2" t="s">
        <v>1099</v>
      </c>
      <c r="G267" s="2" t="s">
        <v>873</v>
      </c>
      <c r="H267" s="2" t="s">
        <v>35</v>
      </c>
      <c r="I267" s="2" t="s">
        <v>1111</v>
      </c>
      <c r="J267" s="2" t="s">
        <v>912</v>
      </c>
      <c r="K267" s="2" t="s">
        <v>56</v>
      </c>
      <c r="L267" s="2" t="s">
        <v>1129</v>
      </c>
      <c r="M267" s="2" t="s">
        <v>56</v>
      </c>
      <c r="N267" s="2" t="s">
        <v>913</v>
      </c>
      <c r="O267" s="2" t="s">
        <v>377</v>
      </c>
      <c r="P267" s="2" t="s">
        <v>957</v>
      </c>
      <c r="Q267" s="2" t="s">
        <v>69</v>
      </c>
      <c r="R267" s="2" t="s">
        <v>114</v>
      </c>
      <c r="S267" s="2" t="n">
        <v>1</v>
      </c>
      <c r="T267" s="2" t="s">
        <v>61</v>
      </c>
      <c r="U267" s="2" t="s">
        <v>59</v>
      </c>
      <c r="V267" s="2" t="s">
        <v>211</v>
      </c>
      <c r="W267" s="2" t="s">
        <v>67</v>
      </c>
      <c r="X267" s="2"/>
      <c r="Y267" s="2"/>
      <c r="Z267" s="2"/>
      <c r="AA267" s="2"/>
      <c r="AB267" s="2"/>
      <c r="AC267" s="2" t="s">
        <v>1984</v>
      </c>
      <c r="AD267" s="2" t="s">
        <v>1985</v>
      </c>
      <c r="AE267" s="2" t="s">
        <v>915</v>
      </c>
      <c r="AF267" s="2" t="s">
        <v>462</v>
      </c>
      <c r="AG267" s="2" t="s">
        <v>1765</v>
      </c>
      <c r="AH267" s="2" t="s">
        <v>632</v>
      </c>
      <c r="AI267" s="2" t="s">
        <v>2209</v>
      </c>
      <c r="AJ267" s="2" t="s">
        <v>2210</v>
      </c>
      <c r="AK267" s="2" t="s">
        <v>1988</v>
      </c>
      <c r="AL267" s="2" t="s">
        <v>1989</v>
      </c>
      <c r="AM267" s="2" t="s">
        <v>1579</v>
      </c>
      <c r="AN267" s="2" t="s">
        <v>40</v>
      </c>
      <c r="AO267" s="2" t="n">
        <v>4</v>
      </c>
      <c r="AP267" s="2" t="s">
        <v>448</v>
      </c>
      <c r="AQ267" s="2" t="s">
        <v>1768</v>
      </c>
      <c r="AR267" s="2" t="s">
        <v>1769</v>
      </c>
    </row>
    <row r="268" customFormat="false" ht="46.25" hidden="false" customHeight="false" outlineLevel="0" collapsed="false">
      <c r="A268" s="2" t="n">
        <v>267</v>
      </c>
      <c r="B268" s="2" t="s">
        <v>2211</v>
      </c>
      <c r="C268" s="2" t="s">
        <v>686</v>
      </c>
      <c r="D268" s="2" t="s">
        <v>34</v>
      </c>
      <c r="E268" s="2" t="s">
        <v>1098</v>
      </c>
      <c r="F268" s="2" t="s">
        <v>1099</v>
      </c>
      <c r="G268" s="2" t="s">
        <v>873</v>
      </c>
      <c r="H268" s="2" t="s">
        <v>35</v>
      </c>
      <c r="I268" s="2" t="s">
        <v>1111</v>
      </c>
      <c r="J268" s="2" t="s">
        <v>912</v>
      </c>
      <c r="K268" s="2" t="s">
        <v>56</v>
      </c>
      <c r="L268" s="2" t="s">
        <v>1129</v>
      </c>
      <c r="M268" s="2" t="s">
        <v>56</v>
      </c>
      <c r="N268" s="2" t="s">
        <v>913</v>
      </c>
      <c r="O268" s="2" t="s">
        <v>544</v>
      </c>
      <c r="P268" s="2" t="s">
        <v>974</v>
      </c>
      <c r="Q268" s="2" t="s">
        <v>71</v>
      </c>
      <c r="R268" s="2" t="s">
        <v>108</v>
      </c>
      <c r="S268" s="2" t="n">
        <v>1</v>
      </c>
      <c r="T268" s="2" t="s">
        <v>61</v>
      </c>
      <c r="U268" s="2" t="s">
        <v>59</v>
      </c>
      <c r="V268" s="2" t="s">
        <v>211</v>
      </c>
      <c r="W268" s="2" t="s">
        <v>67</v>
      </c>
      <c r="X268" s="2"/>
      <c r="Y268" s="2"/>
      <c r="Z268" s="2"/>
      <c r="AA268" s="2"/>
      <c r="AB268" s="2"/>
      <c r="AC268" s="2" t="s">
        <v>1984</v>
      </c>
      <c r="AD268" s="2" t="s">
        <v>1985</v>
      </c>
      <c r="AE268" s="2" t="s">
        <v>915</v>
      </c>
      <c r="AF268" s="2" t="s">
        <v>462</v>
      </c>
      <c r="AG268" s="2" t="s">
        <v>1765</v>
      </c>
      <c r="AH268" s="2" t="s">
        <v>633</v>
      </c>
      <c r="AI268" s="2" t="s">
        <v>2212</v>
      </c>
      <c r="AJ268" s="2" t="s">
        <v>2213</v>
      </c>
      <c r="AK268" s="2" t="s">
        <v>1988</v>
      </c>
      <c r="AL268" s="2" t="s">
        <v>1989</v>
      </c>
      <c r="AM268" s="2" t="s">
        <v>1959</v>
      </c>
      <c r="AN268" s="2" t="s">
        <v>40</v>
      </c>
      <c r="AO268" s="2" t="n">
        <v>3</v>
      </c>
      <c r="AP268" s="2" t="s">
        <v>461</v>
      </c>
      <c r="AQ268" s="2" t="s">
        <v>1768</v>
      </c>
      <c r="AR268" s="2" t="s">
        <v>1769</v>
      </c>
    </row>
    <row r="269" customFormat="false" ht="46.25" hidden="false" customHeight="false" outlineLevel="0" collapsed="false">
      <c r="A269" s="2" t="n">
        <v>268</v>
      </c>
      <c r="B269" s="2" t="s">
        <v>2214</v>
      </c>
      <c r="C269" s="2" t="s">
        <v>686</v>
      </c>
      <c r="D269" s="2" t="s">
        <v>34</v>
      </c>
      <c r="E269" s="2" t="s">
        <v>1098</v>
      </c>
      <c r="F269" s="2" t="s">
        <v>1099</v>
      </c>
      <c r="G269" s="2" t="s">
        <v>873</v>
      </c>
      <c r="H269" s="2" t="s">
        <v>35</v>
      </c>
      <c r="I269" s="2" t="s">
        <v>1111</v>
      </c>
      <c r="J269" s="2" t="s">
        <v>912</v>
      </c>
      <c r="K269" s="2" t="s">
        <v>56</v>
      </c>
      <c r="L269" s="2" t="s">
        <v>1129</v>
      </c>
      <c r="M269" s="2" t="s">
        <v>56</v>
      </c>
      <c r="N269" s="2" t="s">
        <v>913</v>
      </c>
      <c r="O269" s="2" t="s">
        <v>502</v>
      </c>
      <c r="P269" s="2" t="s">
        <v>945</v>
      </c>
      <c r="Q269" s="2" t="s">
        <v>69</v>
      </c>
      <c r="R269" s="2" t="s">
        <v>105</v>
      </c>
      <c r="S269" s="2" t="n">
        <v>1</v>
      </c>
      <c r="T269" s="2" t="s">
        <v>61</v>
      </c>
      <c r="U269" s="2" t="s">
        <v>46</v>
      </c>
      <c r="V269" s="2" t="s">
        <v>230</v>
      </c>
      <c r="W269" s="2" t="s">
        <v>64</v>
      </c>
      <c r="X269" s="2"/>
      <c r="Y269" s="2"/>
      <c r="Z269" s="2"/>
      <c r="AA269" s="2"/>
      <c r="AB269" s="2"/>
      <c r="AC269" s="2" t="s">
        <v>1984</v>
      </c>
      <c r="AD269" s="2" t="s">
        <v>1985</v>
      </c>
      <c r="AE269" s="2" t="s">
        <v>915</v>
      </c>
      <c r="AF269" s="2" t="s">
        <v>462</v>
      </c>
      <c r="AG269" s="2" t="s">
        <v>1765</v>
      </c>
      <c r="AH269" s="2" t="s">
        <v>634</v>
      </c>
      <c r="AI269" s="2" t="s">
        <v>2215</v>
      </c>
      <c r="AJ269" s="2" t="s">
        <v>2216</v>
      </c>
      <c r="AK269" s="2" t="s">
        <v>1988</v>
      </c>
      <c r="AL269" s="2" t="s">
        <v>1989</v>
      </c>
      <c r="AM269" s="2" t="s">
        <v>1866</v>
      </c>
      <c r="AN269" s="2" t="s">
        <v>47</v>
      </c>
      <c r="AO269" s="2" t="n">
        <v>1</v>
      </c>
      <c r="AP269" s="2" t="s">
        <v>461</v>
      </c>
      <c r="AQ269" s="2" t="s">
        <v>1768</v>
      </c>
      <c r="AR269" s="2" t="s">
        <v>1769</v>
      </c>
    </row>
    <row r="270" customFormat="false" ht="46.25" hidden="false" customHeight="false" outlineLevel="0" collapsed="false">
      <c r="A270" s="2" t="n">
        <v>269</v>
      </c>
      <c r="B270" s="2" t="s">
        <v>2217</v>
      </c>
      <c r="C270" s="2" t="s">
        <v>686</v>
      </c>
      <c r="D270" s="2" t="s">
        <v>34</v>
      </c>
      <c r="E270" s="2" t="s">
        <v>1098</v>
      </c>
      <c r="F270" s="2" t="s">
        <v>1099</v>
      </c>
      <c r="G270" s="2" t="s">
        <v>873</v>
      </c>
      <c r="H270" s="2" t="s">
        <v>35</v>
      </c>
      <c r="I270" s="2" t="s">
        <v>1111</v>
      </c>
      <c r="J270" s="2" t="s">
        <v>912</v>
      </c>
      <c r="K270" s="2" t="s">
        <v>56</v>
      </c>
      <c r="L270" s="2" t="s">
        <v>1129</v>
      </c>
      <c r="M270" s="2" t="s">
        <v>56</v>
      </c>
      <c r="N270" s="2" t="s">
        <v>913</v>
      </c>
      <c r="O270" s="2" t="s">
        <v>636</v>
      </c>
      <c r="P270" s="2" t="s">
        <v>1004</v>
      </c>
      <c r="Q270" s="2" t="s">
        <v>69</v>
      </c>
      <c r="R270" s="2" t="s">
        <v>104</v>
      </c>
      <c r="S270" s="2" t="n">
        <v>1</v>
      </c>
      <c r="T270" s="2" t="s">
        <v>61</v>
      </c>
      <c r="U270" s="2" t="s">
        <v>39</v>
      </c>
      <c r="V270" s="2" t="s">
        <v>215</v>
      </c>
      <c r="W270" s="2" t="s">
        <v>64</v>
      </c>
      <c r="X270" s="2"/>
      <c r="Y270" s="2"/>
      <c r="Z270" s="2"/>
      <c r="AA270" s="2"/>
      <c r="AB270" s="2"/>
      <c r="AC270" s="2" t="s">
        <v>1984</v>
      </c>
      <c r="AD270" s="2" t="s">
        <v>1985</v>
      </c>
      <c r="AE270" s="2" t="s">
        <v>915</v>
      </c>
      <c r="AF270" s="2" t="s">
        <v>462</v>
      </c>
      <c r="AG270" s="2" t="s">
        <v>1765</v>
      </c>
      <c r="AH270" s="2" t="s">
        <v>635</v>
      </c>
      <c r="AI270" s="2" t="s">
        <v>2218</v>
      </c>
      <c r="AJ270" s="2" t="s">
        <v>2219</v>
      </c>
      <c r="AK270" s="2" t="s">
        <v>1988</v>
      </c>
      <c r="AL270" s="2" t="s">
        <v>1989</v>
      </c>
      <c r="AM270" s="2" t="s">
        <v>2220</v>
      </c>
      <c r="AN270" s="2" t="s">
        <v>47</v>
      </c>
      <c r="AO270" s="2" t="n">
        <v>1</v>
      </c>
      <c r="AP270" s="2" t="s">
        <v>461</v>
      </c>
      <c r="AQ270" s="2" t="s">
        <v>1768</v>
      </c>
      <c r="AR270" s="2" t="s">
        <v>1769</v>
      </c>
    </row>
    <row r="271" customFormat="false" ht="46.25" hidden="false" customHeight="false" outlineLevel="0" collapsed="false">
      <c r="A271" s="2" t="n">
        <v>270</v>
      </c>
      <c r="B271" s="2" t="s">
        <v>2221</v>
      </c>
      <c r="C271" s="2" t="s">
        <v>686</v>
      </c>
      <c r="D271" s="2" t="s">
        <v>34</v>
      </c>
      <c r="E271" s="2" t="s">
        <v>1098</v>
      </c>
      <c r="F271" s="2" t="s">
        <v>1099</v>
      </c>
      <c r="G271" s="2" t="s">
        <v>873</v>
      </c>
      <c r="H271" s="2" t="s">
        <v>35</v>
      </c>
      <c r="I271" s="2" t="s">
        <v>1111</v>
      </c>
      <c r="J271" s="2" t="s">
        <v>912</v>
      </c>
      <c r="K271" s="2" t="s">
        <v>56</v>
      </c>
      <c r="L271" s="2" t="s">
        <v>1129</v>
      </c>
      <c r="M271" s="2" t="s">
        <v>56</v>
      </c>
      <c r="N271" s="2" t="s">
        <v>913</v>
      </c>
      <c r="O271" s="2" t="s">
        <v>542</v>
      </c>
      <c r="P271" s="2" t="s">
        <v>973</v>
      </c>
      <c r="Q271" s="2" t="s">
        <v>66</v>
      </c>
      <c r="R271" s="2" t="s">
        <v>114</v>
      </c>
      <c r="S271" s="2" t="n">
        <v>1</v>
      </c>
      <c r="T271" s="2" t="s">
        <v>61</v>
      </c>
      <c r="U271" s="2" t="s">
        <v>59</v>
      </c>
      <c r="V271" s="2" t="s">
        <v>211</v>
      </c>
      <c r="W271" s="2" t="s">
        <v>67</v>
      </c>
      <c r="X271" s="2"/>
      <c r="Y271" s="2"/>
      <c r="Z271" s="2"/>
      <c r="AA271" s="2"/>
      <c r="AB271" s="2"/>
      <c r="AC271" s="2" t="s">
        <v>1984</v>
      </c>
      <c r="AD271" s="2" t="s">
        <v>1985</v>
      </c>
      <c r="AE271" s="2" t="s">
        <v>915</v>
      </c>
      <c r="AF271" s="2" t="s">
        <v>462</v>
      </c>
      <c r="AG271" s="2" t="s">
        <v>1765</v>
      </c>
      <c r="AH271" s="2" t="s">
        <v>637</v>
      </c>
      <c r="AI271" s="2" t="s">
        <v>2222</v>
      </c>
      <c r="AJ271" s="2" t="s">
        <v>2223</v>
      </c>
      <c r="AK271" s="2" t="s">
        <v>1988</v>
      </c>
      <c r="AL271" s="2" t="s">
        <v>1989</v>
      </c>
      <c r="AM271" s="2" t="s">
        <v>1955</v>
      </c>
      <c r="AN271" s="2" t="s">
        <v>40</v>
      </c>
      <c r="AO271" s="2" t="n">
        <v>4</v>
      </c>
      <c r="AP271" s="2" t="s">
        <v>461</v>
      </c>
      <c r="AQ271" s="2" t="s">
        <v>1768</v>
      </c>
      <c r="AR271" s="2" t="s">
        <v>1769</v>
      </c>
    </row>
    <row r="272" customFormat="false" ht="46.25" hidden="false" customHeight="false" outlineLevel="0" collapsed="false">
      <c r="A272" s="2" t="n">
        <v>271</v>
      </c>
      <c r="B272" s="2" t="s">
        <v>2224</v>
      </c>
      <c r="C272" s="2" t="s">
        <v>686</v>
      </c>
      <c r="D272" s="2" t="s">
        <v>34</v>
      </c>
      <c r="E272" s="2" t="s">
        <v>1098</v>
      </c>
      <c r="F272" s="2" t="s">
        <v>1099</v>
      </c>
      <c r="G272" s="2" t="s">
        <v>873</v>
      </c>
      <c r="H272" s="2" t="s">
        <v>35</v>
      </c>
      <c r="I272" s="2" t="s">
        <v>1111</v>
      </c>
      <c r="J272" s="2" t="s">
        <v>912</v>
      </c>
      <c r="K272" s="2" t="s">
        <v>56</v>
      </c>
      <c r="L272" s="2" t="s">
        <v>1129</v>
      </c>
      <c r="M272" s="2" t="s">
        <v>56</v>
      </c>
      <c r="N272" s="2" t="s">
        <v>913</v>
      </c>
      <c r="O272" s="2" t="s">
        <v>639</v>
      </c>
      <c r="P272" s="2" t="s">
        <v>1005</v>
      </c>
      <c r="Q272" s="2" t="s">
        <v>71</v>
      </c>
      <c r="R272" s="2" t="s">
        <v>104</v>
      </c>
      <c r="S272" s="2" t="n">
        <v>1</v>
      </c>
      <c r="T272" s="2" t="s">
        <v>61</v>
      </c>
      <c r="U272" s="2" t="s">
        <v>39</v>
      </c>
      <c r="V272" s="2" t="s">
        <v>215</v>
      </c>
      <c r="W272" s="2" t="s">
        <v>64</v>
      </c>
      <c r="X272" s="2"/>
      <c r="Y272" s="2"/>
      <c r="Z272" s="2"/>
      <c r="AA272" s="2"/>
      <c r="AB272" s="2"/>
      <c r="AC272" s="2" t="s">
        <v>1984</v>
      </c>
      <c r="AD272" s="2" t="s">
        <v>1985</v>
      </c>
      <c r="AE272" s="2" t="s">
        <v>915</v>
      </c>
      <c r="AF272" s="2" t="s">
        <v>462</v>
      </c>
      <c r="AG272" s="2" t="s">
        <v>1765</v>
      </c>
      <c r="AH272" s="2" t="s">
        <v>638</v>
      </c>
      <c r="AI272" s="2" t="s">
        <v>2225</v>
      </c>
      <c r="AJ272" s="2" t="s">
        <v>2226</v>
      </c>
      <c r="AK272" s="2" t="s">
        <v>1988</v>
      </c>
      <c r="AL272" s="2" t="s">
        <v>1989</v>
      </c>
      <c r="AM272" s="2" t="s">
        <v>2227</v>
      </c>
      <c r="AN272" s="2" t="s">
        <v>47</v>
      </c>
      <c r="AO272" s="2" t="n">
        <v>1</v>
      </c>
      <c r="AP272" s="2" t="s">
        <v>461</v>
      </c>
      <c r="AQ272" s="2" t="s">
        <v>1768</v>
      </c>
      <c r="AR272" s="2" t="s">
        <v>1769</v>
      </c>
    </row>
    <row r="273" customFormat="false" ht="46.25" hidden="false" customHeight="false" outlineLevel="0" collapsed="false">
      <c r="A273" s="2" t="n">
        <v>272</v>
      </c>
      <c r="B273" s="2" t="s">
        <v>2228</v>
      </c>
      <c r="C273" s="2" t="s">
        <v>686</v>
      </c>
      <c r="D273" s="2" t="s">
        <v>34</v>
      </c>
      <c r="E273" s="2" t="s">
        <v>1098</v>
      </c>
      <c r="F273" s="2" t="s">
        <v>1099</v>
      </c>
      <c r="G273" s="2" t="s">
        <v>873</v>
      </c>
      <c r="H273" s="2" t="s">
        <v>35</v>
      </c>
      <c r="I273" s="2" t="s">
        <v>1111</v>
      </c>
      <c r="J273" s="2" t="s">
        <v>912</v>
      </c>
      <c r="K273" s="2" t="s">
        <v>56</v>
      </c>
      <c r="L273" s="2" t="s">
        <v>1129</v>
      </c>
      <c r="M273" s="2" t="s">
        <v>56</v>
      </c>
      <c r="N273" s="2" t="s">
        <v>913</v>
      </c>
      <c r="O273" s="2" t="s">
        <v>641</v>
      </c>
      <c r="P273" s="2" t="s">
        <v>1006</v>
      </c>
      <c r="Q273" s="2" t="s">
        <v>52</v>
      </c>
      <c r="R273" s="2" t="s">
        <v>90</v>
      </c>
      <c r="S273" s="2" t="n">
        <v>1</v>
      </c>
      <c r="T273" s="2" t="s">
        <v>61</v>
      </c>
      <c r="U273" s="2" t="s">
        <v>59</v>
      </c>
      <c r="V273" s="2" t="s">
        <v>211</v>
      </c>
      <c r="W273" s="2" t="s">
        <v>64</v>
      </c>
      <c r="X273" s="2"/>
      <c r="Y273" s="2"/>
      <c r="Z273" s="2"/>
      <c r="AA273" s="2"/>
      <c r="AB273" s="2"/>
      <c r="AC273" s="2" t="s">
        <v>1984</v>
      </c>
      <c r="AD273" s="2" t="s">
        <v>1985</v>
      </c>
      <c r="AE273" s="2" t="s">
        <v>915</v>
      </c>
      <c r="AF273" s="2" t="s">
        <v>462</v>
      </c>
      <c r="AG273" s="2" t="s">
        <v>1765</v>
      </c>
      <c r="AH273" s="2" t="s">
        <v>640</v>
      </c>
      <c r="AI273" s="2" t="s">
        <v>2229</v>
      </c>
      <c r="AJ273" s="2" t="s">
        <v>2230</v>
      </c>
      <c r="AK273" s="2" t="s">
        <v>1988</v>
      </c>
      <c r="AL273" s="2" t="s">
        <v>1989</v>
      </c>
      <c r="AM273" s="2" t="s">
        <v>2231</v>
      </c>
      <c r="AN273" s="2" t="s">
        <v>47</v>
      </c>
      <c r="AO273" s="2" t="n">
        <v>1</v>
      </c>
      <c r="AP273" s="2" t="s">
        <v>461</v>
      </c>
      <c r="AQ273" s="2" t="s">
        <v>1768</v>
      </c>
      <c r="AR273" s="2" t="s">
        <v>1769</v>
      </c>
    </row>
    <row r="274" customFormat="false" ht="46.25" hidden="false" customHeight="false" outlineLevel="0" collapsed="false">
      <c r="A274" s="2" t="n">
        <v>273</v>
      </c>
      <c r="B274" s="2" t="s">
        <v>2232</v>
      </c>
      <c r="C274" s="2" t="s">
        <v>686</v>
      </c>
      <c r="D274" s="2" t="s">
        <v>34</v>
      </c>
      <c r="E274" s="2" t="s">
        <v>1098</v>
      </c>
      <c r="F274" s="2" t="s">
        <v>1099</v>
      </c>
      <c r="G274" s="2" t="s">
        <v>873</v>
      </c>
      <c r="H274" s="2" t="s">
        <v>35</v>
      </c>
      <c r="I274" s="2" t="s">
        <v>1111</v>
      </c>
      <c r="J274" s="2" t="s">
        <v>912</v>
      </c>
      <c r="K274" s="2" t="s">
        <v>56</v>
      </c>
      <c r="L274" s="2" t="s">
        <v>1129</v>
      </c>
      <c r="M274" s="2" t="s">
        <v>56</v>
      </c>
      <c r="N274" s="2" t="s">
        <v>913</v>
      </c>
      <c r="O274" s="2" t="s">
        <v>291</v>
      </c>
      <c r="P274" s="2" t="s">
        <v>976</v>
      </c>
      <c r="Q274" s="2" t="s">
        <v>52</v>
      </c>
      <c r="R274" s="2" t="s">
        <v>90</v>
      </c>
      <c r="S274" s="2" t="n">
        <v>1</v>
      </c>
      <c r="T274" s="2" t="s">
        <v>61</v>
      </c>
      <c r="U274" s="2" t="s">
        <v>46</v>
      </c>
      <c r="V274" s="2" t="s">
        <v>230</v>
      </c>
      <c r="W274" s="2" t="s">
        <v>64</v>
      </c>
      <c r="X274" s="2"/>
      <c r="Y274" s="2"/>
      <c r="Z274" s="2"/>
      <c r="AA274" s="2"/>
      <c r="AB274" s="2"/>
      <c r="AC274" s="2" t="s">
        <v>1984</v>
      </c>
      <c r="AD274" s="2" t="s">
        <v>1985</v>
      </c>
      <c r="AE274" s="2" t="s">
        <v>915</v>
      </c>
      <c r="AF274" s="2" t="s">
        <v>462</v>
      </c>
      <c r="AG274" s="2" t="s">
        <v>1765</v>
      </c>
      <c r="AH274" s="2" t="s">
        <v>642</v>
      </c>
      <c r="AI274" s="2" t="s">
        <v>2233</v>
      </c>
      <c r="AJ274" s="2" t="s">
        <v>2234</v>
      </c>
      <c r="AK274" s="2" t="s">
        <v>1988</v>
      </c>
      <c r="AL274" s="2" t="s">
        <v>1989</v>
      </c>
      <c r="AM274" s="2" t="s">
        <v>1392</v>
      </c>
      <c r="AN274" s="2" t="s">
        <v>47</v>
      </c>
      <c r="AO274" s="2" t="n">
        <v>1</v>
      </c>
      <c r="AP274" s="2" t="s">
        <v>461</v>
      </c>
      <c r="AQ274" s="2" t="s">
        <v>1768</v>
      </c>
      <c r="AR274" s="2" t="s">
        <v>1769</v>
      </c>
    </row>
    <row r="275" customFormat="false" ht="46.25" hidden="false" customHeight="false" outlineLevel="0" collapsed="false">
      <c r="A275" s="2" t="n">
        <v>274</v>
      </c>
      <c r="B275" s="2" t="s">
        <v>2235</v>
      </c>
      <c r="C275" s="2" t="s">
        <v>686</v>
      </c>
      <c r="D275" s="2" t="s">
        <v>34</v>
      </c>
      <c r="E275" s="2" t="s">
        <v>1098</v>
      </c>
      <c r="F275" s="2" t="s">
        <v>1099</v>
      </c>
      <c r="G275" s="2" t="s">
        <v>873</v>
      </c>
      <c r="H275" s="2" t="s">
        <v>35</v>
      </c>
      <c r="I275" s="2" t="s">
        <v>1111</v>
      </c>
      <c r="J275" s="2" t="s">
        <v>912</v>
      </c>
      <c r="K275" s="2" t="s">
        <v>56</v>
      </c>
      <c r="L275" s="2" t="s">
        <v>1129</v>
      </c>
      <c r="M275" s="2" t="s">
        <v>56</v>
      </c>
      <c r="N275" s="2" t="s">
        <v>913</v>
      </c>
      <c r="O275" s="2" t="s">
        <v>339</v>
      </c>
      <c r="P275" s="2" t="s">
        <v>920</v>
      </c>
      <c r="Q275" s="2" t="s">
        <v>52</v>
      </c>
      <c r="R275" s="2" t="s">
        <v>90</v>
      </c>
      <c r="S275" s="2" t="n">
        <v>1</v>
      </c>
      <c r="T275" s="2" t="s">
        <v>61</v>
      </c>
      <c r="U275" s="2" t="s">
        <v>46</v>
      </c>
      <c r="V275" s="2" t="s">
        <v>230</v>
      </c>
      <c r="W275" s="2" t="s">
        <v>64</v>
      </c>
      <c r="X275" s="2"/>
      <c r="Y275" s="2"/>
      <c r="Z275" s="2"/>
      <c r="AA275" s="2"/>
      <c r="AB275" s="2"/>
      <c r="AC275" s="2" t="s">
        <v>1984</v>
      </c>
      <c r="AD275" s="2" t="s">
        <v>1985</v>
      </c>
      <c r="AE275" s="2" t="s">
        <v>915</v>
      </c>
      <c r="AF275" s="2" t="s">
        <v>462</v>
      </c>
      <c r="AG275" s="2" t="s">
        <v>1765</v>
      </c>
      <c r="AH275" s="2" t="s">
        <v>643</v>
      </c>
      <c r="AI275" s="2" t="s">
        <v>2236</v>
      </c>
      <c r="AJ275" s="2" t="s">
        <v>2237</v>
      </c>
      <c r="AK275" s="2" t="s">
        <v>1988</v>
      </c>
      <c r="AL275" s="2" t="s">
        <v>1989</v>
      </c>
      <c r="AM275" s="2" t="s">
        <v>2238</v>
      </c>
      <c r="AN275" s="2" t="s">
        <v>47</v>
      </c>
      <c r="AO275" s="2" t="n">
        <v>1</v>
      </c>
      <c r="AP275" s="2" t="s">
        <v>461</v>
      </c>
      <c r="AQ275" s="2" t="s">
        <v>1768</v>
      </c>
      <c r="AR275" s="2" t="s">
        <v>1769</v>
      </c>
    </row>
    <row r="276" customFormat="false" ht="46.25" hidden="false" customHeight="false" outlineLevel="0" collapsed="false">
      <c r="A276" s="2" t="n">
        <v>275</v>
      </c>
      <c r="B276" s="2" t="s">
        <v>2239</v>
      </c>
      <c r="C276" s="2" t="s">
        <v>686</v>
      </c>
      <c r="D276" s="2" t="s">
        <v>34</v>
      </c>
      <c r="E276" s="2" t="s">
        <v>1098</v>
      </c>
      <c r="F276" s="2" t="s">
        <v>1099</v>
      </c>
      <c r="G276" s="2" t="s">
        <v>873</v>
      </c>
      <c r="H276" s="2" t="s">
        <v>35</v>
      </c>
      <c r="I276" s="2" t="s">
        <v>1111</v>
      </c>
      <c r="J276" s="2" t="s">
        <v>912</v>
      </c>
      <c r="K276" s="2" t="s">
        <v>56</v>
      </c>
      <c r="L276" s="2" t="s">
        <v>1129</v>
      </c>
      <c r="M276" s="2" t="s">
        <v>56</v>
      </c>
      <c r="N276" s="2" t="s">
        <v>913</v>
      </c>
      <c r="O276" s="2" t="s">
        <v>645</v>
      </c>
      <c r="P276" s="2" t="s">
        <v>1007</v>
      </c>
      <c r="Q276" s="2" t="s">
        <v>38</v>
      </c>
      <c r="R276" s="2" t="s">
        <v>1842</v>
      </c>
      <c r="S276" s="2" t="n">
        <v>2</v>
      </c>
      <c r="T276" s="2" t="s">
        <v>41</v>
      </c>
      <c r="U276" s="2" t="s">
        <v>59</v>
      </c>
      <c r="V276" s="2" t="s">
        <v>211</v>
      </c>
      <c r="W276" s="2" t="s">
        <v>67</v>
      </c>
      <c r="X276" s="2"/>
      <c r="Y276" s="2"/>
      <c r="Z276" s="2"/>
      <c r="AA276" s="2"/>
      <c r="AB276" s="2"/>
      <c r="AC276" s="2" t="s">
        <v>1984</v>
      </c>
      <c r="AD276" s="2" t="s">
        <v>1985</v>
      </c>
      <c r="AE276" s="2" t="s">
        <v>915</v>
      </c>
      <c r="AF276" s="2" t="s">
        <v>462</v>
      </c>
      <c r="AG276" s="2" t="s">
        <v>1765</v>
      </c>
      <c r="AH276" s="2" t="s">
        <v>644</v>
      </c>
      <c r="AI276" s="2" t="s">
        <v>2240</v>
      </c>
      <c r="AJ276" s="2" t="s">
        <v>2241</v>
      </c>
      <c r="AK276" s="2" t="s">
        <v>1988</v>
      </c>
      <c r="AL276" s="2" t="s">
        <v>1989</v>
      </c>
      <c r="AM276" s="2" t="s">
        <v>1841</v>
      </c>
      <c r="AN276" s="2" t="s">
        <v>40</v>
      </c>
      <c r="AO276" s="2" t="n">
        <v>1</v>
      </c>
      <c r="AP276" s="2" t="s">
        <v>461</v>
      </c>
      <c r="AQ276" s="2"/>
      <c r="AR276" s="2" t="s">
        <v>1769</v>
      </c>
    </row>
    <row r="277" customFormat="false" ht="46.25" hidden="false" customHeight="false" outlineLevel="0" collapsed="false">
      <c r="A277" s="2" t="n">
        <v>276</v>
      </c>
      <c r="B277" s="2" t="s">
        <v>2242</v>
      </c>
      <c r="C277" s="2" t="s">
        <v>686</v>
      </c>
      <c r="D277" s="2" t="s">
        <v>34</v>
      </c>
      <c r="E277" s="2" t="s">
        <v>1098</v>
      </c>
      <c r="F277" s="2" t="s">
        <v>1099</v>
      </c>
      <c r="G277" s="2" t="s">
        <v>873</v>
      </c>
      <c r="H277" s="2" t="s">
        <v>35</v>
      </c>
      <c r="I277" s="2" t="s">
        <v>1111</v>
      </c>
      <c r="J277" s="2" t="s">
        <v>912</v>
      </c>
      <c r="K277" s="2" t="s">
        <v>56</v>
      </c>
      <c r="L277" s="2" t="s">
        <v>1129</v>
      </c>
      <c r="M277" s="2" t="s">
        <v>56</v>
      </c>
      <c r="N277" s="2" t="s">
        <v>913</v>
      </c>
      <c r="O277" s="2" t="s">
        <v>647</v>
      </c>
      <c r="P277" s="2" t="s">
        <v>1008</v>
      </c>
      <c r="Q277" s="2" t="s">
        <v>38</v>
      </c>
      <c r="R277" s="2" t="s">
        <v>81</v>
      </c>
      <c r="S277" s="2" t="n">
        <v>1</v>
      </c>
      <c r="T277" s="2" t="s">
        <v>61</v>
      </c>
      <c r="U277" s="2" t="s">
        <v>39</v>
      </c>
      <c r="V277" s="2" t="s">
        <v>215</v>
      </c>
      <c r="W277" s="2" t="s">
        <v>64</v>
      </c>
      <c r="X277" s="2"/>
      <c r="Y277" s="2"/>
      <c r="Z277" s="2"/>
      <c r="AA277" s="2"/>
      <c r="AB277" s="2"/>
      <c r="AC277" s="2" t="s">
        <v>1984</v>
      </c>
      <c r="AD277" s="2" t="s">
        <v>1985</v>
      </c>
      <c r="AE277" s="2" t="s">
        <v>915</v>
      </c>
      <c r="AF277" s="2" t="s">
        <v>462</v>
      </c>
      <c r="AG277" s="2" t="s">
        <v>1765</v>
      </c>
      <c r="AH277" s="2" t="s">
        <v>646</v>
      </c>
      <c r="AI277" s="2" t="s">
        <v>2243</v>
      </c>
      <c r="AJ277" s="2" t="s">
        <v>2244</v>
      </c>
      <c r="AK277" s="2" t="s">
        <v>1988</v>
      </c>
      <c r="AL277" s="2" t="s">
        <v>1989</v>
      </c>
      <c r="AM277" s="2" t="s">
        <v>2245</v>
      </c>
      <c r="AN277" s="2" t="s">
        <v>47</v>
      </c>
      <c r="AO277" s="2" t="n">
        <v>2</v>
      </c>
      <c r="AP277" s="2" t="s">
        <v>461</v>
      </c>
      <c r="AQ277" s="2" t="s">
        <v>1768</v>
      </c>
      <c r="AR277" s="2" t="s">
        <v>1769</v>
      </c>
    </row>
    <row r="278" customFormat="false" ht="46.25" hidden="false" customHeight="false" outlineLevel="0" collapsed="false">
      <c r="A278" s="2" t="n">
        <v>277</v>
      </c>
      <c r="B278" s="2" t="s">
        <v>2246</v>
      </c>
      <c r="C278" s="2" t="s">
        <v>686</v>
      </c>
      <c r="D278" s="2" t="s">
        <v>34</v>
      </c>
      <c r="E278" s="2" t="s">
        <v>1098</v>
      </c>
      <c r="F278" s="2" t="s">
        <v>1099</v>
      </c>
      <c r="G278" s="2" t="s">
        <v>873</v>
      </c>
      <c r="H278" s="2" t="s">
        <v>35</v>
      </c>
      <c r="I278" s="2" t="s">
        <v>1111</v>
      </c>
      <c r="J278" s="2" t="s">
        <v>912</v>
      </c>
      <c r="K278" s="2" t="s">
        <v>56</v>
      </c>
      <c r="L278" s="2" t="s">
        <v>1129</v>
      </c>
      <c r="M278" s="2" t="s">
        <v>56</v>
      </c>
      <c r="N278" s="2" t="s">
        <v>913</v>
      </c>
      <c r="O278" s="2" t="s">
        <v>649</v>
      </c>
      <c r="P278" s="2" t="s">
        <v>1010</v>
      </c>
      <c r="Q278" s="2" t="s">
        <v>38</v>
      </c>
      <c r="R278" s="2" t="s">
        <v>2247</v>
      </c>
      <c r="S278" s="2" t="n">
        <v>2</v>
      </c>
      <c r="T278" s="2" t="s">
        <v>41</v>
      </c>
      <c r="U278" s="2" t="s">
        <v>46</v>
      </c>
      <c r="V278" s="2" t="s">
        <v>230</v>
      </c>
      <c r="W278" s="2" t="s">
        <v>67</v>
      </c>
      <c r="X278" s="2"/>
      <c r="Y278" s="2"/>
      <c r="Z278" s="2"/>
      <c r="AA278" s="2"/>
      <c r="AB278" s="2"/>
      <c r="AC278" s="2" t="s">
        <v>1984</v>
      </c>
      <c r="AD278" s="2" t="s">
        <v>1985</v>
      </c>
      <c r="AE278" s="2" t="s">
        <v>915</v>
      </c>
      <c r="AF278" s="2" t="s">
        <v>462</v>
      </c>
      <c r="AG278" s="2" t="s">
        <v>1765</v>
      </c>
      <c r="AH278" s="2" t="s">
        <v>648</v>
      </c>
      <c r="AI278" s="2" t="s">
        <v>2248</v>
      </c>
      <c r="AJ278" s="2" t="s">
        <v>2249</v>
      </c>
      <c r="AK278" s="2" t="s">
        <v>1988</v>
      </c>
      <c r="AL278" s="2" t="s">
        <v>1989</v>
      </c>
      <c r="AM278" s="2" t="s">
        <v>2250</v>
      </c>
      <c r="AN278" s="2" t="s">
        <v>40</v>
      </c>
      <c r="AO278" s="2" t="n">
        <v>1</v>
      </c>
      <c r="AP278" s="2" t="s">
        <v>461</v>
      </c>
      <c r="AQ278" s="2"/>
      <c r="AR278" s="2" t="s">
        <v>1769</v>
      </c>
    </row>
    <row r="279" customFormat="false" ht="46.25" hidden="false" customHeight="false" outlineLevel="0" collapsed="false">
      <c r="A279" s="2" t="n">
        <v>278</v>
      </c>
      <c r="B279" s="2" t="s">
        <v>2251</v>
      </c>
      <c r="C279" s="2" t="s">
        <v>686</v>
      </c>
      <c r="D279" s="2" t="s">
        <v>34</v>
      </c>
      <c r="E279" s="2" t="s">
        <v>1098</v>
      </c>
      <c r="F279" s="2" t="s">
        <v>1099</v>
      </c>
      <c r="G279" s="2" t="s">
        <v>873</v>
      </c>
      <c r="H279" s="2" t="s">
        <v>35</v>
      </c>
      <c r="I279" s="2" t="s">
        <v>1111</v>
      </c>
      <c r="J279" s="2" t="s">
        <v>912</v>
      </c>
      <c r="K279" s="2" t="s">
        <v>56</v>
      </c>
      <c r="L279" s="2" t="s">
        <v>1129</v>
      </c>
      <c r="M279" s="2" t="s">
        <v>56</v>
      </c>
      <c r="N279" s="2" t="s">
        <v>913</v>
      </c>
      <c r="O279" s="2" t="s">
        <v>259</v>
      </c>
      <c r="P279" s="2" t="s">
        <v>943</v>
      </c>
      <c r="Q279" s="2" t="s">
        <v>38</v>
      </c>
      <c r="R279" s="2" t="s">
        <v>87</v>
      </c>
      <c r="S279" s="2" t="n">
        <v>1</v>
      </c>
      <c r="T279" s="2" t="s">
        <v>61</v>
      </c>
      <c r="U279" s="2" t="s">
        <v>39</v>
      </c>
      <c r="V279" s="2" t="s">
        <v>215</v>
      </c>
      <c r="W279" s="2" t="s">
        <v>64</v>
      </c>
      <c r="X279" s="2"/>
      <c r="Y279" s="2"/>
      <c r="Z279" s="2"/>
      <c r="AA279" s="2"/>
      <c r="AB279" s="2"/>
      <c r="AC279" s="2" t="s">
        <v>1984</v>
      </c>
      <c r="AD279" s="2" t="s">
        <v>1985</v>
      </c>
      <c r="AE279" s="2" t="s">
        <v>915</v>
      </c>
      <c r="AF279" s="2" t="s">
        <v>462</v>
      </c>
      <c r="AG279" s="2" t="s">
        <v>1765</v>
      </c>
      <c r="AH279" s="2" t="s">
        <v>650</v>
      </c>
      <c r="AI279" s="2" t="s">
        <v>2252</v>
      </c>
      <c r="AJ279" s="2" t="s">
        <v>2253</v>
      </c>
      <c r="AK279" s="2" t="s">
        <v>1988</v>
      </c>
      <c r="AL279" s="2" t="s">
        <v>1989</v>
      </c>
      <c r="AM279" s="2" t="s">
        <v>1328</v>
      </c>
      <c r="AN279" s="2" t="s">
        <v>47</v>
      </c>
      <c r="AO279" s="2" t="n">
        <v>1</v>
      </c>
      <c r="AP279" s="2" t="s">
        <v>461</v>
      </c>
      <c r="AQ279" s="2" t="s">
        <v>1768</v>
      </c>
      <c r="AR279" s="2" t="s">
        <v>1769</v>
      </c>
    </row>
    <row r="280" customFormat="false" ht="46.25" hidden="false" customHeight="false" outlineLevel="0" collapsed="false">
      <c r="A280" s="2" t="n">
        <v>279</v>
      </c>
      <c r="B280" s="2" t="s">
        <v>2254</v>
      </c>
      <c r="C280" s="2" t="s">
        <v>686</v>
      </c>
      <c r="D280" s="2" t="s">
        <v>34</v>
      </c>
      <c r="E280" s="2" t="s">
        <v>1098</v>
      </c>
      <c r="F280" s="2" t="s">
        <v>1099</v>
      </c>
      <c r="G280" s="2" t="s">
        <v>873</v>
      </c>
      <c r="H280" s="2" t="s">
        <v>35</v>
      </c>
      <c r="I280" s="2" t="s">
        <v>1111</v>
      </c>
      <c r="J280" s="2" t="s">
        <v>912</v>
      </c>
      <c r="K280" s="2" t="s">
        <v>56</v>
      </c>
      <c r="L280" s="2" t="s">
        <v>1129</v>
      </c>
      <c r="M280" s="2" t="s">
        <v>56</v>
      </c>
      <c r="N280" s="2" t="s">
        <v>913</v>
      </c>
      <c r="O280" s="2" t="s">
        <v>265</v>
      </c>
      <c r="P280" s="2" t="s">
        <v>946</v>
      </c>
      <c r="Q280" s="2" t="s">
        <v>38</v>
      </c>
      <c r="R280" s="2" t="s">
        <v>82</v>
      </c>
      <c r="S280" s="2" t="n">
        <v>1</v>
      </c>
      <c r="T280" s="2" t="s">
        <v>61</v>
      </c>
      <c r="U280" s="2" t="s">
        <v>39</v>
      </c>
      <c r="V280" s="2" t="s">
        <v>215</v>
      </c>
      <c r="W280" s="2" t="s">
        <v>64</v>
      </c>
      <c r="X280" s="2"/>
      <c r="Y280" s="2"/>
      <c r="Z280" s="2"/>
      <c r="AA280" s="2"/>
      <c r="AB280" s="2"/>
      <c r="AC280" s="2" t="s">
        <v>1984</v>
      </c>
      <c r="AD280" s="2" t="s">
        <v>1985</v>
      </c>
      <c r="AE280" s="2" t="s">
        <v>915</v>
      </c>
      <c r="AF280" s="2" t="s">
        <v>462</v>
      </c>
      <c r="AG280" s="2" t="s">
        <v>1765</v>
      </c>
      <c r="AH280" s="2" t="s">
        <v>651</v>
      </c>
      <c r="AI280" s="2" t="s">
        <v>2255</v>
      </c>
      <c r="AJ280" s="2" t="s">
        <v>2256</v>
      </c>
      <c r="AK280" s="2" t="s">
        <v>1988</v>
      </c>
      <c r="AL280" s="2" t="s">
        <v>1989</v>
      </c>
      <c r="AM280" s="2" t="s">
        <v>1340</v>
      </c>
      <c r="AN280" s="2" t="s">
        <v>47</v>
      </c>
      <c r="AO280" s="2" t="n">
        <v>1</v>
      </c>
      <c r="AP280" s="2" t="s">
        <v>461</v>
      </c>
      <c r="AQ280" s="2" t="s">
        <v>1768</v>
      </c>
      <c r="AR280" s="2" t="s">
        <v>1769</v>
      </c>
    </row>
  </sheetData>
  <autoFilter ref="A1:AR2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38"/>
  </cols>
  <sheetData>
    <row r="1" customFormat="false" ht="15" hidden="false" customHeight="false" outlineLevel="0" collapsed="false">
      <c r="A1" s="3" t="s">
        <v>2257</v>
      </c>
      <c r="B1" s="3" t="s">
        <v>2258</v>
      </c>
      <c r="C1" s="3" t="s">
        <v>2259</v>
      </c>
      <c r="D1" s="3" t="s">
        <v>1230</v>
      </c>
      <c r="E1" s="3" t="s">
        <v>2260</v>
      </c>
      <c r="F1" s="3" t="s">
        <v>33</v>
      </c>
      <c r="G1" s="3" t="s">
        <v>1014</v>
      </c>
    </row>
    <row r="2" customFormat="false" ht="35.05" hidden="false" customHeight="false" outlineLevel="0" collapsed="false">
      <c r="A2" s="2" t="s">
        <v>2261</v>
      </c>
      <c r="B2" s="2" t="s">
        <v>2262</v>
      </c>
      <c r="C2" s="2" t="s">
        <v>2263</v>
      </c>
      <c r="D2" s="2"/>
      <c r="E2" s="2"/>
      <c r="F2" s="2"/>
      <c r="G2" s="2"/>
    </row>
    <row r="3" customFormat="false" ht="35.05" hidden="false" customHeight="false" outlineLevel="0" collapsed="false">
      <c r="A3" s="2" t="s">
        <v>2264</v>
      </c>
      <c r="B3" s="2" t="s">
        <v>2265</v>
      </c>
      <c r="C3" s="2" t="s">
        <v>2266</v>
      </c>
      <c r="D3" s="2"/>
      <c r="E3" s="2"/>
      <c r="F3" s="2"/>
      <c r="G3" s="2"/>
    </row>
    <row r="4" customFormat="false" ht="23.85" hidden="false" customHeight="false" outlineLevel="0" collapsed="false">
      <c r="A4" s="2" t="s">
        <v>2267</v>
      </c>
      <c r="B4" s="2" t="s">
        <v>2268</v>
      </c>
      <c r="C4" s="2" t="s">
        <v>2269</v>
      </c>
      <c r="D4" s="2"/>
      <c r="E4" s="2"/>
      <c r="F4" s="2"/>
      <c r="G4" s="2"/>
    </row>
    <row r="5" customFormat="false" ht="35.05" hidden="false" customHeight="false" outlineLevel="0" collapsed="false">
      <c r="A5" s="2" t="s">
        <v>2270</v>
      </c>
      <c r="B5" s="2" t="s">
        <v>2271</v>
      </c>
      <c r="C5" s="2" t="s">
        <v>2272</v>
      </c>
      <c r="D5" s="2"/>
      <c r="E5" s="2"/>
      <c r="F5" s="2"/>
      <c r="G5" s="2"/>
    </row>
    <row r="6" customFormat="false" ht="68.65" hidden="false" customHeight="false" outlineLevel="0" collapsed="false">
      <c r="A6" s="2"/>
      <c r="B6" s="2"/>
      <c r="C6" s="2"/>
      <c r="D6" s="2" t="s">
        <v>1988</v>
      </c>
      <c r="E6" s="2" t="s">
        <v>2273</v>
      </c>
      <c r="F6" s="2" t="s">
        <v>2274</v>
      </c>
      <c r="G6" s="2" t="s">
        <v>2275</v>
      </c>
    </row>
    <row r="7" customFormat="false" ht="23.85" hidden="false" customHeight="false" outlineLevel="0" collapsed="false">
      <c r="A7" s="2" t="s">
        <v>2276</v>
      </c>
      <c r="B7" s="2" t="s">
        <v>915</v>
      </c>
      <c r="C7" s="2" t="s">
        <v>2277</v>
      </c>
      <c r="D7" s="2" t="s">
        <v>2278</v>
      </c>
      <c r="E7" s="2"/>
      <c r="F7" s="2"/>
      <c r="G7" s="2"/>
    </row>
    <row r="8" customFormat="false" ht="23.85" hidden="false" customHeight="false" outlineLevel="0" collapsed="false">
      <c r="A8" s="2" t="s">
        <v>2279</v>
      </c>
      <c r="B8" s="2" t="s">
        <v>2280</v>
      </c>
      <c r="C8" s="2" t="s">
        <v>2281</v>
      </c>
      <c r="D8" s="2" t="s">
        <v>2282</v>
      </c>
      <c r="E8" s="2"/>
      <c r="F8" s="2"/>
      <c r="G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3"/>
    <col collapsed="false" customWidth="true" hidden="false" outlineLevel="0" max="3" min="3" style="0" width="19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8" min="6" style="0" width="15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35"/>
    <col collapsed="false" customWidth="true" hidden="false" outlineLevel="0" max="12" min="12" style="0" width="26"/>
    <col collapsed="false" customWidth="true" hidden="false" outlineLevel="0" max="18" min="13" style="0" width="13"/>
  </cols>
  <sheetData>
    <row r="1" customFormat="false" ht="28.35" hidden="false" customHeight="false" outlineLevel="0" collapsed="false">
      <c r="A1" s="3" t="s">
        <v>2283</v>
      </c>
      <c r="B1" s="3" t="s">
        <v>2284</v>
      </c>
      <c r="C1" s="3" t="s">
        <v>2285</v>
      </c>
      <c r="D1" s="3" t="s">
        <v>2286</v>
      </c>
      <c r="E1" s="3" t="s">
        <v>2287</v>
      </c>
      <c r="F1" s="3" t="s">
        <v>2288</v>
      </c>
      <c r="G1" s="3" t="s">
        <v>2289</v>
      </c>
      <c r="H1" s="3" t="s">
        <v>2290</v>
      </c>
      <c r="I1" s="3" t="s">
        <v>2291</v>
      </c>
      <c r="J1" s="3" t="s">
        <v>2292</v>
      </c>
      <c r="K1" s="3" t="s">
        <v>33</v>
      </c>
      <c r="L1" s="3" t="s">
        <v>2293</v>
      </c>
      <c r="M1" s="3" t="s">
        <v>2294</v>
      </c>
      <c r="N1" s="3" t="s">
        <v>2295</v>
      </c>
      <c r="O1" s="3" t="s">
        <v>2296</v>
      </c>
      <c r="P1" s="3" t="s">
        <v>2297</v>
      </c>
      <c r="Q1" s="3" t="s">
        <v>2298</v>
      </c>
      <c r="R1" s="3" t="s">
        <v>1227</v>
      </c>
    </row>
    <row r="2" customFormat="false" ht="15" hidden="false" customHeight="false" outlineLevel="0" collapsed="false">
      <c r="A2" s="2" t="s">
        <v>1236</v>
      </c>
      <c r="B2" s="2" t="s">
        <v>2299</v>
      </c>
      <c r="C2" s="2" t="s">
        <v>2300</v>
      </c>
      <c r="D2" s="2" t="s">
        <v>36</v>
      </c>
      <c r="E2" s="2" t="s">
        <v>210</v>
      </c>
      <c r="F2" s="2" t="s">
        <v>1237</v>
      </c>
      <c r="G2" s="2" t="n">
        <v>1045</v>
      </c>
      <c r="H2" s="2" t="s">
        <v>211</v>
      </c>
      <c r="I2" s="2" t="s">
        <v>54</v>
      </c>
      <c r="J2" s="2" t="s">
        <v>119</v>
      </c>
      <c r="K2" s="2" t="s">
        <v>692</v>
      </c>
      <c r="L2" s="2" t="s">
        <v>2301</v>
      </c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 t="s">
        <v>1244</v>
      </c>
      <c r="B3" s="2" t="s">
        <v>2299</v>
      </c>
      <c r="C3" s="2" t="s">
        <v>2300</v>
      </c>
      <c r="D3" s="2" t="s">
        <v>36</v>
      </c>
      <c r="E3" s="2" t="s">
        <v>214</v>
      </c>
      <c r="F3" s="2" t="s">
        <v>1245</v>
      </c>
      <c r="G3" s="2" t="n">
        <v>1684</v>
      </c>
      <c r="H3" s="2" t="s">
        <v>215</v>
      </c>
      <c r="I3" s="2" t="s">
        <v>40</v>
      </c>
      <c r="J3" s="2" t="s">
        <v>139</v>
      </c>
      <c r="K3" s="2" t="s">
        <v>692</v>
      </c>
      <c r="L3" s="2" t="s">
        <v>2301</v>
      </c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2" t="s">
        <v>1248</v>
      </c>
      <c r="B4" s="2" t="s">
        <v>2299</v>
      </c>
      <c r="C4" s="2" t="s">
        <v>2300</v>
      </c>
      <c r="D4" s="2" t="s">
        <v>36</v>
      </c>
      <c r="E4" s="2" t="s">
        <v>217</v>
      </c>
      <c r="F4" s="2" t="s">
        <v>1249</v>
      </c>
      <c r="G4" s="2" t="n">
        <v>1784</v>
      </c>
      <c r="H4" s="2" t="s">
        <v>211</v>
      </c>
      <c r="I4" s="2" t="s">
        <v>40</v>
      </c>
      <c r="J4" s="2" t="s">
        <v>103</v>
      </c>
      <c r="K4" s="2" t="s">
        <v>692</v>
      </c>
      <c r="L4" s="2" t="s">
        <v>2301</v>
      </c>
      <c r="M4" s="2"/>
      <c r="N4" s="2"/>
      <c r="O4" s="2"/>
      <c r="P4" s="2"/>
      <c r="Q4" s="2"/>
      <c r="R4" s="2"/>
    </row>
    <row r="5" customFormat="false" ht="15" hidden="false" customHeight="false" outlineLevel="0" collapsed="false">
      <c r="A5" s="2" t="s">
        <v>1252</v>
      </c>
      <c r="B5" s="2" t="s">
        <v>2299</v>
      </c>
      <c r="C5" s="2" t="s">
        <v>2300</v>
      </c>
      <c r="D5" s="2" t="s">
        <v>36</v>
      </c>
      <c r="E5" s="2" t="s">
        <v>219</v>
      </c>
      <c r="F5" s="2" t="s">
        <v>1253</v>
      </c>
      <c r="G5" s="2" t="n">
        <v>1181</v>
      </c>
      <c r="H5" s="2" t="s">
        <v>211</v>
      </c>
      <c r="I5" s="2" t="s">
        <v>47</v>
      </c>
      <c r="J5" s="2" t="s">
        <v>104</v>
      </c>
      <c r="K5" s="2" t="s">
        <v>692</v>
      </c>
      <c r="L5" s="2" t="s">
        <v>2301</v>
      </c>
      <c r="M5" s="2"/>
      <c r="N5" s="2"/>
      <c r="O5" s="2"/>
      <c r="P5" s="2"/>
      <c r="Q5" s="2"/>
      <c r="R5" s="2"/>
    </row>
    <row r="6" customFormat="false" ht="15" hidden="false" customHeight="false" outlineLevel="0" collapsed="false">
      <c r="A6" s="2" t="s">
        <v>1256</v>
      </c>
      <c r="B6" s="2" t="s">
        <v>2299</v>
      </c>
      <c r="C6" s="2" t="s">
        <v>2300</v>
      </c>
      <c r="D6" s="2" t="s">
        <v>36</v>
      </c>
      <c r="E6" s="2" t="s">
        <v>221</v>
      </c>
      <c r="F6" s="2" t="s">
        <v>1257</v>
      </c>
      <c r="G6" s="2" t="n">
        <v>2166</v>
      </c>
      <c r="H6" s="2" t="s">
        <v>215</v>
      </c>
      <c r="I6" s="2" t="s">
        <v>40</v>
      </c>
      <c r="J6" s="2" t="s">
        <v>141</v>
      </c>
      <c r="K6" s="2" t="s">
        <v>692</v>
      </c>
      <c r="L6" s="2" t="s">
        <v>2301</v>
      </c>
      <c r="M6" s="2"/>
      <c r="N6" s="2"/>
      <c r="O6" s="2"/>
      <c r="P6" s="2"/>
      <c r="Q6" s="2"/>
      <c r="R6" s="2"/>
    </row>
    <row r="7" customFormat="false" ht="15" hidden="false" customHeight="false" outlineLevel="0" collapsed="false">
      <c r="A7" s="2" t="s">
        <v>1260</v>
      </c>
      <c r="B7" s="2" t="s">
        <v>2299</v>
      </c>
      <c r="C7" s="2" t="s">
        <v>2300</v>
      </c>
      <c r="D7" s="2" t="s">
        <v>36</v>
      </c>
      <c r="E7" s="2" t="s">
        <v>223</v>
      </c>
      <c r="F7" s="2" t="s">
        <v>1261</v>
      </c>
      <c r="G7" s="2" t="n">
        <v>2199</v>
      </c>
      <c r="H7" s="2" t="s">
        <v>215</v>
      </c>
      <c r="I7" s="2" t="s">
        <v>40</v>
      </c>
      <c r="J7" s="2" t="s">
        <v>106</v>
      </c>
      <c r="K7" s="2" t="s">
        <v>692</v>
      </c>
      <c r="L7" s="2" t="s">
        <v>2301</v>
      </c>
      <c r="M7" s="2"/>
      <c r="N7" s="2"/>
      <c r="O7" s="2"/>
      <c r="P7" s="2"/>
      <c r="Q7" s="2"/>
      <c r="R7" s="2"/>
    </row>
    <row r="8" customFormat="false" ht="15" hidden="false" customHeight="false" outlineLevel="0" collapsed="false">
      <c r="A8" s="2" t="s">
        <v>1264</v>
      </c>
      <c r="B8" s="2" t="s">
        <v>2299</v>
      </c>
      <c r="C8" s="2" t="s">
        <v>2300</v>
      </c>
      <c r="D8" s="2" t="s">
        <v>36</v>
      </c>
      <c r="E8" s="2" t="s">
        <v>225</v>
      </c>
      <c r="F8" s="2" t="s">
        <v>1265</v>
      </c>
      <c r="G8" s="2" t="n">
        <v>1640</v>
      </c>
      <c r="H8" s="2" t="s">
        <v>215</v>
      </c>
      <c r="I8" s="2" t="s">
        <v>40</v>
      </c>
      <c r="J8" s="2" t="s">
        <v>141</v>
      </c>
      <c r="K8" s="2" t="s">
        <v>692</v>
      </c>
      <c r="L8" s="2" t="s">
        <v>2301</v>
      </c>
      <c r="M8" s="2"/>
      <c r="N8" s="2"/>
      <c r="O8" s="2"/>
      <c r="P8" s="2"/>
      <c r="Q8" s="2"/>
      <c r="R8" s="2"/>
    </row>
    <row r="9" customFormat="false" ht="15" hidden="false" customHeight="false" outlineLevel="0" collapsed="false">
      <c r="A9" s="2" t="s">
        <v>1268</v>
      </c>
      <c r="B9" s="2" t="s">
        <v>2299</v>
      </c>
      <c r="C9" s="2" t="s">
        <v>2300</v>
      </c>
      <c r="D9" s="2" t="s">
        <v>36</v>
      </c>
      <c r="E9" s="2" t="s">
        <v>227</v>
      </c>
      <c r="F9" s="2" t="s">
        <v>1269</v>
      </c>
      <c r="G9" s="2" t="n">
        <v>2171</v>
      </c>
      <c r="H9" s="2" t="s">
        <v>215</v>
      </c>
      <c r="I9" s="2" t="s">
        <v>40</v>
      </c>
      <c r="J9" s="2" t="s">
        <v>2302</v>
      </c>
      <c r="K9" s="2" t="s">
        <v>692</v>
      </c>
      <c r="L9" s="2" t="s">
        <v>2301</v>
      </c>
      <c r="M9" s="2"/>
      <c r="N9" s="2"/>
      <c r="O9" s="2"/>
      <c r="P9" s="2"/>
      <c r="Q9" s="2"/>
      <c r="R9" s="2"/>
    </row>
    <row r="10" customFormat="false" ht="15" hidden="false" customHeight="false" outlineLevel="0" collapsed="false">
      <c r="A10" s="2" t="s">
        <v>1272</v>
      </c>
      <c r="B10" s="2" t="s">
        <v>2299</v>
      </c>
      <c r="C10" s="2" t="s">
        <v>2300</v>
      </c>
      <c r="D10" s="2" t="s">
        <v>36</v>
      </c>
      <c r="E10" s="2" t="s">
        <v>229</v>
      </c>
      <c r="F10" s="2" t="s">
        <v>1273</v>
      </c>
      <c r="G10" s="2" t="n">
        <v>2195</v>
      </c>
      <c r="H10" s="2" t="s">
        <v>230</v>
      </c>
      <c r="I10" s="2" t="s">
        <v>47</v>
      </c>
      <c r="J10" s="2" t="s">
        <v>74</v>
      </c>
      <c r="K10" s="2" t="s">
        <v>692</v>
      </c>
      <c r="L10" s="2" t="s">
        <v>2301</v>
      </c>
      <c r="M10" s="2"/>
      <c r="N10" s="2"/>
      <c r="O10" s="2"/>
      <c r="P10" s="2"/>
      <c r="Q10" s="2"/>
      <c r="R10" s="2"/>
    </row>
    <row r="11" customFormat="false" ht="15" hidden="false" customHeight="false" outlineLevel="0" collapsed="false">
      <c r="A11" s="2" t="s">
        <v>1276</v>
      </c>
      <c r="B11" s="2" t="s">
        <v>2299</v>
      </c>
      <c r="C11" s="2" t="s">
        <v>2300</v>
      </c>
      <c r="D11" s="2" t="s">
        <v>36</v>
      </c>
      <c r="E11" s="2" t="s">
        <v>232</v>
      </c>
      <c r="F11" s="2" t="s">
        <v>1277</v>
      </c>
      <c r="G11" s="2" t="n">
        <v>1495</v>
      </c>
      <c r="H11" s="2" t="s">
        <v>233</v>
      </c>
      <c r="I11" s="2" t="s">
        <v>47</v>
      </c>
      <c r="J11" s="2" t="s">
        <v>70</v>
      </c>
      <c r="K11" s="2" t="s">
        <v>692</v>
      </c>
      <c r="L11" s="2" t="s">
        <v>2301</v>
      </c>
      <c r="M11" s="2"/>
      <c r="N11" s="2"/>
      <c r="O11" s="2"/>
      <c r="P11" s="2"/>
      <c r="Q11" s="2"/>
      <c r="R11" s="2"/>
    </row>
    <row r="12" customFormat="false" ht="15" hidden="false" customHeight="false" outlineLevel="0" collapsed="false">
      <c r="A12" s="2" t="s">
        <v>1280</v>
      </c>
      <c r="B12" s="2" t="s">
        <v>2299</v>
      </c>
      <c r="C12" s="2" t="s">
        <v>2300</v>
      </c>
      <c r="D12" s="2" t="s">
        <v>36</v>
      </c>
      <c r="E12" s="2" t="s">
        <v>235</v>
      </c>
      <c r="F12" s="2" t="s">
        <v>1281</v>
      </c>
      <c r="G12" s="2" t="n">
        <v>1871</v>
      </c>
      <c r="H12" s="2" t="s">
        <v>233</v>
      </c>
      <c r="I12" s="2" t="s">
        <v>47</v>
      </c>
      <c r="J12" s="2" t="s">
        <v>79</v>
      </c>
      <c r="K12" s="2" t="s">
        <v>692</v>
      </c>
      <c r="L12" s="2" t="s">
        <v>2301</v>
      </c>
      <c r="M12" s="2"/>
      <c r="N12" s="2"/>
      <c r="O12" s="2"/>
      <c r="P12" s="2"/>
      <c r="Q12" s="2"/>
      <c r="R12" s="2"/>
    </row>
    <row r="13" customFormat="false" ht="15" hidden="false" customHeight="false" outlineLevel="0" collapsed="false">
      <c r="A13" s="2" t="s">
        <v>1284</v>
      </c>
      <c r="B13" s="2" t="s">
        <v>2299</v>
      </c>
      <c r="C13" s="2" t="s">
        <v>2300</v>
      </c>
      <c r="D13" s="2" t="s">
        <v>36</v>
      </c>
      <c r="E13" s="2" t="s">
        <v>237</v>
      </c>
      <c r="F13" s="2" t="s">
        <v>1285</v>
      </c>
      <c r="G13" s="2" t="n">
        <v>1749</v>
      </c>
      <c r="H13" s="2" t="s">
        <v>215</v>
      </c>
      <c r="I13" s="2" t="s">
        <v>47</v>
      </c>
      <c r="J13" s="2" t="s">
        <v>94</v>
      </c>
      <c r="K13" s="2" t="s">
        <v>692</v>
      </c>
      <c r="L13" s="2" t="s">
        <v>2301</v>
      </c>
      <c r="M13" s="2"/>
      <c r="N13" s="2"/>
      <c r="O13" s="2"/>
      <c r="P13" s="2"/>
      <c r="Q13" s="2"/>
      <c r="R13" s="2"/>
    </row>
    <row r="14" customFormat="false" ht="15" hidden="false" customHeight="false" outlineLevel="0" collapsed="false">
      <c r="A14" s="2" t="s">
        <v>1288</v>
      </c>
      <c r="B14" s="2" t="s">
        <v>2299</v>
      </c>
      <c r="C14" s="2" t="s">
        <v>2300</v>
      </c>
      <c r="D14" s="2" t="s">
        <v>36</v>
      </c>
      <c r="E14" s="2" t="s">
        <v>239</v>
      </c>
      <c r="F14" s="2" t="s">
        <v>1289</v>
      </c>
      <c r="G14" s="2" t="n">
        <v>1177</v>
      </c>
      <c r="H14" s="2" t="s">
        <v>230</v>
      </c>
      <c r="I14" s="2" t="s">
        <v>47</v>
      </c>
      <c r="J14" s="2" t="s">
        <v>2303</v>
      </c>
      <c r="K14" s="2" t="s">
        <v>692</v>
      </c>
      <c r="L14" s="2" t="s">
        <v>2301</v>
      </c>
      <c r="M14" s="2"/>
      <c r="N14" s="2"/>
      <c r="O14" s="2"/>
      <c r="P14" s="2"/>
      <c r="Q14" s="2"/>
      <c r="R14" s="2"/>
    </row>
    <row r="15" customFormat="false" ht="15" hidden="false" customHeight="false" outlineLevel="0" collapsed="false">
      <c r="A15" s="2" t="s">
        <v>1292</v>
      </c>
      <c r="B15" s="2" t="s">
        <v>2299</v>
      </c>
      <c r="C15" s="2" t="s">
        <v>2300</v>
      </c>
      <c r="D15" s="2" t="s">
        <v>36</v>
      </c>
      <c r="E15" s="2" t="s">
        <v>241</v>
      </c>
      <c r="F15" s="2" t="s">
        <v>1293</v>
      </c>
      <c r="G15" s="2" t="n">
        <v>1841</v>
      </c>
      <c r="H15" s="2" t="s">
        <v>215</v>
      </c>
      <c r="I15" s="2" t="s">
        <v>47</v>
      </c>
      <c r="J15" s="2" t="s">
        <v>76</v>
      </c>
      <c r="K15" s="2" t="s">
        <v>692</v>
      </c>
      <c r="L15" s="2" t="s">
        <v>2301</v>
      </c>
      <c r="M15" s="2"/>
      <c r="N15" s="2"/>
      <c r="O15" s="2"/>
      <c r="P15" s="2"/>
      <c r="Q15" s="2"/>
      <c r="R15" s="2"/>
    </row>
    <row r="16" customFormat="false" ht="15" hidden="false" customHeight="false" outlineLevel="0" collapsed="false">
      <c r="A16" s="2" t="s">
        <v>1296</v>
      </c>
      <c r="B16" s="2" t="s">
        <v>2299</v>
      </c>
      <c r="C16" s="2" t="s">
        <v>2300</v>
      </c>
      <c r="D16" s="2" t="s">
        <v>36</v>
      </c>
      <c r="E16" s="2" t="s">
        <v>243</v>
      </c>
      <c r="F16" s="2" t="s">
        <v>1297</v>
      </c>
      <c r="G16" s="2" t="n">
        <v>1685</v>
      </c>
      <c r="H16" s="2" t="s">
        <v>215</v>
      </c>
      <c r="I16" s="2" t="s">
        <v>47</v>
      </c>
      <c r="J16" s="2" t="s">
        <v>96</v>
      </c>
      <c r="K16" s="2" t="s">
        <v>692</v>
      </c>
      <c r="L16" s="2" t="s">
        <v>2301</v>
      </c>
      <c r="M16" s="2"/>
      <c r="N16" s="2"/>
      <c r="O16" s="2"/>
      <c r="P16" s="2"/>
      <c r="Q16" s="2"/>
      <c r="R16" s="2"/>
    </row>
    <row r="17" customFormat="false" ht="15" hidden="false" customHeight="false" outlineLevel="0" collapsed="false">
      <c r="A17" s="2" t="s">
        <v>1300</v>
      </c>
      <c r="B17" s="2" t="s">
        <v>2299</v>
      </c>
      <c r="C17" s="2" t="s">
        <v>2300</v>
      </c>
      <c r="D17" s="2" t="s">
        <v>36</v>
      </c>
      <c r="E17" s="2" t="s">
        <v>245</v>
      </c>
      <c r="F17" s="2" t="s">
        <v>1301</v>
      </c>
      <c r="G17" s="2" t="n">
        <v>1605</v>
      </c>
      <c r="H17" s="2" t="s">
        <v>233</v>
      </c>
      <c r="I17" s="2" t="s">
        <v>47</v>
      </c>
      <c r="J17" s="2" t="s">
        <v>121</v>
      </c>
      <c r="K17" s="2" t="s">
        <v>692</v>
      </c>
      <c r="L17" s="2" t="s">
        <v>2301</v>
      </c>
      <c r="M17" s="2"/>
      <c r="N17" s="2"/>
      <c r="O17" s="2"/>
      <c r="P17" s="2"/>
      <c r="Q17" s="2"/>
      <c r="R17" s="2"/>
    </row>
    <row r="18" customFormat="false" ht="15" hidden="false" customHeight="false" outlineLevel="0" collapsed="false">
      <c r="A18" s="2" t="s">
        <v>1304</v>
      </c>
      <c r="B18" s="2" t="s">
        <v>2299</v>
      </c>
      <c r="C18" s="2" t="s">
        <v>2300</v>
      </c>
      <c r="D18" s="2" t="s">
        <v>36</v>
      </c>
      <c r="E18" s="2" t="s">
        <v>247</v>
      </c>
      <c r="F18" s="2" t="s">
        <v>1305</v>
      </c>
      <c r="G18" s="2" t="n">
        <v>1397</v>
      </c>
      <c r="H18" s="2" t="s">
        <v>211</v>
      </c>
      <c r="I18" s="2" t="s">
        <v>40</v>
      </c>
      <c r="J18" s="2" t="s">
        <v>72</v>
      </c>
      <c r="K18" s="2" t="s">
        <v>692</v>
      </c>
      <c r="L18" s="2" t="s">
        <v>2301</v>
      </c>
      <c r="M18" s="2"/>
      <c r="N18" s="2"/>
      <c r="O18" s="2"/>
      <c r="P18" s="2"/>
      <c r="Q18" s="2"/>
      <c r="R18" s="2"/>
    </row>
    <row r="19" customFormat="false" ht="15" hidden="false" customHeight="false" outlineLevel="0" collapsed="false">
      <c r="A19" s="2" t="s">
        <v>1308</v>
      </c>
      <c r="B19" s="2" t="s">
        <v>2299</v>
      </c>
      <c r="C19" s="2" t="s">
        <v>2300</v>
      </c>
      <c r="D19" s="2" t="s">
        <v>36</v>
      </c>
      <c r="E19" s="2" t="s">
        <v>249</v>
      </c>
      <c r="F19" s="2" t="s">
        <v>1309</v>
      </c>
      <c r="G19" s="2" t="n">
        <v>1610</v>
      </c>
      <c r="H19" s="2" t="s">
        <v>215</v>
      </c>
      <c r="I19" s="2" t="s">
        <v>47</v>
      </c>
      <c r="J19" s="2" t="s">
        <v>142</v>
      </c>
      <c r="K19" s="2" t="s">
        <v>692</v>
      </c>
      <c r="L19" s="2" t="s">
        <v>2301</v>
      </c>
      <c r="M19" s="2"/>
      <c r="N19" s="2"/>
      <c r="O19" s="2"/>
      <c r="P19" s="2"/>
      <c r="Q19" s="2"/>
      <c r="R19" s="2"/>
    </row>
    <row r="20" customFormat="false" ht="15" hidden="false" customHeight="false" outlineLevel="0" collapsed="false">
      <c r="A20" s="2" t="s">
        <v>1312</v>
      </c>
      <c r="B20" s="2" t="s">
        <v>2299</v>
      </c>
      <c r="C20" s="2" t="s">
        <v>2300</v>
      </c>
      <c r="D20" s="2" t="s">
        <v>36</v>
      </c>
      <c r="E20" s="2" t="s">
        <v>251</v>
      </c>
      <c r="F20" s="2" t="s">
        <v>1313</v>
      </c>
      <c r="G20" s="2" t="n">
        <v>1072</v>
      </c>
      <c r="H20" s="2" t="s">
        <v>211</v>
      </c>
      <c r="I20" s="2" t="s">
        <v>40</v>
      </c>
      <c r="J20" s="2" t="s">
        <v>134</v>
      </c>
      <c r="K20" s="2" t="s">
        <v>692</v>
      </c>
      <c r="L20" s="2" t="s">
        <v>2301</v>
      </c>
      <c r="M20" s="2"/>
      <c r="N20" s="2"/>
      <c r="O20" s="2"/>
      <c r="P20" s="2"/>
      <c r="Q20" s="2"/>
      <c r="R20" s="2"/>
    </row>
    <row r="21" customFormat="false" ht="15" hidden="false" customHeight="false" outlineLevel="0" collapsed="false">
      <c r="A21" s="2" t="s">
        <v>1316</v>
      </c>
      <c r="B21" s="2" t="s">
        <v>2299</v>
      </c>
      <c r="C21" s="2" t="s">
        <v>2300</v>
      </c>
      <c r="D21" s="2" t="s">
        <v>36</v>
      </c>
      <c r="E21" s="2" t="s">
        <v>253</v>
      </c>
      <c r="F21" s="2" t="s">
        <v>1317</v>
      </c>
      <c r="G21" s="2" t="n">
        <v>1506</v>
      </c>
      <c r="H21" s="2" t="s">
        <v>211</v>
      </c>
      <c r="I21" s="2" t="s">
        <v>40</v>
      </c>
      <c r="J21" s="2" t="s">
        <v>2304</v>
      </c>
      <c r="K21" s="2" t="s">
        <v>692</v>
      </c>
      <c r="L21" s="2" t="s">
        <v>2301</v>
      </c>
      <c r="M21" s="2"/>
      <c r="N21" s="2"/>
      <c r="O21" s="2"/>
      <c r="P21" s="2"/>
      <c r="Q21" s="2"/>
      <c r="R21" s="2"/>
    </row>
    <row r="22" customFormat="false" ht="15" hidden="false" customHeight="false" outlineLevel="0" collapsed="false">
      <c r="A22" s="2" t="s">
        <v>1320</v>
      </c>
      <c r="B22" s="2" t="s">
        <v>2299</v>
      </c>
      <c r="C22" s="2" t="s">
        <v>2300</v>
      </c>
      <c r="D22" s="2" t="s">
        <v>36</v>
      </c>
      <c r="E22" s="2" t="s">
        <v>255</v>
      </c>
      <c r="F22" s="2" t="s">
        <v>1321</v>
      </c>
      <c r="G22" s="2" t="n">
        <v>1150</v>
      </c>
      <c r="H22" s="2" t="s">
        <v>211</v>
      </c>
      <c r="I22" s="2" t="s">
        <v>40</v>
      </c>
      <c r="J22" s="2" t="s">
        <v>138</v>
      </c>
      <c r="K22" s="2" t="s">
        <v>692</v>
      </c>
      <c r="L22" s="2" t="s">
        <v>2301</v>
      </c>
      <c r="M22" s="2"/>
      <c r="N22" s="2"/>
      <c r="O22" s="2"/>
      <c r="P22" s="2"/>
      <c r="Q22" s="2"/>
      <c r="R22" s="2"/>
    </row>
    <row r="23" customFormat="false" ht="15" hidden="false" customHeight="false" outlineLevel="0" collapsed="false">
      <c r="A23" s="2" t="s">
        <v>1324</v>
      </c>
      <c r="B23" s="2" t="s">
        <v>2299</v>
      </c>
      <c r="C23" s="2" t="s">
        <v>2300</v>
      </c>
      <c r="D23" s="2" t="s">
        <v>36</v>
      </c>
      <c r="E23" s="2" t="s">
        <v>257</v>
      </c>
      <c r="F23" s="2" t="s">
        <v>1325</v>
      </c>
      <c r="G23" s="2" t="n">
        <v>1347</v>
      </c>
      <c r="H23" s="2" t="s">
        <v>211</v>
      </c>
      <c r="I23" s="2" t="s">
        <v>40</v>
      </c>
      <c r="J23" s="2" t="s">
        <v>77</v>
      </c>
      <c r="K23" s="2" t="s">
        <v>692</v>
      </c>
      <c r="L23" s="2" t="s">
        <v>2301</v>
      </c>
      <c r="M23" s="2"/>
      <c r="N23" s="2"/>
      <c r="O23" s="2"/>
      <c r="P23" s="2"/>
      <c r="Q23" s="2"/>
      <c r="R23" s="2"/>
    </row>
    <row r="24" customFormat="false" ht="15" hidden="false" customHeight="false" outlineLevel="0" collapsed="false">
      <c r="A24" s="2" t="s">
        <v>1328</v>
      </c>
      <c r="B24" s="2" t="s">
        <v>2299</v>
      </c>
      <c r="C24" s="2" t="s">
        <v>2300</v>
      </c>
      <c r="D24" s="2" t="s">
        <v>36</v>
      </c>
      <c r="E24" s="2" t="s">
        <v>259</v>
      </c>
      <c r="F24" s="2" t="s">
        <v>1329</v>
      </c>
      <c r="G24" s="2" t="n">
        <v>1357</v>
      </c>
      <c r="H24" s="2" t="s">
        <v>230</v>
      </c>
      <c r="I24" s="2" t="s">
        <v>47</v>
      </c>
      <c r="J24" s="2" t="s">
        <v>87</v>
      </c>
      <c r="K24" s="2" t="s">
        <v>692</v>
      </c>
      <c r="L24" s="2" t="s">
        <v>2301</v>
      </c>
      <c r="M24" s="2"/>
      <c r="N24" s="2"/>
      <c r="O24" s="2"/>
      <c r="P24" s="2"/>
      <c r="Q24" s="2"/>
      <c r="R24" s="2"/>
    </row>
    <row r="25" customFormat="false" ht="15" hidden="false" customHeight="false" outlineLevel="0" collapsed="false">
      <c r="A25" s="2" t="s">
        <v>1332</v>
      </c>
      <c r="B25" s="2" t="s">
        <v>2299</v>
      </c>
      <c r="C25" s="2" t="s">
        <v>2300</v>
      </c>
      <c r="D25" s="2" t="s">
        <v>36</v>
      </c>
      <c r="E25" s="2" t="s">
        <v>261</v>
      </c>
      <c r="F25" s="2" t="s">
        <v>1333</v>
      </c>
      <c r="G25" s="2" t="n">
        <v>965</v>
      </c>
      <c r="H25" s="2" t="s">
        <v>215</v>
      </c>
      <c r="I25" s="2" t="s">
        <v>47</v>
      </c>
      <c r="J25" s="2" t="s">
        <v>85</v>
      </c>
      <c r="K25" s="2" t="s">
        <v>692</v>
      </c>
      <c r="L25" s="2" t="s">
        <v>2301</v>
      </c>
      <c r="M25" s="2"/>
      <c r="N25" s="2"/>
      <c r="O25" s="2"/>
      <c r="P25" s="2"/>
      <c r="Q25" s="2"/>
      <c r="R25" s="2"/>
    </row>
    <row r="26" customFormat="false" ht="15" hidden="false" customHeight="false" outlineLevel="0" collapsed="false">
      <c r="A26" s="2" t="s">
        <v>1336</v>
      </c>
      <c r="B26" s="2" t="s">
        <v>2299</v>
      </c>
      <c r="C26" s="2" t="s">
        <v>2300</v>
      </c>
      <c r="D26" s="2" t="s">
        <v>36</v>
      </c>
      <c r="E26" s="2" t="s">
        <v>263</v>
      </c>
      <c r="F26" s="2" t="s">
        <v>1337</v>
      </c>
      <c r="G26" s="2" t="n">
        <v>1723</v>
      </c>
      <c r="H26" s="2" t="s">
        <v>215</v>
      </c>
      <c r="I26" s="2" t="s">
        <v>47</v>
      </c>
      <c r="J26" s="2" t="s">
        <v>144</v>
      </c>
      <c r="K26" s="2" t="s">
        <v>692</v>
      </c>
      <c r="L26" s="2" t="s">
        <v>2301</v>
      </c>
      <c r="M26" s="2"/>
      <c r="N26" s="2"/>
      <c r="O26" s="2"/>
      <c r="P26" s="2"/>
      <c r="Q26" s="2"/>
      <c r="R26" s="2"/>
    </row>
    <row r="27" customFormat="false" ht="15" hidden="false" customHeight="false" outlineLevel="0" collapsed="false">
      <c r="A27" s="2" t="s">
        <v>1340</v>
      </c>
      <c r="B27" s="2" t="s">
        <v>2299</v>
      </c>
      <c r="C27" s="2" t="s">
        <v>2300</v>
      </c>
      <c r="D27" s="2" t="s">
        <v>36</v>
      </c>
      <c r="E27" s="2" t="s">
        <v>265</v>
      </c>
      <c r="F27" s="2" t="s">
        <v>1341</v>
      </c>
      <c r="G27" s="2" t="n">
        <v>2133</v>
      </c>
      <c r="H27" s="2" t="s">
        <v>215</v>
      </c>
      <c r="I27" s="2" t="s">
        <v>47</v>
      </c>
      <c r="J27" s="2" t="s">
        <v>82</v>
      </c>
      <c r="K27" s="2" t="s">
        <v>692</v>
      </c>
      <c r="L27" s="2" t="s">
        <v>2301</v>
      </c>
      <c r="M27" s="2"/>
      <c r="N27" s="2"/>
      <c r="O27" s="2"/>
      <c r="P27" s="2"/>
      <c r="Q27" s="2"/>
      <c r="R27" s="2"/>
    </row>
    <row r="28" customFormat="false" ht="15" hidden="false" customHeight="false" outlineLevel="0" collapsed="false">
      <c r="A28" s="2" t="s">
        <v>1344</v>
      </c>
      <c r="B28" s="2" t="s">
        <v>2299</v>
      </c>
      <c r="C28" s="2" t="s">
        <v>2300</v>
      </c>
      <c r="D28" s="2" t="s">
        <v>36</v>
      </c>
      <c r="E28" s="2" t="s">
        <v>267</v>
      </c>
      <c r="F28" s="2" t="s">
        <v>1345</v>
      </c>
      <c r="G28" s="2" t="n">
        <v>1875</v>
      </c>
      <c r="H28" s="2" t="s">
        <v>215</v>
      </c>
      <c r="I28" s="2" t="s">
        <v>47</v>
      </c>
      <c r="J28" s="2" t="s">
        <v>88</v>
      </c>
      <c r="K28" s="2" t="s">
        <v>692</v>
      </c>
      <c r="L28" s="2" t="s">
        <v>2301</v>
      </c>
      <c r="M28" s="2"/>
      <c r="N28" s="2"/>
      <c r="O28" s="2"/>
      <c r="P28" s="2"/>
      <c r="Q28" s="2"/>
      <c r="R28" s="2"/>
    </row>
    <row r="29" customFormat="false" ht="15" hidden="false" customHeight="false" outlineLevel="0" collapsed="false">
      <c r="A29" s="2" t="s">
        <v>1348</v>
      </c>
      <c r="B29" s="2" t="s">
        <v>2299</v>
      </c>
      <c r="C29" s="2" t="s">
        <v>2300</v>
      </c>
      <c r="D29" s="2" t="s">
        <v>36</v>
      </c>
      <c r="E29" s="2" t="s">
        <v>269</v>
      </c>
      <c r="F29" s="2" t="s">
        <v>1349</v>
      </c>
      <c r="G29" s="2" t="n">
        <v>1970</v>
      </c>
      <c r="H29" s="2" t="s">
        <v>215</v>
      </c>
      <c r="I29" s="2" t="s">
        <v>40</v>
      </c>
      <c r="J29" s="2" t="s">
        <v>2305</v>
      </c>
      <c r="K29" s="2" t="s">
        <v>692</v>
      </c>
      <c r="L29" s="2" t="s">
        <v>2301</v>
      </c>
      <c r="M29" s="2"/>
      <c r="N29" s="2"/>
      <c r="O29" s="2"/>
      <c r="P29" s="2"/>
      <c r="Q29" s="2"/>
      <c r="R29" s="2"/>
    </row>
    <row r="30" customFormat="false" ht="15" hidden="false" customHeight="false" outlineLevel="0" collapsed="false">
      <c r="A30" s="2" t="s">
        <v>1352</v>
      </c>
      <c r="B30" s="2" t="s">
        <v>2299</v>
      </c>
      <c r="C30" s="2" t="s">
        <v>2300</v>
      </c>
      <c r="D30" s="2" t="s">
        <v>36</v>
      </c>
      <c r="E30" s="2" t="s">
        <v>271</v>
      </c>
      <c r="F30" s="2" t="s">
        <v>1353</v>
      </c>
      <c r="G30" s="2" t="n">
        <v>1070</v>
      </c>
      <c r="H30" s="2" t="s">
        <v>211</v>
      </c>
      <c r="I30" s="2" t="s">
        <v>40</v>
      </c>
      <c r="J30" s="2" t="s">
        <v>2306</v>
      </c>
      <c r="K30" s="2" t="s">
        <v>692</v>
      </c>
      <c r="L30" s="2" t="s">
        <v>2301</v>
      </c>
      <c r="M30" s="2"/>
      <c r="N30" s="2"/>
      <c r="O30" s="2"/>
      <c r="P30" s="2"/>
      <c r="Q30" s="2"/>
      <c r="R30" s="2"/>
    </row>
    <row r="31" customFormat="false" ht="15" hidden="false" customHeight="false" outlineLevel="0" collapsed="false">
      <c r="A31" s="2" t="s">
        <v>1356</v>
      </c>
      <c r="B31" s="2" t="s">
        <v>2299</v>
      </c>
      <c r="C31" s="2" t="s">
        <v>2300</v>
      </c>
      <c r="D31" s="2" t="s">
        <v>36</v>
      </c>
      <c r="E31" s="2" t="s">
        <v>273</v>
      </c>
      <c r="F31" s="2" t="s">
        <v>1357</v>
      </c>
      <c r="G31" s="2" t="n">
        <v>2510</v>
      </c>
      <c r="H31" s="2" t="s">
        <v>215</v>
      </c>
      <c r="I31" s="2" t="s">
        <v>47</v>
      </c>
      <c r="J31" s="2" t="s">
        <v>91</v>
      </c>
      <c r="K31" s="2" t="s">
        <v>692</v>
      </c>
      <c r="L31" s="2" t="s">
        <v>2301</v>
      </c>
      <c r="M31" s="2"/>
      <c r="N31" s="2"/>
      <c r="O31" s="2"/>
      <c r="P31" s="2"/>
      <c r="Q31" s="2"/>
      <c r="R31" s="2"/>
    </row>
    <row r="32" customFormat="false" ht="15" hidden="false" customHeight="false" outlineLevel="0" collapsed="false">
      <c r="A32" s="2" t="s">
        <v>1360</v>
      </c>
      <c r="B32" s="2" t="s">
        <v>2299</v>
      </c>
      <c r="C32" s="2" t="s">
        <v>2300</v>
      </c>
      <c r="D32" s="2" t="s">
        <v>36</v>
      </c>
      <c r="E32" s="2" t="s">
        <v>275</v>
      </c>
      <c r="F32" s="2" t="s">
        <v>1361</v>
      </c>
      <c r="G32" s="2" t="n">
        <v>1157</v>
      </c>
      <c r="H32" s="2" t="s">
        <v>211</v>
      </c>
      <c r="I32" s="2" t="s">
        <v>40</v>
      </c>
      <c r="J32" s="2" t="s">
        <v>113</v>
      </c>
      <c r="K32" s="2" t="s">
        <v>692</v>
      </c>
      <c r="L32" s="2" t="s">
        <v>2301</v>
      </c>
      <c r="M32" s="2"/>
      <c r="N32" s="2"/>
      <c r="O32" s="2"/>
      <c r="P32" s="2"/>
      <c r="Q32" s="2"/>
      <c r="R32" s="2"/>
    </row>
    <row r="33" customFormat="false" ht="15" hidden="false" customHeight="false" outlineLevel="0" collapsed="false">
      <c r="A33" s="2" t="s">
        <v>1364</v>
      </c>
      <c r="B33" s="2" t="s">
        <v>2299</v>
      </c>
      <c r="C33" s="2" t="s">
        <v>2300</v>
      </c>
      <c r="D33" s="2" t="s">
        <v>36</v>
      </c>
      <c r="E33" s="2" t="s">
        <v>277</v>
      </c>
      <c r="F33" s="2" t="s">
        <v>1365</v>
      </c>
      <c r="G33" s="2" t="n">
        <v>998</v>
      </c>
      <c r="H33" s="2" t="s">
        <v>211</v>
      </c>
      <c r="I33" s="2" t="s">
        <v>40</v>
      </c>
      <c r="J33" s="2" t="s">
        <v>124</v>
      </c>
      <c r="K33" s="2" t="s">
        <v>692</v>
      </c>
      <c r="L33" s="2" t="s">
        <v>2301</v>
      </c>
      <c r="M33" s="2"/>
      <c r="N33" s="2"/>
      <c r="O33" s="2"/>
      <c r="P33" s="2"/>
      <c r="Q33" s="2"/>
      <c r="R33" s="2"/>
    </row>
    <row r="34" customFormat="false" ht="15" hidden="false" customHeight="false" outlineLevel="0" collapsed="false">
      <c r="A34" s="2" t="s">
        <v>1368</v>
      </c>
      <c r="B34" s="2" t="s">
        <v>2299</v>
      </c>
      <c r="C34" s="2" t="s">
        <v>2300</v>
      </c>
      <c r="D34" s="2" t="s">
        <v>36</v>
      </c>
      <c r="E34" s="2" t="s">
        <v>279</v>
      </c>
      <c r="F34" s="2" t="s">
        <v>1369</v>
      </c>
      <c r="G34" s="2" t="n">
        <v>1441</v>
      </c>
      <c r="H34" s="2" t="s">
        <v>233</v>
      </c>
      <c r="I34" s="2" t="s">
        <v>47</v>
      </c>
      <c r="J34" s="2" t="s">
        <v>123</v>
      </c>
      <c r="K34" s="2" t="s">
        <v>692</v>
      </c>
      <c r="L34" s="2" t="s">
        <v>2301</v>
      </c>
      <c r="M34" s="2"/>
      <c r="N34" s="2"/>
      <c r="O34" s="2"/>
      <c r="P34" s="2"/>
      <c r="Q34" s="2"/>
      <c r="R34" s="2"/>
    </row>
    <row r="35" customFormat="false" ht="15" hidden="false" customHeight="false" outlineLevel="0" collapsed="false">
      <c r="A35" s="2" t="s">
        <v>1372</v>
      </c>
      <c r="B35" s="2" t="s">
        <v>2299</v>
      </c>
      <c r="C35" s="2" t="s">
        <v>2300</v>
      </c>
      <c r="D35" s="2" t="s">
        <v>36</v>
      </c>
      <c r="E35" s="2" t="s">
        <v>281</v>
      </c>
      <c r="F35" s="2" t="s">
        <v>1373</v>
      </c>
      <c r="G35" s="2" t="n">
        <v>1065</v>
      </c>
      <c r="H35" s="2" t="s">
        <v>233</v>
      </c>
      <c r="I35" s="2" t="s">
        <v>40</v>
      </c>
      <c r="J35" s="2" t="s">
        <v>84</v>
      </c>
      <c r="K35" s="2" t="s">
        <v>692</v>
      </c>
      <c r="L35" s="2" t="s">
        <v>2301</v>
      </c>
      <c r="M35" s="2"/>
      <c r="N35" s="2"/>
      <c r="O35" s="2"/>
      <c r="P35" s="2"/>
      <c r="Q35" s="2"/>
      <c r="R35" s="2"/>
    </row>
    <row r="36" customFormat="false" ht="15" hidden="false" customHeight="false" outlineLevel="0" collapsed="false">
      <c r="A36" s="2" t="s">
        <v>1376</v>
      </c>
      <c r="B36" s="2" t="s">
        <v>2299</v>
      </c>
      <c r="C36" s="2" t="s">
        <v>2300</v>
      </c>
      <c r="D36" s="2" t="s">
        <v>36</v>
      </c>
      <c r="E36" s="2" t="s">
        <v>283</v>
      </c>
      <c r="F36" s="2" t="s">
        <v>1377</v>
      </c>
      <c r="G36" s="2" t="n">
        <v>1144</v>
      </c>
      <c r="H36" s="2" t="s">
        <v>211</v>
      </c>
      <c r="I36" s="2" t="s">
        <v>40</v>
      </c>
      <c r="J36" s="2" t="s">
        <v>68</v>
      </c>
      <c r="K36" s="2" t="s">
        <v>692</v>
      </c>
      <c r="L36" s="2" t="s">
        <v>2301</v>
      </c>
      <c r="M36" s="2"/>
      <c r="N36" s="2"/>
      <c r="O36" s="2"/>
      <c r="P36" s="2"/>
      <c r="Q36" s="2"/>
      <c r="R36" s="2"/>
    </row>
    <row r="37" customFormat="false" ht="15" hidden="false" customHeight="false" outlineLevel="0" collapsed="false">
      <c r="A37" s="2" t="s">
        <v>1380</v>
      </c>
      <c r="B37" s="2" t="s">
        <v>2299</v>
      </c>
      <c r="C37" s="2" t="s">
        <v>2300</v>
      </c>
      <c r="D37" s="2" t="s">
        <v>36</v>
      </c>
      <c r="E37" s="2" t="s">
        <v>285</v>
      </c>
      <c r="F37" s="2" t="s">
        <v>1381</v>
      </c>
      <c r="G37" s="2" t="n">
        <v>1081</v>
      </c>
      <c r="H37" s="2" t="s">
        <v>211</v>
      </c>
      <c r="I37" s="2" t="s">
        <v>40</v>
      </c>
      <c r="J37" s="2" t="s">
        <v>108</v>
      </c>
      <c r="K37" s="2" t="s">
        <v>692</v>
      </c>
      <c r="L37" s="2" t="s">
        <v>2301</v>
      </c>
      <c r="M37" s="2"/>
      <c r="N37" s="2"/>
      <c r="O37" s="2"/>
      <c r="P37" s="2"/>
      <c r="Q37" s="2"/>
      <c r="R37" s="2"/>
    </row>
    <row r="38" customFormat="false" ht="15" hidden="false" customHeight="false" outlineLevel="0" collapsed="false">
      <c r="A38" s="2" t="s">
        <v>1384</v>
      </c>
      <c r="B38" s="2" t="s">
        <v>2299</v>
      </c>
      <c r="C38" s="2" t="s">
        <v>2300</v>
      </c>
      <c r="D38" s="2" t="s">
        <v>36</v>
      </c>
      <c r="E38" s="2" t="s">
        <v>287</v>
      </c>
      <c r="F38" s="2" t="s">
        <v>1385</v>
      </c>
      <c r="G38" s="2" t="n">
        <v>1100</v>
      </c>
      <c r="H38" s="2" t="s">
        <v>211</v>
      </c>
      <c r="I38" s="2" t="s">
        <v>40</v>
      </c>
      <c r="J38" s="2" t="s">
        <v>115</v>
      </c>
      <c r="K38" s="2" t="s">
        <v>692</v>
      </c>
      <c r="L38" s="2" t="s">
        <v>2301</v>
      </c>
      <c r="M38" s="2"/>
      <c r="N38" s="2"/>
      <c r="O38" s="2"/>
      <c r="P38" s="2"/>
      <c r="Q38" s="2"/>
      <c r="R38" s="2"/>
    </row>
    <row r="39" customFormat="false" ht="15" hidden="false" customHeight="false" outlineLevel="0" collapsed="false">
      <c r="A39" s="2" t="s">
        <v>1388</v>
      </c>
      <c r="B39" s="2" t="s">
        <v>2299</v>
      </c>
      <c r="C39" s="2" t="s">
        <v>2300</v>
      </c>
      <c r="D39" s="2" t="s">
        <v>36</v>
      </c>
      <c r="E39" s="2" t="s">
        <v>289</v>
      </c>
      <c r="F39" s="2" t="s">
        <v>1389</v>
      </c>
      <c r="G39" s="2" t="n">
        <v>1316</v>
      </c>
      <c r="H39" s="2" t="s">
        <v>233</v>
      </c>
      <c r="I39" s="2" t="s">
        <v>47</v>
      </c>
      <c r="J39" s="2" t="s">
        <v>2307</v>
      </c>
      <c r="K39" s="2" t="s">
        <v>692</v>
      </c>
      <c r="L39" s="2" t="s">
        <v>2301</v>
      </c>
      <c r="M39" s="2"/>
      <c r="N39" s="2"/>
      <c r="O39" s="2"/>
      <c r="P39" s="2"/>
      <c r="Q39" s="2"/>
      <c r="R39" s="2"/>
    </row>
    <row r="40" customFormat="false" ht="15" hidden="false" customHeight="false" outlineLevel="0" collapsed="false">
      <c r="A40" s="2" t="s">
        <v>1392</v>
      </c>
      <c r="B40" s="2" t="s">
        <v>2299</v>
      </c>
      <c r="C40" s="2" t="s">
        <v>2300</v>
      </c>
      <c r="D40" s="2" t="s">
        <v>36</v>
      </c>
      <c r="E40" s="2" t="s">
        <v>291</v>
      </c>
      <c r="F40" s="2" t="s">
        <v>1393</v>
      </c>
      <c r="G40" s="2" t="n">
        <v>1364</v>
      </c>
      <c r="H40" s="2" t="s">
        <v>233</v>
      </c>
      <c r="I40" s="2" t="s">
        <v>47</v>
      </c>
      <c r="J40" s="2" t="s">
        <v>90</v>
      </c>
      <c r="K40" s="2" t="s">
        <v>692</v>
      </c>
      <c r="L40" s="2" t="s">
        <v>2301</v>
      </c>
      <c r="M40" s="2"/>
      <c r="N40" s="2"/>
      <c r="O40" s="2"/>
      <c r="P40" s="2"/>
      <c r="Q40" s="2"/>
      <c r="R40" s="2"/>
    </row>
    <row r="41" customFormat="false" ht="15" hidden="false" customHeight="false" outlineLevel="0" collapsed="false">
      <c r="A41" s="2" t="s">
        <v>1396</v>
      </c>
      <c r="B41" s="2" t="s">
        <v>2299</v>
      </c>
      <c r="C41" s="2" t="s">
        <v>2300</v>
      </c>
      <c r="D41" s="2" t="s">
        <v>36</v>
      </c>
      <c r="E41" s="2" t="s">
        <v>293</v>
      </c>
      <c r="F41" s="2" t="s">
        <v>1397</v>
      </c>
      <c r="G41" s="2" t="n">
        <v>1222</v>
      </c>
      <c r="H41" s="2" t="s">
        <v>211</v>
      </c>
      <c r="I41" s="2" t="s">
        <v>40</v>
      </c>
      <c r="J41" s="2" t="s">
        <v>44</v>
      </c>
      <c r="K41" s="2" t="s">
        <v>692</v>
      </c>
      <c r="L41" s="2" t="s">
        <v>2301</v>
      </c>
      <c r="M41" s="2"/>
      <c r="N41" s="2"/>
      <c r="O41" s="2"/>
      <c r="P41" s="2"/>
      <c r="Q41" s="2"/>
      <c r="R41" s="2"/>
    </row>
    <row r="42" customFormat="false" ht="15" hidden="false" customHeight="false" outlineLevel="0" collapsed="false">
      <c r="A42" s="2" t="s">
        <v>1400</v>
      </c>
      <c r="B42" s="2" t="s">
        <v>2299</v>
      </c>
      <c r="C42" s="2" t="s">
        <v>2300</v>
      </c>
      <c r="D42" s="2" t="s">
        <v>36</v>
      </c>
      <c r="E42" s="2" t="s">
        <v>295</v>
      </c>
      <c r="F42" s="2" t="s">
        <v>1401</v>
      </c>
      <c r="G42" s="2" t="n">
        <v>1096</v>
      </c>
      <c r="H42" s="2" t="s">
        <v>230</v>
      </c>
      <c r="I42" s="2" t="s">
        <v>40</v>
      </c>
      <c r="J42" s="2" t="s">
        <v>118</v>
      </c>
      <c r="K42" s="2" t="s">
        <v>692</v>
      </c>
      <c r="L42" s="2" t="s">
        <v>2301</v>
      </c>
      <c r="M42" s="2"/>
      <c r="N42" s="2"/>
      <c r="O42" s="2"/>
      <c r="P42" s="2"/>
      <c r="Q42" s="2"/>
      <c r="R42" s="2"/>
    </row>
    <row r="43" customFormat="false" ht="15" hidden="false" customHeight="false" outlineLevel="0" collapsed="false">
      <c r="A43" s="2" t="s">
        <v>1404</v>
      </c>
      <c r="B43" s="2" t="s">
        <v>2299</v>
      </c>
      <c r="C43" s="2" t="s">
        <v>2300</v>
      </c>
      <c r="D43" s="2" t="s">
        <v>36</v>
      </c>
      <c r="E43" s="2" t="s">
        <v>297</v>
      </c>
      <c r="F43" s="2" t="s">
        <v>1405</v>
      </c>
      <c r="G43" s="2" t="n">
        <v>1505</v>
      </c>
      <c r="H43" s="2" t="s">
        <v>215</v>
      </c>
      <c r="I43" s="2" t="s">
        <v>47</v>
      </c>
      <c r="J43" s="2" t="s">
        <v>104</v>
      </c>
      <c r="K43" s="2" t="s">
        <v>692</v>
      </c>
      <c r="L43" s="2" t="s">
        <v>2301</v>
      </c>
      <c r="M43" s="2"/>
      <c r="N43" s="2"/>
      <c r="O43" s="2"/>
      <c r="P43" s="2"/>
      <c r="Q43" s="2"/>
      <c r="R43" s="2"/>
    </row>
    <row r="44" customFormat="false" ht="15" hidden="false" customHeight="false" outlineLevel="0" collapsed="false">
      <c r="A44" s="2" t="s">
        <v>1408</v>
      </c>
      <c r="B44" s="2" t="s">
        <v>2299</v>
      </c>
      <c r="C44" s="2" t="s">
        <v>2300</v>
      </c>
      <c r="D44" s="2" t="s">
        <v>36</v>
      </c>
      <c r="E44" s="2" t="s">
        <v>299</v>
      </c>
      <c r="F44" s="2" t="s">
        <v>1409</v>
      </c>
      <c r="G44" s="2" t="n">
        <v>1362</v>
      </c>
      <c r="H44" s="2" t="s">
        <v>211</v>
      </c>
      <c r="I44" s="2" t="s">
        <v>47</v>
      </c>
      <c r="J44" s="2" t="s">
        <v>2308</v>
      </c>
      <c r="K44" s="2" t="s">
        <v>692</v>
      </c>
      <c r="L44" s="2" t="s">
        <v>2301</v>
      </c>
      <c r="M44" s="2"/>
      <c r="N44" s="2"/>
      <c r="O44" s="2"/>
      <c r="P44" s="2"/>
      <c r="Q44" s="2"/>
      <c r="R44" s="2"/>
    </row>
    <row r="45" customFormat="false" ht="15" hidden="false" customHeight="false" outlineLevel="0" collapsed="false">
      <c r="A45" s="2" t="s">
        <v>1412</v>
      </c>
      <c r="B45" s="2" t="s">
        <v>2299</v>
      </c>
      <c r="C45" s="2" t="s">
        <v>2300</v>
      </c>
      <c r="D45" s="2" t="s">
        <v>36</v>
      </c>
      <c r="E45" s="2" t="s">
        <v>301</v>
      </c>
      <c r="F45" s="2" t="s">
        <v>1413</v>
      </c>
      <c r="G45" s="2" t="n">
        <v>1873</v>
      </c>
      <c r="H45" s="2" t="s">
        <v>215</v>
      </c>
      <c r="I45" s="2" t="s">
        <v>47</v>
      </c>
      <c r="J45" s="2" t="s">
        <v>2309</v>
      </c>
      <c r="K45" s="2" t="s">
        <v>692</v>
      </c>
      <c r="L45" s="2" t="s">
        <v>2301</v>
      </c>
      <c r="M45" s="2"/>
      <c r="N45" s="2"/>
      <c r="O45" s="2"/>
      <c r="P45" s="2"/>
      <c r="Q45" s="2"/>
      <c r="R45" s="2"/>
    </row>
    <row r="46" customFormat="false" ht="15" hidden="false" customHeight="false" outlineLevel="0" collapsed="false">
      <c r="A46" s="2" t="s">
        <v>1416</v>
      </c>
      <c r="B46" s="2" t="s">
        <v>2299</v>
      </c>
      <c r="C46" s="2" t="s">
        <v>2300</v>
      </c>
      <c r="D46" s="2" t="s">
        <v>36</v>
      </c>
      <c r="E46" s="2" t="s">
        <v>303</v>
      </c>
      <c r="F46" s="2" t="s">
        <v>1417</v>
      </c>
      <c r="G46" s="2" t="n">
        <v>1432</v>
      </c>
      <c r="H46" s="2" t="s">
        <v>233</v>
      </c>
      <c r="I46" s="2" t="s">
        <v>47</v>
      </c>
      <c r="J46" s="2" t="s">
        <v>105</v>
      </c>
      <c r="K46" s="2" t="s">
        <v>692</v>
      </c>
      <c r="L46" s="2" t="s">
        <v>2301</v>
      </c>
      <c r="M46" s="2"/>
      <c r="N46" s="2"/>
      <c r="O46" s="2"/>
      <c r="P46" s="2"/>
      <c r="Q46" s="2"/>
      <c r="R46" s="2"/>
    </row>
    <row r="47" customFormat="false" ht="15" hidden="false" customHeight="false" outlineLevel="0" collapsed="false">
      <c r="A47" s="2" t="s">
        <v>1420</v>
      </c>
      <c r="B47" s="2" t="s">
        <v>2299</v>
      </c>
      <c r="C47" s="2" t="s">
        <v>2300</v>
      </c>
      <c r="D47" s="2" t="s">
        <v>36</v>
      </c>
      <c r="E47" s="2" t="s">
        <v>305</v>
      </c>
      <c r="F47" s="2" t="s">
        <v>1421</v>
      </c>
      <c r="G47" s="2" t="n">
        <v>1093</v>
      </c>
      <c r="H47" s="2" t="s">
        <v>211</v>
      </c>
      <c r="I47" s="2" t="s">
        <v>40</v>
      </c>
      <c r="J47" s="2" t="s">
        <v>133</v>
      </c>
      <c r="K47" s="2" t="s">
        <v>692</v>
      </c>
      <c r="L47" s="2" t="s">
        <v>2301</v>
      </c>
      <c r="M47" s="2"/>
      <c r="N47" s="2"/>
      <c r="O47" s="2"/>
      <c r="P47" s="2"/>
      <c r="Q47" s="2"/>
      <c r="R47" s="2"/>
    </row>
    <row r="48" customFormat="false" ht="15" hidden="false" customHeight="false" outlineLevel="0" collapsed="false">
      <c r="A48" s="2" t="s">
        <v>1424</v>
      </c>
      <c r="B48" s="2" t="s">
        <v>2299</v>
      </c>
      <c r="C48" s="2" t="s">
        <v>2300</v>
      </c>
      <c r="D48" s="2" t="s">
        <v>36</v>
      </c>
      <c r="E48" s="2" t="s">
        <v>307</v>
      </c>
      <c r="F48" s="2" t="s">
        <v>1425</v>
      </c>
      <c r="G48" s="2" t="n">
        <v>999</v>
      </c>
      <c r="H48" s="2" t="s">
        <v>211</v>
      </c>
      <c r="I48" s="2" t="s">
        <v>40</v>
      </c>
      <c r="J48" s="2" t="s">
        <v>89</v>
      </c>
      <c r="K48" s="2" t="s">
        <v>692</v>
      </c>
      <c r="L48" s="2" t="s">
        <v>2301</v>
      </c>
      <c r="M48" s="2"/>
      <c r="N48" s="2"/>
      <c r="O48" s="2"/>
      <c r="P48" s="2"/>
      <c r="Q48" s="2"/>
      <c r="R48" s="2"/>
    </row>
    <row r="49" customFormat="false" ht="15" hidden="false" customHeight="false" outlineLevel="0" collapsed="false">
      <c r="A49" s="2" t="s">
        <v>1428</v>
      </c>
      <c r="B49" s="2" t="s">
        <v>2299</v>
      </c>
      <c r="C49" s="2" t="s">
        <v>2300</v>
      </c>
      <c r="D49" s="2" t="s">
        <v>36</v>
      </c>
      <c r="E49" s="2" t="s">
        <v>309</v>
      </c>
      <c r="F49" s="2" t="s">
        <v>1429</v>
      </c>
      <c r="G49" s="2" t="n">
        <v>1422</v>
      </c>
      <c r="H49" s="2" t="s">
        <v>211</v>
      </c>
      <c r="I49" s="2" t="s">
        <v>40</v>
      </c>
      <c r="J49" s="2" t="s">
        <v>122</v>
      </c>
      <c r="K49" s="2" t="s">
        <v>692</v>
      </c>
      <c r="L49" s="2" t="s">
        <v>2301</v>
      </c>
      <c r="M49" s="2"/>
      <c r="N49" s="2"/>
      <c r="O49" s="2"/>
      <c r="P49" s="2"/>
      <c r="Q49" s="2"/>
      <c r="R49" s="2"/>
    </row>
    <row r="50" customFormat="false" ht="15" hidden="false" customHeight="false" outlineLevel="0" collapsed="false">
      <c r="A50" s="2" t="s">
        <v>1432</v>
      </c>
      <c r="B50" s="2" t="s">
        <v>2299</v>
      </c>
      <c r="C50" s="2" t="s">
        <v>2300</v>
      </c>
      <c r="D50" s="2" t="s">
        <v>36</v>
      </c>
      <c r="E50" s="2" t="s">
        <v>311</v>
      </c>
      <c r="F50" s="2" t="s">
        <v>1433</v>
      </c>
      <c r="G50" s="2" t="n">
        <v>1318</v>
      </c>
      <c r="H50" s="2" t="s">
        <v>211</v>
      </c>
      <c r="I50" s="2" t="s">
        <v>40</v>
      </c>
      <c r="J50" s="2" t="s">
        <v>2310</v>
      </c>
      <c r="K50" s="2" t="s">
        <v>692</v>
      </c>
      <c r="L50" s="2" t="s">
        <v>2301</v>
      </c>
      <c r="M50" s="2"/>
      <c r="N50" s="2"/>
      <c r="O50" s="2"/>
      <c r="P50" s="2"/>
      <c r="Q50" s="2"/>
      <c r="R50" s="2"/>
    </row>
    <row r="51" customFormat="false" ht="15" hidden="false" customHeight="false" outlineLevel="0" collapsed="false">
      <c r="A51" s="2" t="s">
        <v>1436</v>
      </c>
      <c r="B51" s="2" t="s">
        <v>2299</v>
      </c>
      <c r="C51" s="2" t="s">
        <v>2300</v>
      </c>
      <c r="D51" s="2" t="s">
        <v>36</v>
      </c>
      <c r="E51" s="2" t="s">
        <v>313</v>
      </c>
      <c r="F51" s="2" t="s">
        <v>1437</v>
      </c>
      <c r="G51" s="2" t="n">
        <v>1677</v>
      </c>
      <c r="H51" s="2" t="s">
        <v>215</v>
      </c>
      <c r="I51" s="2" t="s">
        <v>47</v>
      </c>
      <c r="J51" s="2" t="s">
        <v>104</v>
      </c>
      <c r="K51" s="2" t="s">
        <v>692</v>
      </c>
      <c r="L51" s="2" t="s">
        <v>2301</v>
      </c>
      <c r="M51" s="2"/>
      <c r="N51" s="2"/>
      <c r="O51" s="2"/>
      <c r="P51" s="2"/>
      <c r="Q51" s="2"/>
      <c r="R51" s="2"/>
    </row>
    <row r="52" customFormat="false" ht="15" hidden="false" customHeight="false" outlineLevel="0" collapsed="false">
      <c r="A52" s="2" t="s">
        <v>1440</v>
      </c>
      <c r="B52" s="2" t="s">
        <v>2299</v>
      </c>
      <c r="C52" s="2" t="s">
        <v>2300</v>
      </c>
      <c r="D52" s="2" t="s">
        <v>36</v>
      </c>
      <c r="E52" s="2" t="s">
        <v>315</v>
      </c>
      <c r="F52" s="2" t="s">
        <v>1441</v>
      </c>
      <c r="G52" s="2" t="n">
        <v>1360</v>
      </c>
      <c r="H52" s="2" t="s">
        <v>211</v>
      </c>
      <c r="I52" s="2" t="s">
        <v>47</v>
      </c>
      <c r="J52" s="2" t="s">
        <v>92</v>
      </c>
      <c r="K52" s="2" t="s">
        <v>692</v>
      </c>
      <c r="L52" s="2" t="s">
        <v>2301</v>
      </c>
      <c r="M52" s="2"/>
      <c r="N52" s="2"/>
      <c r="O52" s="2"/>
      <c r="P52" s="2"/>
      <c r="Q52" s="2"/>
      <c r="R52" s="2"/>
    </row>
    <row r="53" customFormat="false" ht="15" hidden="false" customHeight="false" outlineLevel="0" collapsed="false">
      <c r="A53" s="2" t="s">
        <v>1444</v>
      </c>
      <c r="B53" s="2" t="s">
        <v>2299</v>
      </c>
      <c r="C53" s="2" t="s">
        <v>2300</v>
      </c>
      <c r="D53" s="2" t="s">
        <v>36</v>
      </c>
      <c r="E53" s="2" t="s">
        <v>317</v>
      </c>
      <c r="F53" s="2" t="s">
        <v>1445</v>
      </c>
      <c r="G53" s="2" t="n">
        <v>2143</v>
      </c>
      <c r="H53" s="2" t="s">
        <v>215</v>
      </c>
      <c r="I53" s="2" t="s">
        <v>40</v>
      </c>
      <c r="J53" s="2" t="s">
        <v>2311</v>
      </c>
      <c r="K53" s="2" t="s">
        <v>692</v>
      </c>
      <c r="L53" s="2" t="s">
        <v>2301</v>
      </c>
      <c r="M53" s="2"/>
      <c r="N53" s="2"/>
      <c r="O53" s="2"/>
      <c r="P53" s="2"/>
      <c r="Q53" s="2"/>
      <c r="R53" s="2"/>
    </row>
    <row r="54" customFormat="false" ht="15" hidden="false" customHeight="false" outlineLevel="0" collapsed="false">
      <c r="A54" s="2" t="s">
        <v>1448</v>
      </c>
      <c r="B54" s="2" t="s">
        <v>2299</v>
      </c>
      <c r="C54" s="2" t="s">
        <v>2300</v>
      </c>
      <c r="D54" s="2" t="s">
        <v>36</v>
      </c>
      <c r="E54" s="2" t="s">
        <v>319</v>
      </c>
      <c r="F54" s="2" t="s">
        <v>1449</v>
      </c>
      <c r="G54" s="2" t="n">
        <v>1318</v>
      </c>
      <c r="H54" s="2" t="s">
        <v>211</v>
      </c>
      <c r="I54" s="2" t="s">
        <v>40</v>
      </c>
      <c r="J54" s="2" t="s">
        <v>97</v>
      </c>
      <c r="K54" s="2" t="s">
        <v>692</v>
      </c>
      <c r="L54" s="2" t="s">
        <v>2301</v>
      </c>
      <c r="M54" s="2"/>
      <c r="N54" s="2"/>
      <c r="O54" s="2"/>
      <c r="P54" s="2"/>
      <c r="Q54" s="2"/>
      <c r="R54" s="2"/>
    </row>
    <row r="55" customFormat="false" ht="15" hidden="false" customHeight="false" outlineLevel="0" collapsed="false">
      <c r="A55" s="2" t="s">
        <v>1452</v>
      </c>
      <c r="B55" s="2" t="s">
        <v>2299</v>
      </c>
      <c r="C55" s="2" t="s">
        <v>2300</v>
      </c>
      <c r="D55" s="2" t="s">
        <v>36</v>
      </c>
      <c r="E55" s="2" t="s">
        <v>321</v>
      </c>
      <c r="F55" s="2" t="s">
        <v>1453</v>
      </c>
      <c r="G55" s="2" t="n">
        <v>1329</v>
      </c>
      <c r="H55" s="2" t="s">
        <v>211</v>
      </c>
      <c r="I55" s="2" t="s">
        <v>40</v>
      </c>
      <c r="J55" s="2" t="s">
        <v>95</v>
      </c>
      <c r="K55" s="2" t="s">
        <v>692</v>
      </c>
      <c r="L55" s="2" t="s">
        <v>2301</v>
      </c>
      <c r="M55" s="2"/>
      <c r="N55" s="2"/>
      <c r="O55" s="2"/>
      <c r="P55" s="2"/>
      <c r="Q55" s="2"/>
      <c r="R55" s="2"/>
    </row>
    <row r="56" customFormat="false" ht="15" hidden="false" customHeight="false" outlineLevel="0" collapsed="false">
      <c r="A56" s="2" t="s">
        <v>1456</v>
      </c>
      <c r="B56" s="2" t="s">
        <v>2299</v>
      </c>
      <c r="C56" s="2" t="s">
        <v>2300</v>
      </c>
      <c r="D56" s="2" t="s">
        <v>36</v>
      </c>
      <c r="E56" s="2" t="s">
        <v>323</v>
      </c>
      <c r="F56" s="2" t="s">
        <v>1457</v>
      </c>
      <c r="G56" s="2" t="n">
        <v>1000</v>
      </c>
      <c r="H56" s="2" t="s">
        <v>233</v>
      </c>
      <c r="I56" s="2" t="s">
        <v>40</v>
      </c>
      <c r="J56" s="2" t="s">
        <v>140</v>
      </c>
      <c r="K56" s="2" t="s">
        <v>692</v>
      </c>
      <c r="L56" s="2" t="s">
        <v>2301</v>
      </c>
      <c r="M56" s="2"/>
      <c r="N56" s="2"/>
      <c r="O56" s="2"/>
      <c r="P56" s="2"/>
      <c r="Q56" s="2"/>
      <c r="R56" s="2"/>
    </row>
    <row r="57" customFormat="false" ht="15" hidden="false" customHeight="false" outlineLevel="0" collapsed="false">
      <c r="A57" s="2" t="s">
        <v>1460</v>
      </c>
      <c r="B57" s="2" t="s">
        <v>2299</v>
      </c>
      <c r="C57" s="2" t="s">
        <v>2300</v>
      </c>
      <c r="D57" s="2" t="s">
        <v>36</v>
      </c>
      <c r="E57" s="2" t="s">
        <v>325</v>
      </c>
      <c r="F57" s="2" t="s">
        <v>1461</v>
      </c>
      <c r="G57" s="2" t="n">
        <v>1494</v>
      </c>
      <c r="H57" s="2" t="s">
        <v>230</v>
      </c>
      <c r="I57" s="2" t="s">
        <v>40</v>
      </c>
      <c r="J57" s="2" t="s">
        <v>102</v>
      </c>
      <c r="K57" s="2" t="s">
        <v>692</v>
      </c>
      <c r="L57" s="2" t="s">
        <v>2301</v>
      </c>
      <c r="M57" s="2"/>
      <c r="N57" s="2"/>
      <c r="O57" s="2"/>
      <c r="P57" s="2"/>
      <c r="Q57" s="2"/>
      <c r="R57" s="2"/>
    </row>
    <row r="58" customFormat="false" ht="15" hidden="false" customHeight="false" outlineLevel="0" collapsed="false">
      <c r="A58" s="2" t="s">
        <v>1464</v>
      </c>
      <c r="B58" s="2" t="s">
        <v>2299</v>
      </c>
      <c r="C58" s="2" t="s">
        <v>2300</v>
      </c>
      <c r="D58" s="2" t="s">
        <v>36</v>
      </c>
      <c r="E58" s="2" t="s">
        <v>327</v>
      </c>
      <c r="F58" s="2" t="s">
        <v>1465</v>
      </c>
      <c r="G58" s="2" t="n">
        <v>1517</v>
      </c>
      <c r="H58" s="2" t="s">
        <v>233</v>
      </c>
      <c r="I58" s="2" t="s">
        <v>40</v>
      </c>
      <c r="J58" s="2" t="s">
        <v>109</v>
      </c>
      <c r="K58" s="2" t="s">
        <v>692</v>
      </c>
      <c r="L58" s="2" t="s">
        <v>2301</v>
      </c>
      <c r="M58" s="2"/>
      <c r="N58" s="2"/>
      <c r="O58" s="2"/>
      <c r="P58" s="2"/>
      <c r="Q58" s="2"/>
      <c r="R58" s="2"/>
    </row>
    <row r="59" customFormat="false" ht="15" hidden="false" customHeight="false" outlineLevel="0" collapsed="false">
      <c r="A59" s="2" t="s">
        <v>1468</v>
      </c>
      <c r="B59" s="2" t="s">
        <v>2299</v>
      </c>
      <c r="C59" s="2" t="s">
        <v>2300</v>
      </c>
      <c r="D59" s="2" t="s">
        <v>36</v>
      </c>
      <c r="E59" s="2" t="s">
        <v>329</v>
      </c>
      <c r="F59" s="2" t="s">
        <v>1469</v>
      </c>
      <c r="G59" s="2" t="n">
        <v>1380</v>
      </c>
      <c r="H59" s="2" t="s">
        <v>233</v>
      </c>
      <c r="I59" s="2" t="s">
        <v>40</v>
      </c>
      <c r="J59" s="2" t="s">
        <v>147</v>
      </c>
      <c r="K59" s="2" t="s">
        <v>692</v>
      </c>
      <c r="L59" s="2" t="s">
        <v>2301</v>
      </c>
      <c r="M59" s="2"/>
      <c r="N59" s="2"/>
      <c r="O59" s="2"/>
      <c r="P59" s="2"/>
      <c r="Q59" s="2"/>
      <c r="R59" s="2"/>
    </row>
    <row r="60" customFormat="false" ht="15" hidden="false" customHeight="false" outlineLevel="0" collapsed="false">
      <c r="A60" s="2" t="s">
        <v>1472</v>
      </c>
      <c r="B60" s="2" t="s">
        <v>2299</v>
      </c>
      <c r="C60" s="2" t="s">
        <v>2300</v>
      </c>
      <c r="D60" s="2" t="s">
        <v>36</v>
      </c>
      <c r="E60" s="2" t="s">
        <v>331</v>
      </c>
      <c r="F60" s="2" t="s">
        <v>1473</v>
      </c>
      <c r="G60" s="2" t="n">
        <v>1089</v>
      </c>
      <c r="H60" s="2" t="s">
        <v>233</v>
      </c>
      <c r="I60" s="2" t="s">
        <v>40</v>
      </c>
      <c r="J60" s="2" t="s">
        <v>145</v>
      </c>
      <c r="K60" s="2" t="s">
        <v>692</v>
      </c>
      <c r="L60" s="2" t="s">
        <v>2301</v>
      </c>
      <c r="M60" s="2"/>
      <c r="N60" s="2"/>
      <c r="O60" s="2"/>
      <c r="P60" s="2"/>
      <c r="Q60" s="2"/>
      <c r="R60" s="2"/>
    </row>
    <row r="61" customFormat="false" ht="15" hidden="false" customHeight="false" outlineLevel="0" collapsed="false">
      <c r="A61" s="2" t="s">
        <v>1476</v>
      </c>
      <c r="B61" s="2" t="s">
        <v>2299</v>
      </c>
      <c r="C61" s="2" t="s">
        <v>2300</v>
      </c>
      <c r="D61" s="2" t="s">
        <v>36</v>
      </c>
      <c r="E61" s="2" t="s">
        <v>333</v>
      </c>
      <c r="F61" s="2" t="s">
        <v>1477</v>
      </c>
      <c r="G61" s="2" t="n">
        <v>1060</v>
      </c>
      <c r="H61" s="2" t="s">
        <v>211</v>
      </c>
      <c r="I61" s="2" t="s">
        <v>40</v>
      </c>
      <c r="J61" s="2" t="s">
        <v>126</v>
      </c>
      <c r="K61" s="2" t="s">
        <v>692</v>
      </c>
      <c r="L61" s="2" t="s">
        <v>2301</v>
      </c>
      <c r="M61" s="2"/>
      <c r="N61" s="2"/>
      <c r="O61" s="2"/>
      <c r="P61" s="2"/>
      <c r="Q61" s="2"/>
      <c r="R61" s="2"/>
    </row>
    <row r="62" customFormat="false" ht="15" hidden="false" customHeight="false" outlineLevel="0" collapsed="false">
      <c r="A62" s="2" t="s">
        <v>1480</v>
      </c>
      <c r="B62" s="2" t="s">
        <v>2299</v>
      </c>
      <c r="C62" s="2" t="s">
        <v>2300</v>
      </c>
      <c r="D62" s="2" t="s">
        <v>36</v>
      </c>
      <c r="E62" s="2" t="s">
        <v>335</v>
      </c>
      <c r="F62" s="2" t="s">
        <v>1481</v>
      </c>
      <c r="G62" s="2" t="n">
        <v>2355</v>
      </c>
      <c r="H62" s="2" t="s">
        <v>215</v>
      </c>
      <c r="I62" s="2" t="s">
        <v>47</v>
      </c>
      <c r="J62" s="2" t="s">
        <v>129</v>
      </c>
      <c r="K62" s="2" t="s">
        <v>692</v>
      </c>
      <c r="L62" s="2" t="s">
        <v>2301</v>
      </c>
      <c r="M62" s="2"/>
      <c r="N62" s="2"/>
      <c r="O62" s="2"/>
      <c r="P62" s="2"/>
      <c r="Q62" s="2"/>
      <c r="R62" s="2"/>
    </row>
    <row r="63" customFormat="false" ht="23.85" hidden="false" customHeight="false" outlineLevel="0" collapsed="false">
      <c r="A63" s="2" t="s">
        <v>1236</v>
      </c>
      <c r="B63" s="2" t="s">
        <v>2312</v>
      </c>
      <c r="C63" s="2" t="s">
        <v>2300</v>
      </c>
      <c r="D63" s="2" t="s">
        <v>43</v>
      </c>
      <c r="E63" s="2" t="s">
        <v>210</v>
      </c>
      <c r="F63" s="2" t="s">
        <v>1484</v>
      </c>
      <c r="G63" s="2" t="n">
        <v>1478</v>
      </c>
      <c r="H63" s="2" t="s">
        <v>230</v>
      </c>
      <c r="I63" s="2" t="s">
        <v>54</v>
      </c>
      <c r="J63" s="2" t="s">
        <v>119</v>
      </c>
      <c r="K63" s="2" t="s">
        <v>692</v>
      </c>
      <c r="L63" s="2" t="s">
        <v>2301</v>
      </c>
      <c r="M63" s="2"/>
      <c r="N63" s="2"/>
      <c r="O63" s="2"/>
      <c r="P63" s="2"/>
      <c r="Q63" s="2"/>
      <c r="R63" s="2"/>
    </row>
    <row r="64" customFormat="false" ht="23.85" hidden="false" customHeight="false" outlineLevel="0" collapsed="false">
      <c r="A64" s="2" t="s">
        <v>1252</v>
      </c>
      <c r="B64" s="2" t="s">
        <v>2312</v>
      </c>
      <c r="C64" s="2" t="s">
        <v>2300</v>
      </c>
      <c r="D64" s="2" t="s">
        <v>43</v>
      </c>
      <c r="E64" s="2" t="s">
        <v>219</v>
      </c>
      <c r="F64" s="2" t="s">
        <v>1487</v>
      </c>
      <c r="G64" s="2" t="n">
        <v>1762</v>
      </c>
      <c r="H64" s="2" t="s">
        <v>230</v>
      </c>
      <c r="I64" s="2" t="s">
        <v>47</v>
      </c>
      <c r="J64" s="2" t="s">
        <v>2313</v>
      </c>
      <c r="K64" s="2" t="s">
        <v>692</v>
      </c>
      <c r="L64" s="2" t="s">
        <v>2301</v>
      </c>
      <c r="M64" s="2"/>
      <c r="N64" s="2"/>
      <c r="O64" s="2"/>
      <c r="P64" s="2"/>
      <c r="Q64" s="2"/>
      <c r="R64" s="2"/>
    </row>
    <row r="65" customFormat="false" ht="23.85" hidden="false" customHeight="false" outlineLevel="0" collapsed="false">
      <c r="A65" s="2" t="s">
        <v>1490</v>
      </c>
      <c r="B65" s="2" t="s">
        <v>2312</v>
      </c>
      <c r="C65" s="2" t="s">
        <v>2300</v>
      </c>
      <c r="D65" s="2" t="s">
        <v>43</v>
      </c>
      <c r="E65" s="2" t="s">
        <v>339</v>
      </c>
      <c r="F65" s="2" t="s">
        <v>1491</v>
      </c>
      <c r="G65" s="2" t="n">
        <v>1636</v>
      </c>
      <c r="H65" s="2" t="s">
        <v>215</v>
      </c>
      <c r="I65" s="2" t="s">
        <v>47</v>
      </c>
      <c r="J65" s="2" t="s">
        <v>2314</v>
      </c>
      <c r="K65" s="2" t="s">
        <v>692</v>
      </c>
      <c r="L65" s="2" t="s">
        <v>2301</v>
      </c>
      <c r="M65" s="2"/>
      <c r="N65" s="2"/>
      <c r="O65" s="2"/>
      <c r="P65" s="2"/>
      <c r="Q65" s="2"/>
      <c r="R65" s="2"/>
    </row>
    <row r="66" customFormat="false" ht="23.85" hidden="false" customHeight="false" outlineLevel="0" collapsed="false">
      <c r="A66" s="2" t="s">
        <v>1256</v>
      </c>
      <c r="B66" s="2" t="s">
        <v>2312</v>
      </c>
      <c r="C66" s="2" t="s">
        <v>2300</v>
      </c>
      <c r="D66" s="2" t="s">
        <v>43</v>
      </c>
      <c r="E66" s="2" t="s">
        <v>221</v>
      </c>
      <c r="F66" s="2" t="s">
        <v>1494</v>
      </c>
      <c r="G66" s="2" t="n">
        <v>2240</v>
      </c>
      <c r="H66" s="2" t="s">
        <v>215</v>
      </c>
      <c r="I66" s="2" t="s">
        <v>40</v>
      </c>
      <c r="J66" s="2" t="s">
        <v>141</v>
      </c>
      <c r="K66" s="2" t="s">
        <v>692</v>
      </c>
      <c r="L66" s="2" t="s">
        <v>2301</v>
      </c>
      <c r="M66" s="2"/>
      <c r="N66" s="2"/>
      <c r="O66" s="2"/>
      <c r="P66" s="2"/>
      <c r="Q66" s="2"/>
      <c r="R66" s="2"/>
    </row>
    <row r="67" customFormat="false" ht="23.85" hidden="false" customHeight="false" outlineLevel="0" collapsed="false">
      <c r="A67" s="2" t="s">
        <v>1497</v>
      </c>
      <c r="B67" s="2" t="s">
        <v>2312</v>
      </c>
      <c r="C67" s="2" t="s">
        <v>2300</v>
      </c>
      <c r="D67" s="2" t="s">
        <v>43</v>
      </c>
      <c r="E67" s="2" t="s">
        <v>342</v>
      </c>
      <c r="F67" s="2" t="s">
        <v>1498</v>
      </c>
      <c r="G67" s="2" t="n">
        <v>2740</v>
      </c>
      <c r="H67" s="2" t="s">
        <v>215</v>
      </c>
      <c r="I67" s="2" t="s">
        <v>40</v>
      </c>
      <c r="J67" s="2" t="s">
        <v>2315</v>
      </c>
      <c r="K67" s="2" t="s">
        <v>692</v>
      </c>
      <c r="L67" s="2" t="s">
        <v>2301</v>
      </c>
      <c r="M67" s="2"/>
      <c r="N67" s="2"/>
      <c r="O67" s="2"/>
      <c r="P67" s="2"/>
      <c r="Q67" s="2"/>
      <c r="R67" s="2"/>
    </row>
    <row r="68" customFormat="false" ht="23.85" hidden="false" customHeight="false" outlineLevel="0" collapsed="false">
      <c r="A68" s="2" t="s">
        <v>1260</v>
      </c>
      <c r="B68" s="2" t="s">
        <v>2312</v>
      </c>
      <c r="C68" s="2" t="s">
        <v>2300</v>
      </c>
      <c r="D68" s="2" t="s">
        <v>43</v>
      </c>
      <c r="E68" s="2" t="s">
        <v>223</v>
      </c>
      <c r="F68" s="2" t="s">
        <v>1501</v>
      </c>
      <c r="G68" s="2" t="n">
        <v>2130</v>
      </c>
      <c r="H68" s="2" t="s">
        <v>215</v>
      </c>
      <c r="I68" s="2" t="s">
        <v>40</v>
      </c>
      <c r="J68" s="2" t="s">
        <v>106</v>
      </c>
      <c r="K68" s="2" t="s">
        <v>692</v>
      </c>
      <c r="L68" s="2" t="s">
        <v>2301</v>
      </c>
      <c r="M68" s="2"/>
      <c r="N68" s="2"/>
      <c r="O68" s="2"/>
      <c r="P68" s="2"/>
      <c r="Q68" s="2"/>
      <c r="R68" s="2"/>
    </row>
    <row r="69" customFormat="false" ht="23.85" hidden="false" customHeight="false" outlineLevel="0" collapsed="false">
      <c r="A69" s="2" t="s">
        <v>1504</v>
      </c>
      <c r="B69" s="2" t="s">
        <v>2312</v>
      </c>
      <c r="C69" s="2" t="s">
        <v>2300</v>
      </c>
      <c r="D69" s="2" t="s">
        <v>43</v>
      </c>
      <c r="E69" s="2" t="s">
        <v>345</v>
      </c>
      <c r="F69" s="2" t="s">
        <v>1505</v>
      </c>
      <c r="G69" s="2" t="n">
        <v>1944</v>
      </c>
      <c r="H69" s="2" t="s">
        <v>215</v>
      </c>
      <c r="I69" s="2" t="s">
        <v>40</v>
      </c>
      <c r="J69" s="2" t="s">
        <v>106</v>
      </c>
      <c r="K69" s="2" t="s">
        <v>692</v>
      </c>
      <c r="L69" s="2" t="s">
        <v>2301</v>
      </c>
      <c r="M69" s="2"/>
      <c r="N69" s="2"/>
      <c r="O69" s="2"/>
      <c r="P69" s="2"/>
      <c r="Q69" s="2"/>
      <c r="R69" s="2"/>
    </row>
    <row r="70" customFormat="false" ht="23.85" hidden="false" customHeight="false" outlineLevel="0" collapsed="false">
      <c r="A70" s="2" t="s">
        <v>1264</v>
      </c>
      <c r="B70" s="2" t="s">
        <v>2312</v>
      </c>
      <c r="C70" s="2" t="s">
        <v>2300</v>
      </c>
      <c r="D70" s="2" t="s">
        <v>43</v>
      </c>
      <c r="E70" s="2" t="s">
        <v>225</v>
      </c>
      <c r="F70" s="2" t="s">
        <v>1508</v>
      </c>
      <c r="G70" s="2" t="n">
        <v>2069</v>
      </c>
      <c r="H70" s="2" t="s">
        <v>215</v>
      </c>
      <c r="I70" s="2" t="s">
        <v>40</v>
      </c>
      <c r="J70" s="2" t="s">
        <v>2316</v>
      </c>
      <c r="K70" s="2" t="s">
        <v>692</v>
      </c>
      <c r="L70" s="2" t="s">
        <v>2301</v>
      </c>
      <c r="M70" s="2"/>
      <c r="N70" s="2"/>
      <c r="O70" s="2"/>
      <c r="P70" s="2"/>
      <c r="Q70" s="2"/>
      <c r="R70" s="2"/>
    </row>
    <row r="71" customFormat="false" ht="23.85" hidden="false" customHeight="false" outlineLevel="0" collapsed="false">
      <c r="A71" s="2" t="s">
        <v>1272</v>
      </c>
      <c r="B71" s="2" t="s">
        <v>2312</v>
      </c>
      <c r="C71" s="2" t="s">
        <v>2300</v>
      </c>
      <c r="D71" s="2" t="s">
        <v>43</v>
      </c>
      <c r="E71" s="2" t="s">
        <v>229</v>
      </c>
      <c r="F71" s="2" t="s">
        <v>1511</v>
      </c>
      <c r="G71" s="2" t="n">
        <v>2585</v>
      </c>
      <c r="H71" s="2" t="s">
        <v>215</v>
      </c>
      <c r="I71" s="2" t="s">
        <v>47</v>
      </c>
      <c r="J71" s="2" t="s">
        <v>74</v>
      </c>
      <c r="K71" s="2" t="s">
        <v>692</v>
      </c>
      <c r="L71" s="2" t="s">
        <v>2301</v>
      </c>
      <c r="M71" s="2"/>
      <c r="N71" s="2"/>
      <c r="O71" s="2"/>
      <c r="P71" s="2"/>
      <c r="Q71" s="2"/>
      <c r="R71" s="2"/>
    </row>
    <row r="72" customFormat="false" ht="23.85" hidden="false" customHeight="false" outlineLevel="0" collapsed="false">
      <c r="A72" s="2" t="s">
        <v>1276</v>
      </c>
      <c r="B72" s="2" t="s">
        <v>2312</v>
      </c>
      <c r="C72" s="2" t="s">
        <v>2300</v>
      </c>
      <c r="D72" s="2" t="s">
        <v>43</v>
      </c>
      <c r="E72" s="2" t="s">
        <v>232</v>
      </c>
      <c r="F72" s="2" t="s">
        <v>1514</v>
      </c>
      <c r="G72" s="2" t="n">
        <v>2662</v>
      </c>
      <c r="H72" s="2" t="s">
        <v>215</v>
      </c>
      <c r="I72" s="2" t="s">
        <v>47</v>
      </c>
      <c r="J72" s="2" t="s">
        <v>70</v>
      </c>
      <c r="K72" s="2" t="s">
        <v>692</v>
      </c>
      <c r="L72" s="2" t="s">
        <v>2301</v>
      </c>
      <c r="M72" s="2"/>
      <c r="N72" s="2"/>
      <c r="O72" s="2"/>
      <c r="P72" s="2"/>
      <c r="Q72" s="2"/>
      <c r="R72" s="2"/>
    </row>
    <row r="73" customFormat="false" ht="23.85" hidden="false" customHeight="false" outlineLevel="0" collapsed="false">
      <c r="A73" s="2" t="s">
        <v>1296</v>
      </c>
      <c r="B73" s="2" t="s">
        <v>2312</v>
      </c>
      <c r="C73" s="2" t="s">
        <v>2300</v>
      </c>
      <c r="D73" s="2" t="s">
        <v>43</v>
      </c>
      <c r="E73" s="2" t="s">
        <v>243</v>
      </c>
      <c r="F73" s="2" t="s">
        <v>1517</v>
      </c>
      <c r="G73" s="2" t="n">
        <v>2233</v>
      </c>
      <c r="H73" s="2" t="s">
        <v>215</v>
      </c>
      <c r="I73" s="2" t="s">
        <v>47</v>
      </c>
      <c r="J73" s="2" t="s">
        <v>96</v>
      </c>
      <c r="K73" s="2" t="s">
        <v>692</v>
      </c>
      <c r="L73" s="2" t="s">
        <v>2301</v>
      </c>
      <c r="M73" s="2"/>
      <c r="N73" s="2"/>
      <c r="O73" s="2"/>
      <c r="P73" s="2"/>
      <c r="Q73" s="2"/>
      <c r="R73" s="2"/>
    </row>
    <row r="74" customFormat="false" ht="23.85" hidden="false" customHeight="false" outlineLevel="0" collapsed="false">
      <c r="A74" s="2" t="s">
        <v>1520</v>
      </c>
      <c r="B74" s="2" t="s">
        <v>2312</v>
      </c>
      <c r="C74" s="2" t="s">
        <v>2300</v>
      </c>
      <c r="D74" s="2" t="s">
        <v>43</v>
      </c>
      <c r="E74" s="2" t="s">
        <v>351</v>
      </c>
      <c r="F74" s="2" t="s">
        <v>1521</v>
      </c>
      <c r="G74" s="2" t="n">
        <v>1528</v>
      </c>
      <c r="H74" s="2" t="s">
        <v>215</v>
      </c>
      <c r="I74" s="2" t="s">
        <v>40</v>
      </c>
      <c r="J74" s="2" t="s">
        <v>2317</v>
      </c>
      <c r="K74" s="2" t="s">
        <v>692</v>
      </c>
      <c r="L74" s="2" t="s">
        <v>2301</v>
      </c>
      <c r="M74" s="2"/>
      <c r="N74" s="2"/>
      <c r="O74" s="2"/>
      <c r="P74" s="2"/>
      <c r="Q74" s="2"/>
      <c r="R74" s="2"/>
    </row>
    <row r="75" customFormat="false" ht="23.85" hidden="false" customHeight="false" outlineLevel="0" collapsed="false">
      <c r="A75" s="2" t="s">
        <v>1524</v>
      </c>
      <c r="B75" s="2" t="s">
        <v>2312</v>
      </c>
      <c r="C75" s="2" t="s">
        <v>2300</v>
      </c>
      <c r="D75" s="2" t="s">
        <v>43</v>
      </c>
      <c r="E75" s="2" t="s">
        <v>353</v>
      </c>
      <c r="F75" s="2" t="s">
        <v>1525</v>
      </c>
      <c r="G75" s="2" t="n">
        <v>1818</v>
      </c>
      <c r="H75" s="2" t="s">
        <v>215</v>
      </c>
      <c r="I75" s="2" t="s">
        <v>40</v>
      </c>
      <c r="J75" s="2" t="s">
        <v>2318</v>
      </c>
      <c r="K75" s="2" t="s">
        <v>692</v>
      </c>
      <c r="L75" s="2" t="s">
        <v>2301</v>
      </c>
      <c r="M75" s="2"/>
      <c r="N75" s="2"/>
      <c r="O75" s="2"/>
      <c r="P75" s="2"/>
      <c r="Q75" s="2"/>
      <c r="R75" s="2"/>
    </row>
    <row r="76" customFormat="false" ht="23.85" hidden="false" customHeight="false" outlineLevel="0" collapsed="false">
      <c r="A76" s="2" t="s">
        <v>1328</v>
      </c>
      <c r="B76" s="2" t="s">
        <v>2312</v>
      </c>
      <c r="C76" s="2" t="s">
        <v>2300</v>
      </c>
      <c r="D76" s="2" t="s">
        <v>43</v>
      </c>
      <c r="E76" s="2" t="s">
        <v>259</v>
      </c>
      <c r="F76" s="2" t="s">
        <v>1528</v>
      </c>
      <c r="G76" s="2" t="n">
        <v>1811</v>
      </c>
      <c r="H76" s="2" t="s">
        <v>215</v>
      </c>
      <c r="I76" s="2" t="s">
        <v>47</v>
      </c>
      <c r="J76" s="2" t="s">
        <v>87</v>
      </c>
      <c r="K76" s="2" t="s">
        <v>692</v>
      </c>
      <c r="L76" s="2" t="s">
        <v>2301</v>
      </c>
      <c r="M76" s="2"/>
      <c r="N76" s="2"/>
      <c r="O76" s="2"/>
      <c r="P76" s="2"/>
      <c r="Q76" s="2"/>
      <c r="R76" s="2"/>
    </row>
    <row r="77" customFormat="false" ht="23.85" hidden="false" customHeight="false" outlineLevel="0" collapsed="false">
      <c r="A77" s="2" t="s">
        <v>1531</v>
      </c>
      <c r="B77" s="2" t="s">
        <v>2312</v>
      </c>
      <c r="C77" s="2" t="s">
        <v>2300</v>
      </c>
      <c r="D77" s="2" t="s">
        <v>43</v>
      </c>
      <c r="E77" s="2" t="s">
        <v>356</v>
      </c>
      <c r="F77" s="2" t="s">
        <v>1532</v>
      </c>
      <c r="G77" s="2" t="n">
        <v>1788</v>
      </c>
      <c r="H77" s="2" t="s">
        <v>215</v>
      </c>
      <c r="I77" s="2" t="s">
        <v>40</v>
      </c>
      <c r="J77" s="2" t="s">
        <v>80</v>
      </c>
      <c r="K77" s="2" t="s">
        <v>692</v>
      </c>
      <c r="L77" s="2" t="s">
        <v>2301</v>
      </c>
      <c r="M77" s="2"/>
      <c r="N77" s="2"/>
      <c r="O77" s="2"/>
      <c r="P77" s="2"/>
      <c r="Q77" s="2"/>
      <c r="R77" s="2"/>
    </row>
    <row r="78" customFormat="false" ht="23.85" hidden="false" customHeight="false" outlineLevel="0" collapsed="false">
      <c r="A78" s="2" t="s">
        <v>1332</v>
      </c>
      <c r="B78" s="2" t="s">
        <v>2312</v>
      </c>
      <c r="C78" s="2" t="s">
        <v>2300</v>
      </c>
      <c r="D78" s="2" t="s">
        <v>43</v>
      </c>
      <c r="E78" s="2" t="s">
        <v>261</v>
      </c>
      <c r="F78" s="2" t="s">
        <v>1535</v>
      </c>
      <c r="G78" s="2" t="n">
        <v>1478</v>
      </c>
      <c r="H78" s="2" t="s">
        <v>215</v>
      </c>
      <c r="I78" s="2" t="s">
        <v>47</v>
      </c>
      <c r="J78" s="2" t="s">
        <v>86</v>
      </c>
      <c r="K78" s="2" t="s">
        <v>692</v>
      </c>
      <c r="L78" s="2" t="s">
        <v>2301</v>
      </c>
      <c r="M78" s="2"/>
      <c r="N78" s="2"/>
      <c r="O78" s="2"/>
      <c r="P78" s="2"/>
      <c r="Q78" s="2"/>
      <c r="R78" s="2"/>
    </row>
    <row r="79" customFormat="false" ht="23.85" hidden="false" customHeight="false" outlineLevel="0" collapsed="false">
      <c r="A79" s="2" t="s">
        <v>1538</v>
      </c>
      <c r="B79" s="2" t="s">
        <v>2312</v>
      </c>
      <c r="C79" s="2" t="s">
        <v>2300</v>
      </c>
      <c r="D79" s="2" t="s">
        <v>43</v>
      </c>
      <c r="E79" s="2" t="s">
        <v>359</v>
      </c>
      <c r="F79" s="2" t="s">
        <v>1539</v>
      </c>
      <c r="G79" s="2" t="n">
        <v>1542</v>
      </c>
      <c r="H79" s="2" t="s">
        <v>230</v>
      </c>
      <c r="I79" s="2" t="s">
        <v>40</v>
      </c>
      <c r="J79" s="2" t="s">
        <v>140</v>
      </c>
      <c r="K79" s="2" t="s">
        <v>692</v>
      </c>
      <c r="L79" s="2" t="s">
        <v>2301</v>
      </c>
      <c r="M79" s="2"/>
      <c r="N79" s="2"/>
      <c r="O79" s="2"/>
      <c r="P79" s="2"/>
      <c r="Q79" s="2"/>
      <c r="R79" s="2"/>
    </row>
    <row r="80" customFormat="false" ht="23.85" hidden="false" customHeight="false" outlineLevel="0" collapsed="false">
      <c r="A80" s="2" t="s">
        <v>1542</v>
      </c>
      <c r="B80" s="2" t="s">
        <v>2312</v>
      </c>
      <c r="C80" s="2" t="s">
        <v>2300</v>
      </c>
      <c r="D80" s="2" t="s">
        <v>43</v>
      </c>
      <c r="E80" s="2" t="s">
        <v>361</v>
      </c>
      <c r="F80" s="2" t="s">
        <v>1543</v>
      </c>
      <c r="G80" s="2" t="n">
        <v>1594</v>
      </c>
      <c r="H80" s="2" t="s">
        <v>215</v>
      </c>
      <c r="I80" s="2" t="s">
        <v>54</v>
      </c>
      <c r="J80" s="2" t="s">
        <v>128</v>
      </c>
      <c r="K80" s="2" t="s">
        <v>692</v>
      </c>
      <c r="L80" s="2" t="s">
        <v>2301</v>
      </c>
      <c r="M80" s="2"/>
      <c r="N80" s="2"/>
      <c r="O80" s="2"/>
      <c r="P80" s="2"/>
      <c r="Q80" s="2"/>
      <c r="R80" s="2"/>
    </row>
    <row r="81" customFormat="false" ht="23.85" hidden="false" customHeight="false" outlineLevel="0" collapsed="false">
      <c r="A81" s="2" t="s">
        <v>1546</v>
      </c>
      <c r="B81" s="2" t="s">
        <v>2312</v>
      </c>
      <c r="C81" s="2" t="s">
        <v>2300</v>
      </c>
      <c r="D81" s="2" t="s">
        <v>43</v>
      </c>
      <c r="E81" s="2" t="s">
        <v>363</v>
      </c>
      <c r="F81" s="2" t="s">
        <v>1547</v>
      </c>
      <c r="G81" s="2" t="n">
        <v>1618</v>
      </c>
      <c r="H81" s="2" t="s">
        <v>233</v>
      </c>
      <c r="I81" s="2" t="s">
        <v>60</v>
      </c>
      <c r="J81" s="2" t="s">
        <v>2319</v>
      </c>
      <c r="K81" s="2" t="s">
        <v>692</v>
      </c>
      <c r="L81" s="2" t="s">
        <v>2301</v>
      </c>
      <c r="M81" s="2"/>
      <c r="N81" s="2"/>
      <c r="O81" s="2"/>
      <c r="P81" s="2"/>
      <c r="Q81" s="2"/>
      <c r="R81" s="2"/>
    </row>
    <row r="82" customFormat="false" ht="23.85" hidden="false" customHeight="false" outlineLevel="0" collapsed="false">
      <c r="A82" s="2" t="s">
        <v>1550</v>
      </c>
      <c r="B82" s="2" t="s">
        <v>2312</v>
      </c>
      <c r="C82" s="2" t="s">
        <v>2300</v>
      </c>
      <c r="D82" s="2" t="s">
        <v>43</v>
      </c>
      <c r="E82" s="2" t="s">
        <v>365</v>
      </c>
      <c r="F82" s="2" t="s">
        <v>1551</v>
      </c>
      <c r="G82" s="2" t="n">
        <v>1545</v>
      </c>
      <c r="H82" s="2" t="s">
        <v>230</v>
      </c>
      <c r="I82" s="2" t="s">
        <v>40</v>
      </c>
      <c r="J82" s="2" t="s">
        <v>2320</v>
      </c>
      <c r="K82" s="2" t="s">
        <v>692</v>
      </c>
      <c r="L82" s="2" t="s">
        <v>2301</v>
      </c>
      <c r="M82" s="2"/>
      <c r="N82" s="2"/>
      <c r="O82" s="2"/>
      <c r="P82" s="2"/>
      <c r="Q82" s="2"/>
      <c r="R82" s="2"/>
    </row>
    <row r="83" customFormat="false" ht="23.85" hidden="false" customHeight="false" outlineLevel="0" collapsed="false">
      <c r="A83" s="2" t="s">
        <v>1344</v>
      </c>
      <c r="B83" s="2" t="s">
        <v>2312</v>
      </c>
      <c r="C83" s="2" t="s">
        <v>2300</v>
      </c>
      <c r="D83" s="2" t="s">
        <v>43</v>
      </c>
      <c r="E83" s="2" t="s">
        <v>267</v>
      </c>
      <c r="F83" s="2" t="s">
        <v>1554</v>
      </c>
      <c r="G83" s="2" t="n">
        <v>1509</v>
      </c>
      <c r="H83" s="2" t="s">
        <v>215</v>
      </c>
      <c r="I83" s="2" t="s">
        <v>47</v>
      </c>
      <c r="J83" s="2" t="s">
        <v>88</v>
      </c>
      <c r="K83" s="2" t="s">
        <v>692</v>
      </c>
      <c r="L83" s="2" t="s">
        <v>2301</v>
      </c>
      <c r="M83" s="2"/>
      <c r="N83" s="2"/>
      <c r="O83" s="2"/>
      <c r="P83" s="2"/>
      <c r="Q83" s="2"/>
      <c r="R83" s="2"/>
    </row>
    <row r="84" customFormat="false" ht="23.85" hidden="false" customHeight="false" outlineLevel="0" collapsed="false">
      <c r="A84" s="2" t="s">
        <v>1557</v>
      </c>
      <c r="B84" s="2" t="s">
        <v>2312</v>
      </c>
      <c r="C84" s="2" t="s">
        <v>2300</v>
      </c>
      <c r="D84" s="2" t="s">
        <v>43</v>
      </c>
      <c r="E84" s="2" t="s">
        <v>368</v>
      </c>
      <c r="F84" s="2" t="s">
        <v>1558</v>
      </c>
      <c r="G84" s="2" t="n">
        <v>1710</v>
      </c>
      <c r="H84" s="2" t="s">
        <v>230</v>
      </c>
      <c r="I84" s="2" t="s">
        <v>40</v>
      </c>
      <c r="J84" s="2" t="s">
        <v>2321</v>
      </c>
      <c r="K84" s="2" t="s">
        <v>692</v>
      </c>
      <c r="L84" s="2" t="s">
        <v>2301</v>
      </c>
      <c r="M84" s="2"/>
      <c r="N84" s="2"/>
      <c r="O84" s="2"/>
      <c r="P84" s="2"/>
      <c r="Q84" s="2"/>
      <c r="R84" s="2"/>
    </row>
    <row r="85" customFormat="false" ht="23.85" hidden="false" customHeight="false" outlineLevel="0" collapsed="false">
      <c r="A85" s="2" t="s">
        <v>1356</v>
      </c>
      <c r="B85" s="2" t="s">
        <v>2312</v>
      </c>
      <c r="C85" s="2" t="s">
        <v>2300</v>
      </c>
      <c r="D85" s="2" t="s">
        <v>43</v>
      </c>
      <c r="E85" s="2" t="s">
        <v>273</v>
      </c>
      <c r="F85" s="2" t="s">
        <v>1561</v>
      </c>
      <c r="G85" s="2" t="n">
        <v>2178</v>
      </c>
      <c r="H85" s="2" t="s">
        <v>215</v>
      </c>
      <c r="I85" s="2" t="s">
        <v>40</v>
      </c>
      <c r="J85" s="2" t="s">
        <v>91</v>
      </c>
      <c r="K85" s="2" t="s">
        <v>692</v>
      </c>
      <c r="L85" s="2" t="s">
        <v>2301</v>
      </c>
      <c r="M85" s="2"/>
      <c r="N85" s="2"/>
      <c r="O85" s="2"/>
      <c r="P85" s="2"/>
      <c r="Q85" s="2"/>
      <c r="R85" s="2"/>
    </row>
    <row r="86" customFormat="false" ht="23.85" hidden="false" customHeight="false" outlineLevel="0" collapsed="false">
      <c r="A86" s="2" t="s">
        <v>1564</v>
      </c>
      <c r="B86" s="2" t="s">
        <v>2312</v>
      </c>
      <c r="C86" s="2" t="s">
        <v>2300</v>
      </c>
      <c r="D86" s="2" t="s">
        <v>43</v>
      </c>
      <c r="E86" s="2" t="s">
        <v>275</v>
      </c>
      <c r="F86" s="2" t="s">
        <v>1565</v>
      </c>
      <c r="G86" s="2" t="n">
        <v>1489</v>
      </c>
      <c r="H86" s="2" t="s">
        <v>230</v>
      </c>
      <c r="I86" s="2" t="s">
        <v>40</v>
      </c>
      <c r="J86" s="2" t="s">
        <v>112</v>
      </c>
      <c r="K86" s="2" t="s">
        <v>692</v>
      </c>
      <c r="L86" s="2" t="s">
        <v>2301</v>
      </c>
      <c r="M86" s="2"/>
      <c r="N86" s="2"/>
      <c r="O86" s="2"/>
      <c r="P86" s="2"/>
      <c r="Q86" s="2"/>
      <c r="R86" s="2"/>
    </row>
    <row r="87" customFormat="false" ht="23.85" hidden="false" customHeight="false" outlineLevel="0" collapsed="false">
      <c r="A87" s="2" t="s">
        <v>1568</v>
      </c>
      <c r="B87" s="2" t="s">
        <v>2312</v>
      </c>
      <c r="C87" s="2" t="s">
        <v>2300</v>
      </c>
      <c r="D87" s="2" t="s">
        <v>43</v>
      </c>
      <c r="E87" s="2" t="s">
        <v>372</v>
      </c>
      <c r="F87" s="2" t="s">
        <v>1569</v>
      </c>
      <c r="G87" s="2" t="n">
        <v>1469</v>
      </c>
      <c r="H87" s="2" t="s">
        <v>215</v>
      </c>
      <c r="I87" s="2" t="s">
        <v>40</v>
      </c>
      <c r="J87" s="2" t="s">
        <v>127</v>
      </c>
      <c r="K87" s="2" t="s">
        <v>692</v>
      </c>
      <c r="L87" s="2" t="s">
        <v>2301</v>
      </c>
      <c r="M87" s="2"/>
      <c r="N87" s="2"/>
      <c r="O87" s="2"/>
      <c r="P87" s="2"/>
      <c r="Q87" s="2"/>
      <c r="R87" s="2"/>
    </row>
    <row r="88" customFormat="false" ht="23.85" hidden="false" customHeight="false" outlineLevel="0" collapsed="false">
      <c r="A88" s="2" t="s">
        <v>1572</v>
      </c>
      <c r="B88" s="2" t="s">
        <v>2312</v>
      </c>
      <c r="C88" s="2" t="s">
        <v>2300</v>
      </c>
      <c r="D88" s="2" t="s">
        <v>43</v>
      </c>
      <c r="E88" s="2" t="s">
        <v>374</v>
      </c>
      <c r="F88" s="2" t="s">
        <v>1573</v>
      </c>
      <c r="G88" s="2" t="n">
        <v>1759</v>
      </c>
      <c r="H88" s="2" t="s">
        <v>215</v>
      </c>
      <c r="I88" s="2" t="s">
        <v>40</v>
      </c>
      <c r="J88" s="2" t="s">
        <v>124</v>
      </c>
      <c r="K88" s="2" t="s">
        <v>692</v>
      </c>
      <c r="L88" s="2" t="s">
        <v>2301</v>
      </c>
      <c r="M88" s="2"/>
      <c r="N88" s="2"/>
      <c r="O88" s="2"/>
      <c r="P88" s="2"/>
      <c r="Q88" s="2"/>
      <c r="R88" s="2"/>
    </row>
    <row r="89" customFormat="false" ht="23.85" hidden="false" customHeight="false" outlineLevel="0" collapsed="false">
      <c r="A89" s="2" t="s">
        <v>1372</v>
      </c>
      <c r="B89" s="2" t="s">
        <v>2312</v>
      </c>
      <c r="C89" s="2" t="s">
        <v>2300</v>
      </c>
      <c r="D89" s="2" t="s">
        <v>43</v>
      </c>
      <c r="E89" s="2" t="s">
        <v>281</v>
      </c>
      <c r="F89" s="2" t="s">
        <v>1576</v>
      </c>
      <c r="G89" s="2" t="n">
        <v>1405</v>
      </c>
      <c r="H89" s="2" t="s">
        <v>215</v>
      </c>
      <c r="I89" s="2" t="s">
        <v>40</v>
      </c>
      <c r="J89" s="2" t="s">
        <v>84</v>
      </c>
      <c r="K89" s="2" t="s">
        <v>692</v>
      </c>
      <c r="L89" s="2" t="s">
        <v>2301</v>
      </c>
      <c r="M89" s="2"/>
      <c r="N89" s="2"/>
      <c r="O89" s="2"/>
      <c r="P89" s="2"/>
      <c r="Q89" s="2"/>
      <c r="R89" s="2"/>
    </row>
    <row r="90" customFormat="false" ht="23.85" hidden="false" customHeight="false" outlineLevel="0" collapsed="false">
      <c r="A90" s="2" t="s">
        <v>1579</v>
      </c>
      <c r="B90" s="2" t="s">
        <v>2312</v>
      </c>
      <c r="C90" s="2" t="s">
        <v>2300</v>
      </c>
      <c r="D90" s="2" t="s">
        <v>43</v>
      </c>
      <c r="E90" s="2" t="s">
        <v>377</v>
      </c>
      <c r="F90" s="2" t="s">
        <v>1580</v>
      </c>
      <c r="G90" s="2" t="n">
        <v>1421</v>
      </c>
      <c r="H90" s="2" t="s">
        <v>215</v>
      </c>
      <c r="I90" s="2" t="s">
        <v>40</v>
      </c>
      <c r="J90" s="2" t="s">
        <v>114</v>
      </c>
      <c r="K90" s="2" t="s">
        <v>692</v>
      </c>
      <c r="L90" s="2" t="s">
        <v>2301</v>
      </c>
      <c r="M90" s="2"/>
      <c r="N90" s="2"/>
      <c r="O90" s="2"/>
      <c r="P90" s="2"/>
      <c r="Q90" s="2"/>
      <c r="R90" s="2"/>
    </row>
    <row r="91" customFormat="false" ht="23.85" hidden="false" customHeight="false" outlineLevel="0" collapsed="false">
      <c r="A91" s="2" t="s">
        <v>1583</v>
      </c>
      <c r="B91" s="2" t="s">
        <v>2312</v>
      </c>
      <c r="C91" s="2" t="s">
        <v>2300</v>
      </c>
      <c r="D91" s="2" t="s">
        <v>43</v>
      </c>
      <c r="E91" s="2" t="s">
        <v>379</v>
      </c>
      <c r="F91" s="2" t="s">
        <v>1584</v>
      </c>
      <c r="G91" s="2" t="n">
        <v>1495</v>
      </c>
      <c r="H91" s="2" t="s">
        <v>230</v>
      </c>
      <c r="I91" s="2" t="s">
        <v>40</v>
      </c>
      <c r="J91" s="2" t="s">
        <v>145</v>
      </c>
      <c r="K91" s="2" t="s">
        <v>692</v>
      </c>
      <c r="L91" s="2" t="s">
        <v>2301</v>
      </c>
      <c r="M91" s="2"/>
      <c r="N91" s="2"/>
      <c r="O91" s="2"/>
      <c r="P91" s="2"/>
      <c r="Q91" s="2"/>
      <c r="R91" s="2"/>
    </row>
    <row r="92" customFormat="false" ht="23.85" hidden="false" customHeight="false" outlineLevel="0" collapsed="false">
      <c r="A92" s="2" t="s">
        <v>1587</v>
      </c>
      <c r="B92" s="2" t="s">
        <v>2312</v>
      </c>
      <c r="C92" s="2" t="s">
        <v>2300</v>
      </c>
      <c r="D92" s="2" t="s">
        <v>43</v>
      </c>
      <c r="E92" s="2" t="s">
        <v>381</v>
      </c>
      <c r="F92" s="2" t="s">
        <v>1588</v>
      </c>
      <c r="G92" s="2" t="n">
        <v>2350</v>
      </c>
      <c r="H92" s="2" t="s">
        <v>215</v>
      </c>
      <c r="I92" s="2" t="s">
        <v>40</v>
      </c>
      <c r="J92" s="2" t="s">
        <v>131</v>
      </c>
      <c r="K92" s="2" t="s">
        <v>692</v>
      </c>
      <c r="L92" s="2" t="s">
        <v>2301</v>
      </c>
      <c r="M92" s="2"/>
      <c r="N92" s="2"/>
      <c r="O92" s="2"/>
      <c r="P92" s="2"/>
      <c r="Q92" s="2"/>
      <c r="R92" s="2"/>
    </row>
    <row r="93" customFormat="false" ht="23.85" hidden="false" customHeight="false" outlineLevel="0" collapsed="false">
      <c r="A93" s="2" t="s">
        <v>1591</v>
      </c>
      <c r="B93" s="2" t="s">
        <v>2312</v>
      </c>
      <c r="C93" s="2" t="s">
        <v>2300</v>
      </c>
      <c r="D93" s="2" t="s">
        <v>43</v>
      </c>
      <c r="E93" s="2" t="s">
        <v>383</v>
      </c>
      <c r="F93" s="2" t="s">
        <v>1592</v>
      </c>
      <c r="G93" s="2" t="n">
        <v>1841</v>
      </c>
      <c r="H93" s="2" t="s">
        <v>215</v>
      </c>
      <c r="I93" s="2" t="s">
        <v>40</v>
      </c>
      <c r="J93" s="2" t="s">
        <v>51</v>
      </c>
      <c r="K93" s="2" t="s">
        <v>692</v>
      </c>
      <c r="L93" s="2" t="s">
        <v>2301</v>
      </c>
      <c r="M93" s="2"/>
      <c r="N93" s="2"/>
      <c r="O93" s="2"/>
      <c r="P93" s="2"/>
      <c r="Q93" s="2"/>
      <c r="R93" s="2"/>
    </row>
    <row r="94" customFormat="false" ht="23.85" hidden="false" customHeight="false" outlineLevel="0" collapsed="false">
      <c r="A94" s="2" t="s">
        <v>1595</v>
      </c>
      <c r="B94" s="2" t="s">
        <v>2312</v>
      </c>
      <c r="C94" s="2" t="s">
        <v>2300</v>
      </c>
      <c r="D94" s="2" t="s">
        <v>43</v>
      </c>
      <c r="E94" s="2" t="s">
        <v>385</v>
      </c>
      <c r="F94" s="2" t="s">
        <v>1596</v>
      </c>
      <c r="G94" s="2" t="n">
        <v>1540</v>
      </c>
      <c r="H94" s="2" t="s">
        <v>230</v>
      </c>
      <c r="I94" s="2" t="s">
        <v>54</v>
      </c>
      <c r="J94" s="2" t="s">
        <v>110</v>
      </c>
      <c r="K94" s="2" t="s">
        <v>692</v>
      </c>
      <c r="L94" s="2" t="s">
        <v>2301</v>
      </c>
      <c r="M94" s="2"/>
      <c r="N94" s="2"/>
      <c r="O94" s="2"/>
      <c r="P94" s="2"/>
      <c r="Q94" s="2"/>
      <c r="R94" s="2"/>
    </row>
    <row r="95" customFormat="false" ht="23.85" hidden="false" customHeight="false" outlineLevel="0" collapsed="false">
      <c r="A95" s="2" t="s">
        <v>1599</v>
      </c>
      <c r="B95" s="2" t="s">
        <v>2312</v>
      </c>
      <c r="C95" s="2" t="s">
        <v>2300</v>
      </c>
      <c r="D95" s="2" t="s">
        <v>43</v>
      </c>
      <c r="E95" s="2" t="s">
        <v>387</v>
      </c>
      <c r="F95" s="2" t="s">
        <v>1257</v>
      </c>
      <c r="G95" s="2" t="n">
        <v>1496</v>
      </c>
      <c r="H95" s="2" t="s">
        <v>230</v>
      </c>
      <c r="I95" s="2" t="s">
        <v>40</v>
      </c>
      <c r="J95" s="2" t="s">
        <v>2322</v>
      </c>
      <c r="K95" s="2" t="s">
        <v>692</v>
      </c>
      <c r="L95" s="2" t="s">
        <v>2301</v>
      </c>
      <c r="M95" s="2"/>
      <c r="N95" s="2"/>
      <c r="O95" s="2"/>
      <c r="P95" s="2"/>
      <c r="Q95" s="2"/>
      <c r="R95" s="2"/>
    </row>
    <row r="96" customFormat="false" ht="23.85" hidden="false" customHeight="false" outlineLevel="0" collapsed="false">
      <c r="A96" s="2" t="s">
        <v>1376</v>
      </c>
      <c r="B96" s="2" t="s">
        <v>2312</v>
      </c>
      <c r="C96" s="2" t="s">
        <v>2300</v>
      </c>
      <c r="D96" s="2" t="s">
        <v>43</v>
      </c>
      <c r="E96" s="2" t="s">
        <v>283</v>
      </c>
      <c r="F96" s="2" t="s">
        <v>1602</v>
      </c>
      <c r="G96" s="2" t="n">
        <v>1159</v>
      </c>
      <c r="H96" s="2" t="s">
        <v>215</v>
      </c>
      <c r="I96" s="2" t="s">
        <v>40</v>
      </c>
      <c r="J96" s="2" t="s">
        <v>68</v>
      </c>
      <c r="K96" s="2" t="s">
        <v>692</v>
      </c>
      <c r="L96" s="2" t="s">
        <v>2301</v>
      </c>
      <c r="M96" s="2"/>
      <c r="N96" s="2"/>
      <c r="O96" s="2"/>
      <c r="P96" s="2"/>
      <c r="Q96" s="2"/>
      <c r="R96" s="2"/>
    </row>
    <row r="97" customFormat="false" ht="23.85" hidden="false" customHeight="false" outlineLevel="0" collapsed="false">
      <c r="A97" s="2" t="s">
        <v>1388</v>
      </c>
      <c r="B97" s="2" t="s">
        <v>2312</v>
      </c>
      <c r="C97" s="2" t="s">
        <v>2300</v>
      </c>
      <c r="D97" s="2" t="s">
        <v>43</v>
      </c>
      <c r="E97" s="2" t="s">
        <v>289</v>
      </c>
      <c r="F97" s="2" t="s">
        <v>1605</v>
      </c>
      <c r="G97" s="2" t="n">
        <v>1905</v>
      </c>
      <c r="H97" s="2" t="s">
        <v>215</v>
      </c>
      <c r="I97" s="2" t="s">
        <v>47</v>
      </c>
      <c r="J97" s="2" t="s">
        <v>2323</v>
      </c>
      <c r="K97" s="2" t="s">
        <v>692</v>
      </c>
      <c r="L97" s="2" t="s">
        <v>2301</v>
      </c>
      <c r="M97" s="2"/>
      <c r="N97" s="2"/>
      <c r="O97" s="2"/>
      <c r="P97" s="2"/>
      <c r="Q97" s="2"/>
      <c r="R97" s="2"/>
    </row>
    <row r="98" customFormat="false" ht="23.85" hidden="false" customHeight="false" outlineLevel="0" collapsed="false">
      <c r="A98" s="2" t="s">
        <v>1392</v>
      </c>
      <c r="B98" s="2" t="s">
        <v>2312</v>
      </c>
      <c r="C98" s="2" t="s">
        <v>2300</v>
      </c>
      <c r="D98" s="2" t="s">
        <v>43</v>
      </c>
      <c r="E98" s="2" t="s">
        <v>291</v>
      </c>
      <c r="F98" s="2" t="s">
        <v>1608</v>
      </c>
      <c r="G98" s="2" t="n">
        <v>1694</v>
      </c>
      <c r="H98" s="2" t="s">
        <v>215</v>
      </c>
      <c r="I98" s="2" t="s">
        <v>47</v>
      </c>
      <c r="J98" s="2" t="s">
        <v>2324</v>
      </c>
      <c r="K98" s="2" t="s">
        <v>692</v>
      </c>
      <c r="L98" s="2" t="s">
        <v>2301</v>
      </c>
      <c r="M98" s="2"/>
      <c r="N98" s="2"/>
      <c r="O98" s="2"/>
      <c r="P98" s="2"/>
      <c r="Q98" s="2"/>
      <c r="R98" s="2"/>
    </row>
    <row r="99" customFormat="false" ht="23.85" hidden="false" customHeight="false" outlineLevel="0" collapsed="false">
      <c r="A99" s="2" t="s">
        <v>1611</v>
      </c>
      <c r="B99" s="2" t="s">
        <v>2312</v>
      </c>
      <c r="C99" s="2" t="s">
        <v>2300</v>
      </c>
      <c r="D99" s="2" t="s">
        <v>43</v>
      </c>
      <c r="E99" s="2" t="s">
        <v>392</v>
      </c>
      <c r="F99" s="2" t="s">
        <v>1612</v>
      </c>
      <c r="G99" s="2" t="n">
        <v>2322</v>
      </c>
      <c r="H99" s="2" t="s">
        <v>215</v>
      </c>
      <c r="I99" s="2" t="s">
        <v>40</v>
      </c>
      <c r="J99" s="2" t="s">
        <v>2325</v>
      </c>
      <c r="K99" s="2" t="s">
        <v>692</v>
      </c>
      <c r="L99" s="2" t="s">
        <v>2301</v>
      </c>
      <c r="M99" s="2"/>
      <c r="N99" s="2"/>
      <c r="O99" s="2"/>
      <c r="P99" s="2"/>
      <c r="Q99" s="2"/>
      <c r="R99" s="2"/>
    </row>
    <row r="100" customFormat="false" ht="23.85" hidden="false" customHeight="false" outlineLevel="0" collapsed="false">
      <c r="A100" s="2" t="s">
        <v>1615</v>
      </c>
      <c r="B100" s="2" t="s">
        <v>2312</v>
      </c>
      <c r="C100" s="2" t="s">
        <v>2300</v>
      </c>
      <c r="D100" s="2" t="s">
        <v>43</v>
      </c>
      <c r="E100" s="2" t="s">
        <v>394</v>
      </c>
      <c r="F100" s="2" t="s">
        <v>1616</v>
      </c>
      <c r="G100" s="2" t="n">
        <v>1480</v>
      </c>
      <c r="H100" s="2" t="s">
        <v>230</v>
      </c>
      <c r="I100" s="2" t="s">
        <v>60</v>
      </c>
      <c r="J100" s="2" t="s">
        <v>111</v>
      </c>
      <c r="K100" s="2" t="s">
        <v>692</v>
      </c>
      <c r="L100" s="2" t="s">
        <v>2301</v>
      </c>
      <c r="M100" s="2"/>
      <c r="N100" s="2"/>
      <c r="O100" s="2"/>
      <c r="P100" s="2"/>
      <c r="Q100" s="2"/>
      <c r="R100" s="2"/>
    </row>
    <row r="101" customFormat="false" ht="23.85" hidden="false" customHeight="false" outlineLevel="0" collapsed="false">
      <c r="A101" s="2" t="s">
        <v>1619</v>
      </c>
      <c r="B101" s="2" t="s">
        <v>2312</v>
      </c>
      <c r="C101" s="2" t="s">
        <v>2300</v>
      </c>
      <c r="D101" s="2" t="s">
        <v>43</v>
      </c>
      <c r="E101" s="2" t="s">
        <v>396</v>
      </c>
      <c r="F101" s="2" t="s">
        <v>1620</v>
      </c>
      <c r="G101" s="2" t="n">
        <v>1523</v>
      </c>
      <c r="H101" s="2" t="s">
        <v>215</v>
      </c>
      <c r="I101" s="2" t="s">
        <v>40</v>
      </c>
      <c r="J101" s="2" t="s">
        <v>2326</v>
      </c>
      <c r="K101" s="2" t="s">
        <v>692</v>
      </c>
      <c r="L101" s="2" t="s">
        <v>2301</v>
      </c>
      <c r="M101" s="2"/>
      <c r="N101" s="2"/>
      <c r="O101" s="2"/>
      <c r="P101" s="2"/>
      <c r="Q101" s="2"/>
      <c r="R101" s="2"/>
    </row>
    <row r="102" customFormat="false" ht="23.85" hidden="false" customHeight="false" outlineLevel="0" collapsed="false">
      <c r="A102" s="2" t="s">
        <v>1623</v>
      </c>
      <c r="B102" s="2" t="s">
        <v>2312</v>
      </c>
      <c r="C102" s="2" t="s">
        <v>2300</v>
      </c>
      <c r="D102" s="2" t="s">
        <v>43</v>
      </c>
      <c r="E102" s="2" t="s">
        <v>398</v>
      </c>
      <c r="F102" s="2" t="s">
        <v>1624</v>
      </c>
      <c r="G102" s="2" t="n">
        <v>1549</v>
      </c>
      <c r="H102" s="2" t="s">
        <v>215</v>
      </c>
      <c r="I102" s="2" t="s">
        <v>54</v>
      </c>
      <c r="J102" s="2" t="s">
        <v>128</v>
      </c>
      <c r="K102" s="2" t="s">
        <v>692</v>
      </c>
      <c r="L102" s="2" t="s">
        <v>2301</v>
      </c>
      <c r="M102" s="2"/>
      <c r="N102" s="2"/>
      <c r="O102" s="2"/>
      <c r="P102" s="2"/>
      <c r="Q102" s="2"/>
      <c r="R102" s="2"/>
    </row>
    <row r="103" customFormat="false" ht="23.85" hidden="false" customHeight="false" outlineLevel="0" collapsed="false">
      <c r="A103" s="2" t="s">
        <v>1627</v>
      </c>
      <c r="B103" s="2" t="s">
        <v>2312</v>
      </c>
      <c r="C103" s="2" t="s">
        <v>2300</v>
      </c>
      <c r="D103" s="2" t="s">
        <v>43</v>
      </c>
      <c r="E103" s="2" t="s">
        <v>400</v>
      </c>
      <c r="F103" s="2" t="s">
        <v>1628</v>
      </c>
      <c r="G103" s="2" t="n">
        <v>2021</v>
      </c>
      <c r="H103" s="2" t="s">
        <v>215</v>
      </c>
      <c r="I103" s="2" t="s">
        <v>40</v>
      </c>
      <c r="J103" s="2" t="s">
        <v>72</v>
      </c>
      <c r="K103" s="2" t="s">
        <v>692</v>
      </c>
      <c r="L103" s="2" t="s">
        <v>2301</v>
      </c>
      <c r="M103" s="2"/>
      <c r="N103" s="2"/>
      <c r="O103" s="2"/>
      <c r="P103" s="2"/>
      <c r="Q103" s="2"/>
      <c r="R103" s="2"/>
    </row>
    <row r="104" customFormat="false" ht="23.85" hidden="false" customHeight="false" outlineLevel="0" collapsed="false">
      <c r="A104" s="2" t="s">
        <v>1631</v>
      </c>
      <c r="B104" s="2" t="s">
        <v>2312</v>
      </c>
      <c r="C104" s="2" t="s">
        <v>2300</v>
      </c>
      <c r="D104" s="2" t="s">
        <v>43</v>
      </c>
      <c r="E104" s="2" t="s">
        <v>402</v>
      </c>
      <c r="F104" s="2" t="s">
        <v>1632</v>
      </c>
      <c r="G104" s="2" t="n">
        <v>1692</v>
      </c>
      <c r="H104" s="2" t="s">
        <v>215</v>
      </c>
      <c r="I104" s="2" t="s">
        <v>40</v>
      </c>
      <c r="J104" s="2" t="s">
        <v>72</v>
      </c>
      <c r="K104" s="2" t="s">
        <v>692</v>
      </c>
      <c r="L104" s="2" t="s">
        <v>2301</v>
      </c>
      <c r="M104" s="2"/>
      <c r="N104" s="2"/>
      <c r="O104" s="2"/>
      <c r="P104" s="2"/>
      <c r="Q104" s="2"/>
      <c r="R104" s="2"/>
    </row>
    <row r="105" customFormat="false" ht="23.85" hidden="false" customHeight="false" outlineLevel="0" collapsed="false">
      <c r="A105" s="2" t="s">
        <v>1440</v>
      </c>
      <c r="B105" s="2" t="s">
        <v>2312</v>
      </c>
      <c r="C105" s="2" t="s">
        <v>2300</v>
      </c>
      <c r="D105" s="2" t="s">
        <v>43</v>
      </c>
      <c r="E105" s="2" t="s">
        <v>315</v>
      </c>
      <c r="F105" s="2" t="s">
        <v>1635</v>
      </c>
      <c r="G105" s="2" t="n">
        <v>1667</v>
      </c>
      <c r="H105" s="2" t="s">
        <v>211</v>
      </c>
      <c r="I105" s="2" t="s">
        <v>47</v>
      </c>
      <c r="J105" s="2" t="s">
        <v>92</v>
      </c>
      <c r="K105" s="2" t="s">
        <v>692</v>
      </c>
      <c r="L105" s="2" t="s">
        <v>2301</v>
      </c>
      <c r="M105" s="2"/>
      <c r="N105" s="2"/>
      <c r="O105" s="2"/>
      <c r="P105" s="2"/>
      <c r="Q105" s="2"/>
      <c r="R105" s="2"/>
    </row>
    <row r="106" customFormat="false" ht="23.85" hidden="false" customHeight="false" outlineLevel="0" collapsed="false">
      <c r="A106" s="2" t="s">
        <v>1638</v>
      </c>
      <c r="B106" s="2" t="s">
        <v>2312</v>
      </c>
      <c r="C106" s="2" t="s">
        <v>2300</v>
      </c>
      <c r="D106" s="2" t="s">
        <v>43</v>
      </c>
      <c r="E106" s="2" t="s">
        <v>405</v>
      </c>
      <c r="F106" s="2" t="s">
        <v>1639</v>
      </c>
      <c r="G106" s="2" t="n">
        <v>1631</v>
      </c>
      <c r="H106" s="2" t="s">
        <v>215</v>
      </c>
      <c r="I106" s="2" t="s">
        <v>40</v>
      </c>
      <c r="J106" s="2" t="s">
        <v>51</v>
      </c>
      <c r="K106" s="2" t="s">
        <v>692</v>
      </c>
      <c r="L106" s="2" t="s">
        <v>2301</v>
      </c>
      <c r="M106" s="2"/>
      <c r="N106" s="2"/>
      <c r="O106" s="2"/>
      <c r="P106" s="2"/>
      <c r="Q106" s="2"/>
      <c r="R106" s="2"/>
    </row>
    <row r="107" customFormat="false" ht="23.85" hidden="false" customHeight="false" outlineLevel="0" collapsed="false">
      <c r="A107" s="2" t="s">
        <v>1448</v>
      </c>
      <c r="B107" s="2" t="s">
        <v>2312</v>
      </c>
      <c r="C107" s="2" t="s">
        <v>2300</v>
      </c>
      <c r="D107" s="2" t="s">
        <v>43</v>
      </c>
      <c r="E107" s="2" t="s">
        <v>407</v>
      </c>
      <c r="F107" s="2" t="s">
        <v>1642</v>
      </c>
      <c r="G107" s="2" t="n">
        <v>1839</v>
      </c>
      <c r="H107" s="2" t="s">
        <v>215</v>
      </c>
      <c r="I107" s="2" t="s">
        <v>40</v>
      </c>
      <c r="J107" s="2" t="s">
        <v>97</v>
      </c>
      <c r="K107" s="2" t="s">
        <v>692</v>
      </c>
      <c r="L107" s="2" t="s">
        <v>2301</v>
      </c>
      <c r="M107" s="2"/>
      <c r="N107" s="2"/>
      <c r="O107" s="2"/>
      <c r="P107" s="2"/>
      <c r="Q107" s="2"/>
      <c r="R107" s="2"/>
    </row>
    <row r="108" customFormat="false" ht="23.85" hidden="false" customHeight="false" outlineLevel="0" collapsed="false">
      <c r="A108" s="2" t="s">
        <v>1476</v>
      </c>
      <c r="B108" s="2" t="s">
        <v>2312</v>
      </c>
      <c r="C108" s="2" t="s">
        <v>2300</v>
      </c>
      <c r="D108" s="2" t="s">
        <v>43</v>
      </c>
      <c r="E108" s="2" t="s">
        <v>333</v>
      </c>
      <c r="F108" s="2" t="s">
        <v>1645</v>
      </c>
      <c r="G108" s="2" t="n">
        <v>1574</v>
      </c>
      <c r="H108" s="2" t="s">
        <v>215</v>
      </c>
      <c r="I108" s="2" t="s">
        <v>40</v>
      </c>
      <c r="J108" s="2" t="s">
        <v>126</v>
      </c>
      <c r="K108" s="2" t="s">
        <v>692</v>
      </c>
      <c r="L108" s="2" t="s">
        <v>2301</v>
      </c>
      <c r="M108" s="2"/>
      <c r="N108" s="2"/>
      <c r="O108" s="2"/>
      <c r="P108" s="2"/>
      <c r="Q108" s="2"/>
      <c r="R108" s="2"/>
    </row>
    <row r="109" customFormat="false" ht="23.85" hidden="false" customHeight="false" outlineLevel="0" collapsed="false">
      <c r="A109" s="2" t="s">
        <v>1648</v>
      </c>
      <c r="B109" s="2" t="s">
        <v>2312</v>
      </c>
      <c r="C109" s="2" t="s">
        <v>2300</v>
      </c>
      <c r="D109" s="2" t="s">
        <v>43</v>
      </c>
      <c r="E109" s="2" t="s">
        <v>410</v>
      </c>
      <c r="F109" s="2" t="s">
        <v>1649</v>
      </c>
      <c r="G109" s="2" t="n">
        <v>1799</v>
      </c>
      <c r="H109" s="2" t="s">
        <v>215</v>
      </c>
      <c r="I109" s="2" t="s">
        <v>47</v>
      </c>
      <c r="J109" s="2" t="s">
        <v>142</v>
      </c>
      <c r="K109" s="2" t="s">
        <v>692</v>
      </c>
      <c r="L109" s="2" t="s">
        <v>2301</v>
      </c>
      <c r="M109" s="2"/>
      <c r="N109" s="2"/>
      <c r="O109" s="2"/>
      <c r="P109" s="2"/>
      <c r="Q109" s="2"/>
      <c r="R109" s="2"/>
    </row>
    <row r="110" customFormat="false" ht="23.85" hidden="false" customHeight="false" outlineLevel="0" collapsed="false">
      <c r="A110" s="2" t="s">
        <v>1480</v>
      </c>
      <c r="B110" s="2" t="s">
        <v>2312</v>
      </c>
      <c r="C110" s="2" t="s">
        <v>2300</v>
      </c>
      <c r="D110" s="2" t="s">
        <v>43</v>
      </c>
      <c r="E110" s="2" t="s">
        <v>335</v>
      </c>
      <c r="F110" s="2" t="s">
        <v>1652</v>
      </c>
      <c r="G110" s="2" t="n">
        <v>2904</v>
      </c>
      <c r="H110" s="2" t="s">
        <v>215</v>
      </c>
      <c r="I110" s="2" t="s">
        <v>40</v>
      </c>
      <c r="J110" s="2" t="s">
        <v>130</v>
      </c>
      <c r="K110" s="2" t="s">
        <v>692</v>
      </c>
      <c r="L110" s="2" t="s">
        <v>2301</v>
      </c>
      <c r="M110" s="2"/>
      <c r="N110" s="2"/>
      <c r="O110" s="2"/>
      <c r="P110" s="2"/>
      <c r="Q110" s="2"/>
      <c r="R110" s="2"/>
    </row>
    <row r="111" customFormat="false" ht="23.85" hidden="false" customHeight="false" outlineLevel="0" collapsed="false">
      <c r="A111" s="2" t="s">
        <v>1655</v>
      </c>
      <c r="B111" s="2" t="s">
        <v>2327</v>
      </c>
      <c r="C111" s="2" t="s">
        <v>2300</v>
      </c>
      <c r="D111" s="2" t="s">
        <v>50</v>
      </c>
      <c r="E111" s="2" t="s">
        <v>413</v>
      </c>
      <c r="F111" s="2" t="s">
        <v>1656</v>
      </c>
      <c r="G111" s="2" t="n">
        <v>1165</v>
      </c>
      <c r="H111" s="2" t="s">
        <v>215</v>
      </c>
      <c r="I111" s="2" t="s">
        <v>47</v>
      </c>
      <c r="J111" s="2" t="s">
        <v>2328</v>
      </c>
      <c r="K111" s="2" t="s">
        <v>692</v>
      </c>
      <c r="L111" s="2" t="s">
        <v>2301</v>
      </c>
      <c r="M111" s="2"/>
      <c r="N111" s="2"/>
      <c r="O111" s="2"/>
      <c r="P111" s="2"/>
      <c r="Q111" s="2"/>
      <c r="R111" s="2"/>
    </row>
    <row r="112" customFormat="false" ht="15" hidden="false" customHeight="false" outlineLevel="0" collapsed="false">
      <c r="A112" s="2" t="s">
        <v>1252</v>
      </c>
      <c r="B112" s="2" t="s">
        <v>2327</v>
      </c>
      <c r="C112" s="2" t="s">
        <v>2300</v>
      </c>
      <c r="D112" s="2" t="s">
        <v>50</v>
      </c>
      <c r="E112" s="2" t="s">
        <v>219</v>
      </c>
      <c r="F112" s="2" t="s">
        <v>1659</v>
      </c>
      <c r="G112" s="2" t="n">
        <v>1023</v>
      </c>
      <c r="H112" s="2" t="s">
        <v>211</v>
      </c>
      <c r="I112" s="2" t="s">
        <v>47</v>
      </c>
      <c r="J112" s="2" t="s">
        <v>2329</v>
      </c>
      <c r="K112" s="2" t="s">
        <v>692</v>
      </c>
      <c r="L112" s="2" t="s">
        <v>2301</v>
      </c>
      <c r="M112" s="2"/>
      <c r="N112" s="2"/>
      <c r="O112" s="2"/>
      <c r="P112" s="2"/>
      <c r="Q112" s="2"/>
      <c r="R112" s="2"/>
    </row>
    <row r="113" customFormat="false" ht="15" hidden="false" customHeight="false" outlineLevel="0" collapsed="false">
      <c r="A113" s="2" t="s">
        <v>1490</v>
      </c>
      <c r="B113" s="2" t="s">
        <v>2327</v>
      </c>
      <c r="C113" s="2" t="s">
        <v>2300</v>
      </c>
      <c r="D113" s="2" t="s">
        <v>50</v>
      </c>
      <c r="E113" s="2" t="s">
        <v>339</v>
      </c>
      <c r="F113" s="2" t="s">
        <v>1662</v>
      </c>
      <c r="G113" s="2" t="n">
        <v>1037</v>
      </c>
      <c r="H113" s="2" t="s">
        <v>230</v>
      </c>
      <c r="I113" s="2" t="s">
        <v>47</v>
      </c>
      <c r="J113" s="2" t="s">
        <v>90</v>
      </c>
      <c r="K113" s="2" t="s">
        <v>692</v>
      </c>
      <c r="L113" s="2" t="s">
        <v>2301</v>
      </c>
      <c r="M113" s="2"/>
      <c r="N113" s="2"/>
      <c r="O113" s="2"/>
      <c r="P113" s="2"/>
      <c r="Q113" s="2"/>
      <c r="R113" s="2"/>
    </row>
    <row r="114" customFormat="false" ht="15" hidden="false" customHeight="false" outlineLevel="0" collapsed="false">
      <c r="A114" s="2" t="s">
        <v>1665</v>
      </c>
      <c r="B114" s="2" t="s">
        <v>2327</v>
      </c>
      <c r="C114" s="2" t="s">
        <v>2300</v>
      </c>
      <c r="D114" s="2" t="s">
        <v>50</v>
      </c>
      <c r="E114" s="2" t="s">
        <v>417</v>
      </c>
      <c r="F114" s="2" t="s">
        <v>1666</v>
      </c>
      <c r="G114" s="2" t="n">
        <v>993</v>
      </c>
      <c r="H114" s="2" t="s">
        <v>230</v>
      </c>
      <c r="I114" s="2" t="s">
        <v>40</v>
      </c>
      <c r="J114" s="2" t="s">
        <v>107</v>
      </c>
      <c r="K114" s="2" t="s">
        <v>692</v>
      </c>
      <c r="L114" s="2" t="s">
        <v>2301</v>
      </c>
      <c r="M114" s="2"/>
      <c r="N114" s="2"/>
      <c r="O114" s="2"/>
      <c r="P114" s="2"/>
      <c r="Q114" s="2"/>
      <c r="R114" s="2"/>
    </row>
    <row r="115" customFormat="false" ht="15" hidden="false" customHeight="false" outlineLevel="0" collapsed="false">
      <c r="A115" s="2" t="s">
        <v>1669</v>
      </c>
      <c r="B115" s="2" t="s">
        <v>2327</v>
      </c>
      <c r="C115" s="2" t="s">
        <v>2300</v>
      </c>
      <c r="D115" s="2" t="s">
        <v>50</v>
      </c>
      <c r="E115" s="2" t="s">
        <v>419</v>
      </c>
      <c r="F115" s="2" t="s">
        <v>1670</v>
      </c>
      <c r="G115" s="2" t="n">
        <v>1064</v>
      </c>
      <c r="H115" s="2" t="s">
        <v>230</v>
      </c>
      <c r="I115" s="2" t="s">
        <v>40</v>
      </c>
      <c r="J115" s="2" t="s">
        <v>145</v>
      </c>
      <c r="K115" s="2" t="s">
        <v>692</v>
      </c>
      <c r="L115" s="2" t="s">
        <v>2301</v>
      </c>
      <c r="M115" s="2"/>
      <c r="N115" s="2"/>
      <c r="O115" s="2"/>
      <c r="P115" s="2"/>
      <c r="Q115" s="2"/>
      <c r="R115" s="2"/>
    </row>
    <row r="116" customFormat="false" ht="23.85" hidden="false" customHeight="false" outlineLevel="0" collapsed="false">
      <c r="A116" s="2" t="s">
        <v>1673</v>
      </c>
      <c r="B116" s="2" t="s">
        <v>2327</v>
      </c>
      <c r="C116" s="2" t="s">
        <v>2300</v>
      </c>
      <c r="D116" s="2" t="s">
        <v>50</v>
      </c>
      <c r="E116" s="2" t="s">
        <v>421</v>
      </c>
      <c r="F116" s="2" t="s">
        <v>1674</v>
      </c>
      <c r="G116" s="2" t="n">
        <v>963</v>
      </c>
      <c r="H116" s="2" t="s">
        <v>215</v>
      </c>
      <c r="I116" s="2" t="s">
        <v>40</v>
      </c>
      <c r="J116" s="2" t="s">
        <v>2330</v>
      </c>
      <c r="K116" s="2" t="s">
        <v>692</v>
      </c>
      <c r="L116" s="2" t="s">
        <v>2301</v>
      </c>
      <c r="M116" s="2"/>
      <c r="N116" s="2"/>
      <c r="O116" s="2"/>
      <c r="P116" s="2"/>
      <c r="Q116" s="2"/>
      <c r="R116" s="2"/>
    </row>
    <row r="117" customFormat="false" ht="46.25" hidden="false" customHeight="false" outlineLevel="0" collapsed="false">
      <c r="A117" s="2" t="s">
        <v>1276</v>
      </c>
      <c r="B117" s="2" t="s">
        <v>2327</v>
      </c>
      <c r="C117" s="2" t="s">
        <v>2300</v>
      </c>
      <c r="D117" s="2" t="s">
        <v>50</v>
      </c>
      <c r="E117" s="2" t="s">
        <v>232</v>
      </c>
      <c r="F117" s="2" t="s">
        <v>1677</v>
      </c>
      <c r="G117" s="2" t="n">
        <v>1117</v>
      </c>
      <c r="H117" s="2" t="s">
        <v>230</v>
      </c>
      <c r="I117" s="2" t="s">
        <v>47</v>
      </c>
      <c r="J117" s="2" t="s">
        <v>448</v>
      </c>
      <c r="K117" s="2" t="s">
        <v>692</v>
      </c>
      <c r="L117" s="2" t="s">
        <v>2331</v>
      </c>
      <c r="M117" s="2"/>
      <c r="N117" s="2"/>
      <c r="O117" s="2"/>
      <c r="P117" s="2"/>
      <c r="Q117" s="2"/>
      <c r="R117" s="2"/>
    </row>
    <row r="118" customFormat="false" ht="15" hidden="false" customHeight="false" outlineLevel="0" collapsed="false">
      <c r="A118" s="2" t="s">
        <v>1681</v>
      </c>
      <c r="B118" s="2" t="s">
        <v>2327</v>
      </c>
      <c r="C118" s="2" t="s">
        <v>2300</v>
      </c>
      <c r="D118" s="2" t="s">
        <v>50</v>
      </c>
      <c r="E118" s="2" t="s">
        <v>425</v>
      </c>
      <c r="F118" s="2" t="s">
        <v>1682</v>
      </c>
      <c r="G118" s="2" t="n">
        <v>1068</v>
      </c>
      <c r="H118" s="2" t="s">
        <v>211</v>
      </c>
      <c r="I118" s="2" t="s">
        <v>40</v>
      </c>
      <c r="J118" s="2" t="s">
        <v>110</v>
      </c>
      <c r="K118" s="2" t="s">
        <v>692</v>
      </c>
      <c r="L118" s="2" t="s">
        <v>2301</v>
      </c>
      <c r="M118" s="2"/>
      <c r="N118" s="2"/>
      <c r="O118" s="2"/>
      <c r="P118" s="2"/>
      <c r="Q118" s="2"/>
      <c r="R118" s="2"/>
    </row>
    <row r="119" customFormat="false" ht="15" hidden="false" customHeight="false" outlineLevel="0" collapsed="false">
      <c r="A119" s="2" t="s">
        <v>1312</v>
      </c>
      <c r="B119" s="2" t="s">
        <v>2327</v>
      </c>
      <c r="C119" s="2" t="s">
        <v>2300</v>
      </c>
      <c r="D119" s="2" t="s">
        <v>50</v>
      </c>
      <c r="E119" s="2" t="s">
        <v>251</v>
      </c>
      <c r="F119" s="2" t="s">
        <v>1685</v>
      </c>
      <c r="G119" s="2" t="n">
        <v>1100</v>
      </c>
      <c r="H119" s="2" t="s">
        <v>233</v>
      </c>
      <c r="I119" s="2" t="s">
        <v>40</v>
      </c>
      <c r="J119" s="2" t="s">
        <v>134</v>
      </c>
      <c r="K119" s="2" t="s">
        <v>692</v>
      </c>
      <c r="L119" s="2" t="s">
        <v>2301</v>
      </c>
      <c r="M119" s="2"/>
      <c r="N119" s="2"/>
      <c r="O119" s="2"/>
      <c r="P119" s="2"/>
      <c r="Q119" s="2"/>
      <c r="R119" s="2"/>
    </row>
    <row r="120" customFormat="false" ht="15" hidden="false" customHeight="false" outlineLevel="0" collapsed="false">
      <c r="A120" s="2" t="s">
        <v>1688</v>
      </c>
      <c r="B120" s="2" t="s">
        <v>2327</v>
      </c>
      <c r="C120" s="2" t="s">
        <v>2300</v>
      </c>
      <c r="D120" s="2" t="s">
        <v>50</v>
      </c>
      <c r="E120" s="2" t="s">
        <v>428</v>
      </c>
      <c r="F120" s="2" t="s">
        <v>1689</v>
      </c>
      <c r="G120" s="2" t="n">
        <v>1086</v>
      </c>
      <c r="H120" s="2" t="s">
        <v>230</v>
      </c>
      <c r="I120" s="2" t="s">
        <v>47</v>
      </c>
      <c r="J120" s="2" t="s">
        <v>2332</v>
      </c>
      <c r="K120" s="2" t="s">
        <v>692</v>
      </c>
      <c r="L120" s="2" t="s">
        <v>2301</v>
      </c>
      <c r="M120" s="2"/>
      <c r="N120" s="2"/>
      <c r="O120" s="2"/>
      <c r="P120" s="2"/>
      <c r="Q120" s="2"/>
      <c r="R120" s="2"/>
    </row>
    <row r="121" customFormat="false" ht="15" hidden="false" customHeight="false" outlineLevel="0" collapsed="false">
      <c r="A121" s="2" t="s">
        <v>1328</v>
      </c>
      <c r="B121" s="2" t="s">
        <v>2327</v>
      </c>
      <c r="C121" s="2" t="s">
        <v>2300</v>
      </c>
      <c r="D121" s="2" t="s">
        <v>50</v>
      </c>
      <c r="E121" s="2" t="s">
        <v>259</v>
      </c>
      <c r="F121" s="2" t="s">
        <v>1692</v>
      </c>
      <c r="G121" s="2" t="n">
        <v>991</v>
      </c>
      <c r="H121" s="2" t="s">
        <v>230</v>
      </c>
      <c r="I121" s="2" t="s">
        <v>47</v>
      </c>
      <c r="J121" s="2" t="s">
        <v>87</v>
      </c>
      <c r="K121" s="2" t="s">
        <v>692</v>
      </c>
      <c r="L121" s="2" t="s">
        <v>2301</v>
      </c>
      <c r="M121" s="2"/>
      <c r="N121" s="2"/>
      <c r="O121" s="2"/>
      <c r="P121" s="2"/>
      <c r="Q121" s="2"/>
      <c r="R121" s="2"/>
    </row>
    <row r="122" customFormat="false" ht="15" hidden="false" customHeight="false" outlineLevel="0" collapsed="false">
      <c r="A122" s="2" t="s">
        <v>1332</v>
      </c>
      <c r="B122" s="2" t="s">
        <v>2327</v>
      </c>
      <c r="C122" s="2" t="s">
        <v>2300</v>
      </c>
      <c r="D122" s="2" t="s">
        <v>50</v>
      </c>
      <c r="E122" s="2" t="s">
        <v>261</v>
      </c>
      <c r="F122" s="2" t="s">
        <v>1695</v>
      </c>
      <c r="G122" s="2" t="n">
        <v>1121</v>
      </c>
      <c r="H122" s="2" t="s">
        <v>215</v>
      </c>
      <c r="I122" s="2" t="s">
        <v>47</v>
      </c>
      <c r="J122" s="2" t="s">
        <v>85</v>
      </c>
      <c r="K122" s="2" t="s">
        <v>692</v>
      </c>
      <c r="L122" s="2" t="s">
        <v>2301</v>
      </c>
      <c r="M122" s="2"/>
      <c r="N122" s="2"/>
      <c r="O122" s="2"/>
      <c r="P122" s="2"/>
      <c r="Q122" s="2"/>
      <c r="R122" s="2"/>
    </row>
    <row r="123" customFormat="false" ht="15" hidden="false" customHeight="false" outlineLevel="0" collapsed="false">
      <c r="A123" s="2" t="s">
        <v>1698</v>
      </c>
      <c r="B123" s="2" t="s">
        <v>2327</v>
      </c>
      <c r="C123" s="2" t="s">
        <v>2300</v>
      </c>
      <c r="D123" s="2" t="s">
        <v>50</v>
      </c>
      <c r="E123" s="2" t="s">
        <v>359</v>
      </c>
      <c r="F123" s="2" t="s">
        <v>1699</v>
      </c>
      <c r="G123" s="2" t="n">
        <v>1083</v>
      </c>
      <c r="H123" s="2" t="s">
        <v>233</v>
      </c>
      <c r="I123" s="2" t="s">
        <v>40</v>
      </c>
      <c r="J123" s="2" t="s">
        <v>140</v>
      </c>
      <c r="K123" s="2" t="s">
        <v>692</v>
      </c>
      <c r="L123" s="2" t="s">
        <v>2301</v>
      </c>
      <c r="M123" s="2"/>
      <c r="N123" s="2"/>
      <c r="O123" s="2"/>
      <c r="P123" s="2"/>
      <c r="Q123" s="2"/>
      <c r="R123" s="2"/>
    </row>
    <row r="124" customFormat="false" ht="15" hidden="false" customHeight="false" outlineLevel="0" collapsed="false">
      <c r="A124" s="2" t="s">
        <v>1702</v>
      </c>
      <c r="B124" s="2" t="s">
        <v>2327</v>
      </c>
      <c r="C124" s="2" t="s">
        <v>2300</v>
      </c>
      <c r="D124" s="2" t="s">
        <v>50</v>
      </c>
      <c r="E124" s="2" t="s">
        <v>433</v>
      </c>
      <c r="F124" s="2" t="s">
        <v>1703</v>
      </c>
      <c r="G124" s="2" t="n">
        <v>1038</v>
      </c>
      <c r="H124" s="2" t="s">
        <v>233</v>
      </c>
      <c r="I124" s="2" t="s">
        <v>47</v>
      </c>
      <c r="J124" s="2" t="s">
        <v>131</v>
      </c>
      <c r="K124" s="2" t="s">
        <v>692</v>
      </c>
      <c r="L124" s="2" t="s">
        <v>2301</v>
      </c>
      <c r="M124" s="2"/>
      <c r="N124" s="2"/>
      <c r="O124" s="2"/>
      <c r="P124" s="2"/>
      <c r="Q124" s="2"/>
      <c r="R124" s="2"/>
    </row>
    <row r="125" customFormat="false" ht="15" hidden="false" customHeight="false" outlineLevel="0" collapsed="false">
      <c r="A125" s="2" t="s">
        <v>1706</v>
      </c>
      <c r="B125" s="2" t="s">
        <v>2327</v>
      </c>
      <c r="C125" s="2" t="s">
        <v>2300</v>
      </c>
      <c r="D125" s="2" t="s">
        <v>50</v>
      </c>
      <c r="E125" s="2" t="s">
        <v>277</v>
      </c>
      <c r="F125" s="2" t="s">
        <v>1707</v>
      </c>
      <c r="G125" s="2" t="n">
        <v>845</v>
      </c>
      <c r="H125" s="2" t="s">
        <v>211</v>
      </c>
      <c r="I125" s="2" t="s">
        <v>40</v>
      </c>
      <c r="J125" s="2" t="s">
        <v>2333</v>
      </c>
      <c r="K125" s="2" t="s">
        <v>692</v>
      </c>
      <c r="L125" s="2" t="s">
        <v>2301</v>
      </c>
      <c r="M125" s="2"/>
      <c r="N125" s="2"/>
      <c r="O125" s="2"/>
      <c r="P125" s="2"/>
      <c r="Q125" s="2"/>
      <c r="R125" s="2"/>
    </row>
    <row r="126" customFormat="false" ht="15" hidden="false" customHeight="false" outlineLevel="0" collapsed="false">
      <c r="A126" s="2" t="s">
        <v>1710</v>
      </c>
      <c r="B126" s="2" t="s">
        <v>2327</v>
      </c>
      <c r="C126" s="2" t="s">
        <v>2300</v>
      </c>
      <c r="D126" s="2" t="s">
        <v>50</v>
      </c>
      <c r="E126" s="2" t="s">
        <v>436</v>
      </c>
      <c r="F126" s="2" t="s">
        <v>1711</v>
      </c>
      <c r="G126" s="2" t="n">
        <v>1079</v>
      </c>
      <c r="H126" s="2" t="s">
        <v>211</v>
      </c>
      <c r="I126" s="2" t="s">
        <v>40</v>
      </c>
      <c r="J126" s="2" t="s">
        <v>97</v>
      </c>
      <c r="K126" s="2" t="s">
        <v>692</v>
      </c>
      <c r="L126" s="2" t="s">
        <v>2301</v>
      </c>
      <c r="M126" s="2"/>
      <c r="N126" s="2"/>
      <c r="O126" s="2"/>
      <c r="P126" s="2"/>
      <c r="Q126" s="2"/>
      <c r="R126" s="2"/>
    </row>
    <row r="127" customFormat="false" ht="15" hidden="false" customHeight="false" outlineLevel="0" collapsed="false">
      <c r="A127" s="2" t="s">
        <v>1714</v>
      </c>
      <c r="B127" s="2" t="s">
        <v>2327</v>
      </c>
      <c r="C127" s="2" t="s">
        <v>2300</v>
      </c>
      <c r="D127" s="2" t="s">
        <v>50</v>
      </c>
      <c r="E127" s="2" t="s">
        <v>438</v>
      </c>
      <c r="F127" s="2" t="s">
        <v>1715</v>
      </c>
      <c r="G127" s="2" t="n">
        <v>982</v>
      </c>
      <c r="H127" s="2" t="s">
        <v>211</v>
      </c>
      <c r="I127" s="2" t="s">
        <v>40</v>
      </c>
      <c r="J127" s="2" t="s">
        <v>124</v>
      </c>
      <c r="K127" s="2" t="s">
        <v>692</v>
      </c>
      <c r="L127" s="2" t="s">
        <v>2301</v>
      </c>
      <c r="M127" s="2"/>
      <c r="N127" s="2"/>
      <c r="O127" s="2"/>
      <c r="P127" s="2"/>
      <c r="Q127" s="2"/>
      <c r="R127" s="2"/>
    </row>
    <row r="128" customFormat="false" ht="15" hidden="false" customHeight="false" outlineLevel="0" collapsed="false">
      <c r="A128" s="2" t="s">
        <v>1718</v>
      </c>
      <c r="B128" s="2" t="s">
        <v>2327</v>
      </c>
      <c r="C128" s="2" t="s">
        <v>2300</v>
      </c>
      <c r="D128" s="2" t="s">
        <v>50</v>
      </c>
      <c r="E128" s="2" t="s">
        <v>440</v>
      </c>
      <c r="F128" s="2" t="s">
        <v>1719</v>
      </c>
      <c r="G128" s="2" t="n">
        <v>1054</v>
      </c>
      <c r="H128" s="2" t="s">
        <v>233</v>
      </c>
      <c r="I128" s="2" t="s">
        <v>40</v>
      </c>
      <c r="J128" s="2" t="s">
        <v>2334</v>
      </c>
      <c r="K128" s="2" t="s">
        <v>692</v>
      </c>
      <c r="L128" s="2" t="s">
        <v>2301</v>
      </c>
      <c r="M128" s="2"/>
      <c r="N128" s="2"/>
      <c r="O128" s="2"/>
      <c r="P128" s="2"/>
      <c r="Q128" s="2"/>
      <c r="R128" s="2"/>
    </row>
    <row r="129" customFormat="false" ht="15" hidden="false" customHeight="false" outlineLevel="0" collapsed="false">
      <c r="A129" s="2" t="s">
        <v>1722</v>
      </c>
      <c r="B129" s="2" t="s">
        <v>2327</v>
      </c>
      <c r="C129" s="2" t="s">
        <v>2300</v>
      </c>
      <c r="D129" s="2" t="s">
        <v>50</v>
      </c>
      <c r="E129" s="2" t="s">
        <v>442</v>
      </c>
      <c r="F129" s="2" t="s">
        <v>1723</v>
      </c>
      <c r="G129" s="2" t="n">
        <v>984</v>
      </c>
      <c r="H129" s="2" t="s">
        <v>233</v>
      </c>
      <c r="I129" s="2" t="s">
        <v>40</v>
      </c>
      <c r="J129" s="2" t="s">
        <v>147</v>
      </c>
      <c r="K129" s="2" t="s">
        <v>692</v>
      </c>
      <c r="L129" s="2" t="s">
        <v>2301</v>
      </c>
      <c r="M129" s="2"/>
      <c r="N129" s="2"/>
      <c r="O129" s="2"/>
      <c r="P129" s="2"/>
      <c r="Q129" s="2"/>
      <c r="R129" s="2"/>
    </row>
    <row r="130" customFormat="false" ht="15" hidden="false" customHeight="false" outlineLevel="0" collapsed="false">
      <c r="A130" s="2" t="s">
        <v>1726</v>
      </c>
      <c r="B130" s="2" t="s">
        <v>2327</v>
      </c>
      <c r="C130" s="2" t="s">
        <v>2300</v>
      </c>
      <c r="D130" s="2" t="s">
        <v>50</v>
      </c>
      <c r="E130" s="2" t="s">
        <v>444</v>
      </c>
      <c r="F130" s="2" t="s">
        <v>1727</v>
      </c>
      <c r="G130" s="2" t="n">
        <v>999</v>
      </c>
      <c r="H130" s="2" t="s">
        <v>230</v>
      </c>
      <c r="I130" s="2" t="s">
        <v>40</v>
      </c>
      <c r="J130" s="2" t="s">
        <v>2335</v>
      </c>
      <c r="K130" s="2" t="s">
        <v>692</v>
      </c>
      <c r="L130" s="2" t="s">
        <v>2301</v>
      </c>
      <c r="M130" s="2"/>
      <c r="N130" s="2"/>
      <c r="O130" s="2"/>
      <c r="P130" s="2"/>
      <c r="Q130" s="2"/>
      <c r="R130" s="2"/>
    </row>
    <row r="131" customFormat="false" ht="15" hidden="false" customHeight="false" outlineLevel="0" collapsed="false">
      <c r="A131" s="2" t="s">
        <v>1388</v>
      </c>
      <c r="B131" s="2" t="s">
        <v>2327</v>
      </c>
      <c r="C131" s="2" t="s">
        <v>2300</v>
      </c>
      <c r="D131" s="2" t="s">
        <v>50</v>
      </c>
      <c r="E131" s="2" t="s">
        <v>289</v>
      </c>
      <c r="F131" s="2" t="s">
        <v>1730</v>
      </c>
      <c r="G131" s="2" t="n">
        <v>966</v>
      </c>
      <c r="H131" s="2" t="s">
        <v>211</v>
      </c>
      <c r="I131" s="2" t="s">
        <v>47</v>
      </c>
      <c r="J131" s="2" t="s">
        <v>2336</v>
      </c>
      <c r="K131" s="2" t="s">
        <v>692</v>
      </c>
      <c r="L131" s="2" t="s">
        <v>2301</v>
      </c>
      <c r="M131" s="2"/>
      <c r="N131" s="2"/>
      <c r="O131" s="2"/>
      <c r="P131" s="2"/>
      <c r="Q131" s="2"/>
      <c r="R131" s="2"/>
    </row>
    <row r="132" customFormat="false" ht="15" hidden="false" customHeight="false" outlineLevel="0" collapsed="false">
      <c r="A132" s="2" t="s">
        <v>1392</v>
      </c>
      <c r="B132" s="2" t="s">
        <v>2327</v>
      </c>
      <c r="C132" s="2" t="s">
        <v>2300</v>
      </c>
      <c r="D132" s="2" t="s">
        <v>50</v>
      </c>
      <c r="E132" s="2" t="s">
        <v>291</v>
      </c>
      <c r="F132" s="2" t="s">
        <v>1733</v>
      </c>
      <c r="G132" s="2" t="n">
        <v>1005</v>
      </c>
      <c r="H132" s="2" t="s">
        <v>230</v>
      </c>
      <c r="I132" s="2" t="s">
        <v>47</v>
      </c>
      <c r="J132" s="2" t="s">
        <v>90</v>
      </c>
      <c r="K132" s="2" t="s">
        <v>692</v>
      </c>
      <c r="L132" s="2" t="s">
        <v>2301</v>
      </c>
      <c r="M132" s="2"/>
      <c r="N132" s="2"/>
      <c r="O132" s="2"/>
      <c r="P132" s="2"/>
      <c r="Q132" s="2"/>
      <c r="R132" s="2"/>
    </row>
    <row r="133" customFormat="false" ht="15" hidden="false" customHeight="false" outlineLevel="0" collapsed="false">
      <c r="A133" s="2" t="s">
        <v>1611</v>
      </c>
      <c r="B133" s="2" t="s">
        <v>2327</v>
      </c>
      <c r="C133" s="2" t="s">
        <v>2300</v>
      </c>
      <c r="D133" s="2" t="s">
        <v>50</v>
      </c>
      <c r="E133" s="2" t="s">
        <v>392</v>
      </c>
      <c r="F133" s="2" t="s">
        <v>1736</v>
      </c>
      <c r="G133" s="2" t="n">
        <v>975</v>
      </c>
      <c r="H133" s="2" t="s">
        <v>448</v>
      </c>
      <c r="I133" s="2" t="s">
        <v>47</v>
      </c>
      <c r="J133" s="2" t="s">
        <v>104</v>
      </c>
      <c r="K133" s="2" t="s">
        <v>692</v>
      </c>
      <c r="L133" s="2" t="s">
        <v>2301</v>
      </c>
      <c r="M133" s="2"/>
      <c r="N133" s="2"/>
      <c r="O133" s="2"/>
      <c r="P133" s="2"/>
      <c r="Q133" s="2"/>
      <c r="R133" s="2"/>
    </row>
    <row r="134" customFormat="false" ht="15" hidden="false" customHeight="false" outlineLevel="0" collapsed="false">
      <c r="A134" s="2" t="s">
        <v>1739</v>
      </c>
      <c r="B134" s="2" t="s">
        <v>2327</v>
      </c>
      <c r="C134" s="2" t="s">
        <v>2300</v>
      </c>
      <c r="D134" s="2" t="s">
        <v>50</v>
      </c>
      <c r="E134" s="2" t="s">
        <v>450</v>
      </c>
      <c r="F134" s="2" t="s">
        <v>1740</v>
      </c>
      <c r="G134" s="2" t="n">
        <v>1079</v>
      </c>
      <c r="H134" s="2" t="s">
        <v>230</v>
      </c>
      <c r="I134" s="2" t="s">
        <v>40</v>
      </c>
      <c r="J134" s="2" t="s">
        <v>2337</v>
      </c>
      <c r="K134" s="2" t="s">
        <v>692</v>
      </c>
      <c r="L134" s="2" t="s">
        <v>2301</v>
      </c>
      <c r="M134" s="2"/>
      <c r="N134" s="2"/>
      <c r="O134" s="2"/>
      <c r="P134" s="2"/>
      <c r="Q134" s="2"/>
      <c r="R134" s="2"/>
    </row>
    <row r="135" customFormat="false" ht="15" hidden="false" customHeight="false" outlineLevel="0" collapsed="false">
      <c r="A135" s="2" t="s">
        <v>1412</v>
      </c>
      <c r="B135" s="2" t="s">
        <v>2327</v>
      </c>
      <c r="C135" s="2" t="s">
        <v>2300</v>
      </c>
      <c r="D135" s="2" t="s">
        <v>50</v>
      </c>
      <c r="E135" s="2" t="s">
        <v>301</v>
      </c>
      <c r="F135" s="2" t="s">
        <v>1743</v>
      </c>
      <c r="G135" s="2" t="n">
        <v>1185</v>
      </c>
      <c r="H135" s="2" t="s">
        <v>215</v>
      </c>
      <c r="I135" s="2" t="s">
        <v>47</v>
      </c>
      <c r="J135" s="2" t="s">
        <v>131</v>
      </c>
      <c r="K135" s="2" t="s">
        <v>692</v>
      </c>
      <c r="L135" s="2" t="s">
        <v>2301</v>
      </c>
      <c r="M135" s="2"/>
      <c r="N135" s="2"/>
      <c r="O135" s="2"/>
      <c r="P135" s="2"/>
      <c r="Q135" s="2"/>
      <c r="R135" s="2"/>
    </row>
    <row r="136" customFormat="false" ht="15" hidden="false" customHeight="false" outlineLevel="0" collapsed="false">
      <c r="A136" s="2" t="s">
        <v>1420</v>
      </c>
      <c r="B136" s="2" t="s">
        <v>2327</v>
      </c>
      <c r="C136" s="2" t="s">
        <v>2300</v>
      </c>
      <c r="D136" s="2" t="s">
        <v>50</v>
      </c>
      <c r="E136" s="2" t="s">
        <v>305</v>
      </c>
      <c r="F136" s="2" t="s">
        <v>1746</v>
      </c>
      <c r="G136" s="2" t="n">
        <v>1099</v>
      </c>
      <c r="H136" s="2" t="s">
        <v>211</v>
      </c>
      <c r="I136" s="2" t="s">
        <v>40</v>
      </c>
      <c r="J136" s="2" t="s">
        <v>2338</v>
      </c>
      <c r="K136" s="2" t="s">
        <v>692</v>
      </c>
      <c r="L136" s="2" t="s">
        <v>2301</v>
      </c>
      <c r="M136" s="2"/>
      <c r="N136" s="2"/>
      <c r="O136" s="2"/>
      <c r="P136" s="2"/>
      <c r="Q136" s="2"/>
      <c r="R136" s="2"/>
    </row>
    <row r="137" customFormat="false" ht="15" hidden="false" customHeight="false" outlineLevel="0" collapsed="false">
      <c r="A137" s="2" t="s">
        <v>1627</v>
      </c>
      <c r="B137" s="2" t="s">
        <v>2327</v>
      </c>
      <c r="C137" s="2" t="s">
        <v>2300</v>
      </c>
      <c r="D137" s="2" t="s">
        <v>50</v>
      </c>
      <c r="E137" s="2" t="s">
        <v>400</v>
      </c>
      <c r="F137" s="2" t="s">
        <v>1749</v>
      </c>
      <c r="G137" s="2" t="n">
        <v>1060</v>
      </c>
      <c r="H137" s="2" t="s">
        <v>211</v>
      </c>
      <c r="I137" s="2" t="s">
        <v>40</v>
      </c>
      <c r="J137" s="2" t="s">
        <v>72</v>
      </c>
      <c r="K137" s="2" t="s">
        <v>692</v>
      </c>
      <c r="L137" s="2" t="s">
        <v>2301</v>
      </c>
      <c r="M137" s="2"/>
      <c r="N137" s="2"/>
      <c r="O137" s="2"/>
      <c r="P137" s="2"/>
      <c r="Q137" s="2"/>
      <c r="R137" s="2"/>
    </row>
    <row r="138" customFormat="false" ht="15" hidden="false" customHeight="false" outlineLevel="0" collapsed="false">
      <c r="A138" s="2" t="s">
        <v>1752</v>
      </c>
      <c r="B138" s="2" t="s">
        <v>2327</v>
      </c>
      <c r="C138" s="2" t="s">
        <v>2300</v>
      </c>
      <c r="D138" s="2" t="s">
        <v>50</v>
      </c>
      <c r="E138" s="2" t="s">
        <v>455</v>
      </c>
      <c r="F138" s="2" t="s">
        <v>1753</v>
      </c>
      <c r="G138" s="2" t="n">
        <v>987</v>
      </c>
      <c r="H138" s="2" t="s">
        <v>230</v>
      </c>
      <c r="I138" s="2" t="s">
        <v>40</v>
      </c>
      <c r="J138" s="2" t="s">
        <v>120</v>
      </c>
      <c r="K138" s="2" t="s">
        <v>692</v>
      </c>
      <c r="L138" s="2" t="s">
        <v>2301</v>
      </c>
      <c r="M138" s="2"/>
      <c r="N138" s="2"/>
      <c r="O138" s="2"/>
      <c r="P138" s="2"/>
      <c r="Q138" s="2"/>
      <c r="R138" s="2"/>
    </row>
    <row r="139" customFormat="false" ht="15" hidden="false" customHeight="false" outlineLevel="0" collapsed="false">
      <c r="A139" s="2" t="s">
        <v>1756</v>
      </c>
      <c r="B139" s="2" t="s">
        <v>2327</v>
      </c>
      <c r="C139" s="2" t="s">
        <v>2300</v>
      </c>
      <c r="D139" s="2" t="s">
        <v>50</v>
      </c>
      <c r="E139" s="2" t="s">
        <v>457</v>
      </c>
      <c r="F139" s="2" t="s">
        <v>1757</v>
      </c>
      <c r="G139" s="2" t="n">
        <v>982</v>
      </c>
      <c r="H139" s="2" t="s">
        <v>211</v>
      </c>
      <c r="I139" s="2" t="s">
        <v>40</v>
      </c>
      <c r="J139" s="2" t="s">
        <v>126</v>
      </c>
      <c r="K139" s="2" t="s">
        <v>692</v>
      </c>
      <c r="L139" s="2" t="s">
        <v>2301</v>
      </c>
      <c r="M139" s="2"/>
      <c r="N139" s="2"/>
      <c r="O139" s="2"/>
      <c r="P139" s="2"/>
      <c r="Q139" s="2"/>
      <c r="R139" s="2"/>
    </row>
    <row r="140" customFormat="false" ht="15" hidden="false" customHeight="false" outlineLevel="0" collapsed="false">
      <c r="A140" s="2" t="s">
        <v>1648</v>
      </c>
      <c r="B140" s="2" t="s">
        <v>2327</v>
      </c>
      <c r="C140" s="2" t="s">
        <v>2300</v>
      </c>
      <c r="D140" s="2" t="s">
        <v>50</v>
      </c>
      <c r="E140" s="2" t="s">
        <v>410</v>
      </c>
      <c r="F140" s="2" t="s">
        <v>1760</v>
      </c>
      <c r="G140" s="2" t="n">
        <v>870</v>
      </c>
      <c r="H140" s="2" t="s">
        <v>215</v>
      </c>
      <c r="I140" s="2" t="s">
        <v>47</v>
      </c>
      <c r="J140" s="2" t="s">
        <v>2339</v>
      </c>
      <c r="K140" s="2" t="s">
        <v>692</v>
      </c>
      <c r="L140" s="2" t="s">
        <v>2301</v>
      </c>
      <c r="M140" s="2"/>
      <c r="N140" s="2"/>
      <c r="O140" s="2"/>
      <c r="P140" s="2"/>
      <c r="Q140" s="2"/>
      <c r="R140" s="2"/>
    </row>
    <row r="141" customFormat="false" ht="46.25" hidden="false" customHeight="false" outlineLevel="0" collapsed="false">
      <c r="A141" s="2" t="s">
        <v>1763</v>
      </c>
      <c r="B141" s="2" t="s">
        <v>2340</v>
      </c>
      <c r="C141" s="2" t="s">
        <v>2300</v>
      </c>
      <c r="D141" s="2" t="s">
        <v>56</v>
      </c>
      <c r="E141" s="2" t="s">
        <v>460</v>
      </c>
      <c r="F141" s="2" t="s">
        <v>1764</v>
      </c>
      <c r="G141" s="2" t="n">
        <v>1321</v>
      </c>
      <c r="H141" s="2"/>
      <c r="I141" s="2"/>
      <c r="J141" s="2"/>
      <c r="K141" s="2" t="s">
        <v>692</v>
      </c>
      <c r="L141" s="2" t="s">
        <v>2331</v>
      </c>
      <c r="M141" s="2"/>
      <c r="N141" s="2"/>
      <c r="O141" s="2"/>
      <c r="P141" s="2"/>
      <c r="Q141" s="2"/>
      <c r="R141" s="2"/>
    </row>
    <row r="142" customFormat="false" ht="46.25" hidden="false" customHeight="false" outlineLevel="0" collapsed="false">
      <c r="A142" s="2" t="s">
        <v>1244</v>
      </c>
      <c r="B142" s="2" t="s">
        <v>2340</v>
      </c>
      <c r="C142" s="2" t="s">
        <v>2300</v>
      </c>
      <c r="D142" s="2" t="s">
        <v>56</v>
      </c>
      <c r="E142" s="2" t="s">
        <v>214</v>
      </c>
      <c r="F142" s="2" t="s">
        <v>1770</v>
      </c>
      <c r="G142" s="2" t="n">
        <v>1369</v>
      </c>
      <c r="H142" s="2"/>
      <c r="I142" s="2"/>
      <c r="J142" s="2"/>
      <c r="K142" s="2" t="s">
        <v>692</v>
      </c>
      <c r="L142" s="2" t="s">
        <v>2331</v>
      </c>
      <c r="M142" s="2"/>
      <c r="N142" s="2"/>
      <c r="O142" s="2"/>
      <c r="P142" s="2"/>
      <c r="Q142" s="2"/>
      <c r="R142" s="2"/>
    </row>
    <row r="143" customFormat="false" ht="46.25" hidden="false" customHeight="false" outlineLevel="0" collapsed="false">
      <c r="A143" s="2" t="s">
        <v>1773</v>
      </c>
      <c r="B143" s="2" t="s">
        <v>2340</v>
      </c>
      <c r="C143" s="2" t="s">
        <v>2300</v>
      </c>
      <c r="D143" s="2" t="s">
        <v>56</v>
      </c>
      <c r="E143" s="2" t="s">
        <v>465</v>
      </c>
      <c r="F143" s="2" t="s">
        <v>1774</v>
      </c>
      <c r="G143" s="2" t="n">
        <v>1330</v>
      </c>
      <c r="H143" s="2"/>
      <c r="I143" s="2"/>
      <c r="J143" s="2"/>
      <c r="K143" s="2" t="s">
        <v>692</v>
      </c>
      <c r="L143" s="2" t="s">
        <v>2331</v>
      </c>
      <c r="M143" s="2"/>
      <c r="N143" s="2"/>
      <c r="O143" s="2"/>
      <c r="P143" s="2"/>
      <c r="Q143" s="2"/>
      <c r="R143" s="2"/>
    </row>
    <row r="144" customFormat="false" ht="46.25" hidden="false" customHeight="false" outlineLevel="0" collapsed="false">
      <c r="A144" s="2" t="s">
        <v>1655</v>
      </c>
      <c r="B144" s="2" t="s">
        <v>2340</v>
      </c>
      <c r="C144" s="2" t="s">
        <v>2300</v>
      </c>
      <c r="D144" s="2" t="s">
        <v>56</v>
      </c>
      <c r="E144" s="2" t="s">
        <v>413</v>
      </c>
      <c r="F144" s="2" t="s">
        <v>1778</v>
      </c>
      <c r="G144" s="2" t="n">
        <v>1578</v>
      </c>
      <c r="H144" s="2"/>
      <c r="I144" s="2"/>
      <c r="J144" s="2"/>
      <c r="K144" s="2" t="s">
        <v>692</v>
      </c>
      <c r="L144" s="2" t="s">
        <v>2331</v>
      </c>
      <c r="M144" s="2"/>
      <c r="N144" s="2"/>
      <c r="O144" s="2"/>
      <c r="P144" s="2"/>
      <c r="Q144" s="2"/>
      <c r="R144" s="2"/>
    </row>
    <row r="145" customFormat="false" ht="46.25" hidden="false" customHeight="false" outlineLevel="0" collapsed="false">
      <c r="A145" s="2" t="s">
        <v>1252</v>
      </c>
      <c r="B145" s="2" t="s">
        <v>2340</v>
      </c>
      <c r="C145" s="2" t="s">
        <v>2300</v>
      </c>
      <c r="D145" s="2" t="s">
        <v>56</v>
      </c>
      <c r="E145" s="2" t="s">
        <v>219</v>
      </c>
      <c r="F145" s="2" t="s">
        <v>1781</v>
      </c>
      <c r="G145" s="2" t="n">
        <v>1287</v>
      </c>
      <c r="H145" s="2"/>
      <c r="I145" s="2"/>
      <c r="J145" s="2"/>
      <c r="K145" s="2" t="s">
        <v>692</v>
      </c>
      <c r="L145" s="2" t="s">
        <v>2331</v>
      </c>
      <c r="M145" s="2"/>
      <c r="N145" s="2"/>
      <c r="O145" s="2"/>
      <c r="P145" s="2"/>
      <c r="Q145" s="2"/>
      <c r="R145" s="2"/>
    </row>
    <row r="146" customFormat="false" ht="46.25" hidden="false" customHeight="false" outlineLevel="0" collapsed="false">
      <c r="A146" s="2" t="s">
        <v>1490</v>
      </c>
      <c r="B146" s="2" t="s">
        <v>2340</v>
      </c>
      <c r="C146" s="2" t="s">
        <v>2300</v>
      </c>
      <c r="D146" s="2" t="s">
        <v>56</v>
      </c>
      <c r="E146" s="2" t="s">
        <v>339</v>
      </c>
      <c r="F146" s="2" t="s">
        <v>1784</v>
      </c>
      <c r="G146" s="2" t="n">
        <v>1369</v>
      </c>
      <c r="H146" s="2"/>
      <c r="I146" s="2"/>
      <c r="J146" s="2"/>
      <c r="K146" s="2" t="s">
        <v>692</v>
      </c>
      <c r="L146" s="2" t="s">
        <v>2331</v>
      </c>
      <c r="M146" s="2"/>
      <c r="N146" s="2"/>
      <c r="O146" s="2"/>
      <c r="P146" s="2"/>
      <c r="Q146" s="2"/>
      <c r="R146" s="2"/>
    </row>
    <row r="147" customFormat="false" ht="46.25" hidden="false" customHeight="false" outlineLevel="0" collapsed="false">
      <c r="A147" s="2" t="s">
        <v>1256</v>
      </c>
      <c r="B147" s="2" t="s">
        <v>2340</v>
      </c>
      <c r="C147" s="2" t="s">
        <v>2300</v>
      </c>
      <c r="D147" s="2" t="s">
        <v>56</v>
      </c>
      <c r="E147" s="2" t="s">
        <v>221</v>
      </c>
      <c r="F147" s="2" t="s">
        <v>1787</v>
      </c>
      <c r="G147" s="2" t="n">
        <v>1538</v>
      </c>
      <c r="H147" s="2"/>
      <c r="I147" s="2"/>
      <c r="J147" s="2"/>
      <c r="K147" s="2" t="s">
        <v>692</v>
      </c>
      <c r="L147" s="2" t="s">
        <v>2331</v>
      </c>
      <c r="M147" s="2"/>
      <c r="N147" s="2"/>
      <c r="O147" s="2"/>
      <c r="P147" s="2"/>
      <c r="Q147" s="2"/>
      <c r="R147" s="2"/>
    </row>
    <row r="148" customFormat="false" ht="46.25" hidden="false" customHeight="false" outlineLevel="0" collapsed="false">
      <c r="A148" s="2" t="s">
        <v>1497</v>
      </c>
      <c r="B148" s="2" t="s">
        <v>2340</v>
      </c>
      <c r="C148" s="2" t="s">
        <v>2300</v>
      </c>
      <c r="D148" s="2" t="s">
        <v>56</v>
      </c>
      <c r="E148" s="2" t="s">
        <v>342</v>
      </c>
      <c r="F148" s="2" t="s">
        <v>1790</v>
      </c>
      <c r="G148" s="2" t="n">
        <v>1581</v>
      </c>
      <c r="H148" s="2"/>
      <c r="I148" s="2"/>
      <c r="J148" s="2"/>
      <c r="K148" s="2" t="s">
        <v>692</v>
      </c>
      <c r="L148" s="2" t="s">
        <v>2331</v>
      </c>
      <c r="M148" s="2"/>
      <c r="N148" s="2"/>
      <c r="O148" s="2"/>
      <c r="P148" s="2"/>
      <c r="Q148" s="2"/>
      <c r="R148" s="2"/>
    </row>
    <row r="149" customFormat="false" ht="46.25" hidden="false" customHeight="false" outlineLevel="0" collapsed="false">
      <c r="A149" s="2" t="s">
        <v>1793</v>
      </c>
      <c r="B149" s="2" t="s">
        <v>2340</v>
      </c>
      <c r="C149" s="2" t="s">
        <v>2300</v>
      </c>
      <c r="D149" s="2" t="s">
        <v>56</v>
      </c>
      <c r="E149" s="2" t="s">
        <v>472</v>
      </c>
      <c r="F149" s="2" t="s">
        <v>1794</v>
      </c>
      <c r="G149" s="2" t="n">
        <v>1413</v>
      </c>
      <c r="H149" s="2"/>
      <c r="I149" s="2"/>
      <c r="J149" s="2"/>
      <c r="K149" s="2" t="s">
        <v>692</v>
      </c>
      <c r="L149" s="2" t="s">
        <v>2331</v>
      </c>
      <c r="M149" s="2"/>
      <c r="N149" s="2"/>
      <c r="O149" s="2"/>
      <c r="P149" s="2"/>
      <c r="Q149" s="2"/>
      <c r="R149" s="2"/>
    </row>
    <row r="150" customFormat="false" ht="46.25" hidden="false" customHeight="false" outlineLevel="0" collapsed="false">
      <c r="A150" s="2" t="s">
        <v>1797</v>
      </c>
      <c r="B150" s="2" t="s">
        <v>2340</v>
      </c>
      <c r="C150" s="2" t="s">
        <v>2300</v>
      </c>
      <c r="D150" s="2" t="s">
        <v>56</v>
      </c>
      <c r="E150" s="2" t="s">
        <v>474</v>
      </c>
      <c r="F150" s="2" t="s">
        <v>1798</v>
      </c>
      <c r="G150" s="2" t="n">
        <v>1587</v>
      </c>
      <c r="H150" s="2"/>
      <c r="I150" s="2"/>
      <c r="J150" s="2"/>
      <c r="K150" s="2" t="s">
        <v>692</v>
      </c>
      <c r="L150" s="2" t="s">
        <v>2331</v>
      </c>
      <c r="M150" s="2"/>
      <c r="N150" s="2"/>
      <c r="O150" s="2"/>
      <c r="P150" s="2"/>
      <c r="Q150" s="2"/>
      <c r="R150" s="2"/>
    </row>
    <row r="151" customFormat="false" ht="46.25" hidden="false" customHeight="false" outlineLevel="0" collapsed="false">
      <c r="A151" s="2" t="s">
        <v>1802</v>
      </c>
      <c r="B151" s="2" t="s">
        <v>2340</v>
      </c>
      <c r="C151" s="2" t="s">
        <v>2300</v>
      </c>
      <c r="D151" s="2" t="s">
        <v>56</v>
      </c>
      <c r="E151" s="2" t="s">
        <v>476</v>
      </c>
      <c r="F151" s="2" t="s">
        <v>1803</v>
      </c>
      <c r="G151" s="2" t="n">
        <v>1545</v>
      </c>
      <c r="H151" s="2"/>
      <c r="I151" s="2"/>
      <c r="J151" s="2"/>
      <c r="K151" s="2" t="s">
        <v>692</v>
      </c>
      <c r="L151" s="2" t="s">
        <v>2331</v>
      </c>
      <c r="M151" s="2"/>
      <c r="N151" s="2"/>
      <c r="O151" s="2"/>
      <c r="P151" s="2"/>
      <c r="Q151" s="2"/>
      <c r="R151" s="2"/>
    </row>
    <row r="152" customFormat="false" ht="46.25" hidden="false" customHeight="false" outlineLevel="0" collapsed="false">
      <c r="A152" s="2" t="s">
        <v>1268</v>
      </c>
      <c r="B152" s="2" t="s">
        <v>2340</v>
      </c>
      <c r="C152" s="2" t="s">
        <v>2300</v>
      </c>
      <c r="D152" s="2" t="s">
        <v>56</v>
      </c>
      <c r="E152" s="2" t="s">
        <v>227</v>
      </c>
      <c r="F152" s="2" t="s">
        <v>1807</v>
      </c>
      <c r="G152" s="2" t="n">
        <v>1493</v>
      </c>
      <c r="H152" s="2"/>
      <c r="I152" s="2"/>
      <c r="J152" s="2"/>
      <c r="K152" s="2" t="s">
        <v>692</v>
      </c>
      <c r="L152" s="2" t="s">
        <v>2331</v>
      </c>
      <c r="M152" s="2"/>
      <c r="N152" s="2"/>
      <c r="O152" s="2"/>
      <c r="P152" s="2"/>
      <c r="Q152" s="2"/>
      <c r="R152" s="2"/>
    </row>
    <row r="153" customFormat="false" ht="46.25" hidden="false" customHeight="false" outlineLevel="0" collapsed="false">
      <c r="A153" s="2" t="s">
        <v>1810</v>
      </c>
      <c r="B153" s="2" t="s">
        <v>2340</v>
      </c>
      <c r="C153" s="2" t="s">
        <v>2300</v>
      </c>
      <c r="D153" s="2" t="s">
        <v>56</v>
      </c>
      <c r="E153" s="2" t="s">
        <v>479</v>
      </c>
      <c r="F153" s="2" t="s">
        <v>1811</v>
      </c>
      <c r="G153" s="2" t="n">
        <v>1493</v>
      </c>
      <c r="H153" s="2"/>
      <c r="I153" s="2"/>
      <c r="J153" s="2"/>
      <c r="K153" s="2" t="s">
        <v>692</v>
      </c>
      <c r="L153" s="2" t="s">
        <v>2331</v>
      </c>
      <c r="M153" s="2"/>
      <c r="N153" s="2"/>
      <c r="O153" s="2"/>
      <c r="P153" s="2"/>
      <c r="Q153" s="2"/>
      <c r="R153" s="2"/>
    </row>
    <row r="154" customFormat="false" ht="46.25" hidden="false" customHeight="false" outlineLevel="0" collapsed="false">
      <c r="A154" s="2" t="s">
        <v>1814</v>
      </c>
      <c r="B154" s="2" t="s">
        <v>2340</v>
      </c>
      <c r="C154" s="2" t="s">
        <v>2300</v>
      </c>
      <c r="D154" s="2" t="s">
        <v>56</v>
      </c>
      <c r="E154" s="2" t="s">
        <v>481</v>
      </c>
      <c r="F154" s="2" t="s">
        <v>1815</v>
      </c>
      <c r="G154" s="2" t="n">
        <v>1477</v>
      </c>
      <c r="H154" s="2"/>
      <c r="I154" s="2"/>
      <c r="J154" s="2"/>
      <c r="K154" s="2" t="s">
        <v>692</v>
      </c>
      <c r="L154" s="2" t="s">
        <v>2331</v>
      </c>
      <c r="M154" s="2"/>
      <c r="N154" s="2"/>
      <c r="O154" s="2"/>
      <c r="P154" s="2"/>
      <c r="Q154" s="2"/>
      <c r="R154" s="2"/>
    </row>
    <row r="155" customFormat="false" ht="46.25" hidden="false" customHeight="false" outlineLevel="0" collapsed="false">
      <c r="A155" s="2" t="s">
        <v>1272</v>
      </c>
      <c r="B155" s="2" t="s">
        <v>2340</v>
      </c>
      <c r="C155" s="2" t="s">
        <v>2300</v>
      </c>
      <c r="D155" s="2" t="s">
        <v>56</v>
      </c>
      <c r="E155" s="2" t="s">
        <v>229</v>
      </c>
      <c r="F155" s="2" t="s">
        <v>1818</v>
      </c>
      <c r="G155" s="2" t="n">
        <v>1606</v>
      </c>
      <c r="H155" s="2"/>
      <c r="I155" s="2"/>
      <c r="J155" s="2"/>
      <c r="K155" s="2" t="s">
        <v>692</v>
      </c>
      <c r="L155" s="2" t="s">
        <v>2331</v>
      </c>
      <c r="M155" s="2"/>
      <c r="N155" s="2"/>
      <c r="O155" s="2"/>
      <c r="P155" s="2"/>
      <c r="Q155" s="2"/>
      <c r="R155" s="2"/>
    </row>
    <row r="156" customFormat="false" ht="46.25" hidden="false" customHeight="false" outlineLevel="0" collapsed="false">
      <c r="A156" s="2" t="s">
        <v>1821</v>
      </c>
      <c r="B156" s="2" t="s">
        <v>2340</v>
      </c>
      <c r="C156" s="2" t="s">
        <v>2300</v>
      </c>
      <c r="D156" s="2" t="s">
        <v>56</v>
      </c>
      <c r="E156" s="2" t="s">
        <v>484</v>
      </c>
      <c r="F156" s="2" t="s">
        <v>1822</v>
      </c>
      <c r="G156" s="2" t="n">
        <v>1682</v>
      </c>
      <c r="H156" s="2"/>
      <c r="I156" s="2"/>
      <c r="J156" s="2"/>
      <c r="K156" s="2" t="s">
        <v>692</v>
      </c>
      <c r="L156" s="2" t="s">
        <v>2331</v>
      </c>
      <c r="M156" s="2"/>
      <c r="N156" s="2"/>
      <c r="O156" s="2"/>
      <c r="P156" s="2"/>
      <c r="Q156" s="2"/>
      <c r="R156" s="2"/>
    </row>
    <row r="157" customFormat="false" ht="46.25" hidden="false" customHeight="false" outlineLevel="0" collapsed="false">
      <c r="A157" s="2" t="s">
        <v>1276</v>
      </c>
      <c r="B157" s="2" t="s">
        <v>2340</v>
      </c>
      <c r="C157" s="2" t="s">
        <v>2300</v>
      </c>
      <c r="D157" s="2" t="s">
        <v>56</v>
      </c>
      <c r="E157" s="2" t="s">
        <v>232</v>
      </c>
      <c r="F157" s="2" t="s">
        <v>1825</v>
      </c>
      <c r="G157" s="2" t="n">
        <v>1580</v>
      </c>
      <c r="H157" s="2"/>
      <c r="I157" s="2"/>
      <c r="J157" s="2"/>
      <c r="K157" s="2" t="s">
        <v>692</v>
      </c>
      <c r="L157" s="2" t="s">
        <v>2331</v>
      </c>
      <c r="M157" s="2"/>
      <c r="N157" s="2"/>
      <c r="O157" s="2"/>
      <c r="P157" s="2"/>
      <c r="Q157" s="2"/>
      <c r="R157" s="2"/>
    </row>
    <row r="158" customFormat="false" ht="46.25" hidden="false" customHeight="false" outlineLevel="0" collapsed="false">
      <c r="A158" s="2" t="s">
        <v>1280</v>
      </c>
      <c r="B158" s="2" t="s">
        <v>2340</v>
      </c>
      <c r="C158" s="2" t="s">
        <v>2300</v>
      </c>
      <c r="D158" s="2" t="s">
        <v>56</v>
      </c>
      <c r="E158" s="2" t="s">
        <v>235</v>
      </c>
      <c r="F158" s="2" t="s">
        <v>1828</v>
      </c>
      <c r="G158" s="2" t="n">
        <v>1693</v>
      </c>
      <c r="H158" s="2"/>
      <c r="I158" s="2"/>
      <c r="J158" s="2"/>
      <c r="K158" s="2" t="s">
        <v>692</v>
      </c>
      <c r="L158" s="2" t="s">
        <v>2331</v>
      </c>
      <c r="M158" s="2"/>
      <c r="N158" s="2"/>
      <c r="O158" s="2"/>
      <c r="P158" s="2"/>
      <c r="Q158" s="2"/>
      <c r="R158" s="2"/>
    </row>
    <row r="159" customFormat="false" ht="46.25" hidden="false" customHeight="false" outlineLevel="0" collapsed="false">
      <c r="A159" s="2" t="s">
        <v>1288</v>
      </c>
      <c r="B159" s="2" t="s">
        <v>2340</v>
      </c>
      <c r="C159" s="2" t="s">
        <v>2300</v>
      </c>
      <c r="D159" s="2" t="s">
        <v>56</v>
      </c>
      <c r="E159" s="2" t="s">
        <v>239</v>
      </c>
      <c r="F159" s="2" t="s">
        <v>1831</v>
      </c>
      <c r="G159" s="2" t="n">
        <v>1524</v>
      </c>
      <c r="H159" s="2"/>
      <c r="I159" s="2"/>
      <c r="J159" s="2"/>
      <c r="K159" s="2" t="s">
        <v>692</v>
      </c>
      <c r="L159" s="2" t="s">
        <v>2331</v>
      </c>
      <c r="M159" s="2"/>
      <c r="N159" s="2"/>
      <c r="O159" s="2"/>
      <c r="P159" s="2"/>
      <c r="Q159" s="2"/>
      <c r="R159" s="2"/>
    </row>
    <row r="160" customFormat="false" ht="46.25" hidden="false" customHeight="false" outlineLevel="0" collapsed="false">
      <c r="A160" s="2" t="s">
        <v>1834</v>
      </c>
      <c r="B160" s="2" t="s">
        <v>2340</v>
      </c>
      <c r="C160" s="2" t="s">
        <v>2300</v>
      </c>
      <c r="D160" s="2" t="s">
        <v>56</v>
      </c>
      <c r="E160" s="2" t="s">
        <v>489</v>
      </c>
      <c r="F160" s="2" t="s">
        <v>1835</v>
      </c>
      <c r="G160" s="2" t="n">
        <v>1554</v>
      </c>
      <c r="H160" s="2"/>
      <c r="I160" s="2"/>
      <c r="J160" s="2"/>
      <c r="K160" s="2" t="s">
        <v>692</v>
      </c>
      <c r="L160" s="2" t="s">
        <v>2331</v>
      </c>
      <c r="M160" s="2"/>
      <c r="N160" s="2"/>
      <c r="O160" s="2"/>
      <c r="P160" s="2"/>
      <c r="Q160" s="2"/>
      <c r="R160" s="2"/>
    </row>
    <row r="161" customFormat="false" ht="46.25" hidden="false" customHeight="false" outlineLevel="0" collapsed="false">
      <c r="A161" s="2" t="s">
        <v>1296</v>
      </c>
      <c r="B161" s="2" t="s">
        <v>2340</v>
      </c>
      <c r="C161" s="2" t="s">
        <v>2300</v>
      </c>
      <c r="D161" s="2" t="s">
        <v>56</v>
      </c>
      <c r="E161" s="2" t="s">
        <v>243</v>
      </c>
      <c r="F161" s="2" t="s">
        <v>1838</v>
      </c>
      <c r="G161" s="2" t="n">
        <v>1520</v>
      </c>
      <c r="H161" s="2"/>
      <c r="I161" s="2"/>
      <c r="J161" s="2"/>
      <c r="K161" s="2" t="s">
        <v>692</v>
      </c>
      <c r="L161" s="2" t="s">
        <v>2331</v>
      </c>
      <c r="M161" s="2"/>
      <c r="N161" s="2"/>
      <c r="O161" s="2"/>
      <c r="P161" s="2"/>
      <c r="Q161" s="2"/>
      <c r="R161" s="2"/>
    </row>
    <row r="162" customFormat="false" ht="46.25" hidden="false" customHeight="false" outlineLevel="0" collapsed="false">
      <c r="A162" s="2" t="s">
        <v>1841</v>
      </c>
      <c r="B162" s="2" t="s">
        <v>2340</v>
      </c>
      <c r="C162" s="2" t="s">
        <v>2300</v>
      </c>
      <c r="D162" s="2" t="s">
        <v>56</v>
      </c>
      <c r="E162" s="2" t="s">
        <v>492</v>
      </c>
      <c r="F162" s="2" t="s">
        <v>1843</v>
      </c>
      <c r="G162" s="2" t="n">
        <v>1448</v>
      </c>
      <c r="H162" s="2"/>
      <c r="I162" s="2"/>
      <c r="J162" s="2"/>
      <c r="K162" s="2" t="s">
        <v>692</v>
      </c>
      <c r="L162" s="2" t="s">
        <v>2331</v>
      </c>
      <c r="M162" s="2"/>
      <c r="N162" s="2"/>
      <c r="O162" s="2"/>
      <c r="P162" s="2"/>
      <c r="Q162" s="2"/>
      <c r="R162" s="2"/>
    </row>
    <row r="163" customFormat="false" ht="46.25" hidden="false" customHeight="false" outlineLevel="0" collapsed="false">
      <c r="A163" s="2" t="s">
        <v>1846</v>
      </c>
      <c r="B163" s="2" t="s">
        <v>2340</v>
      </c>
      <c r="C163" s="2" t="s">
        <v>2300</v>
      </c>
      <c r="D163" s="2" t="s">
        <v>56</v>
      </c>
      <c r="E163" s="2" t="s">
        <v>494</v>
      </c>
      <c r="F163" s="2" t="s">
        <v>1847</v>
      </c>
      <c r="G163" s="2" t="n">
        <v>1213</v>
      </c>
      <c r="H163" s="2"/>
      <c r="I163" s="2"/>
      <c r="J163" s="2"/>
      <c r="K163" s="2" t="s">
        <v>692</v>
      </c>
      <c r="L163" s="2" t="s">
        <v>2331</v>
      </c>
      <c r="M163" s="2"/>
      <c r="N163" s="2"/>
      <c r="O163" s="2"/>
      <c r="P163" s="2"/>
      <c r="Q163" s="2"/>
      <c r="R163" s="2"/>
    </row>
    <row r="164" customFormat="false" ht="46.25" hidden="false" customHeight="false" outlineLevel="0" collapsed="false">
      <c r="A164" s="2" t="s">
        <v>1312</v>
      </c>
      <c r="B164" s="2" t="s">
        <v>2340</v>
      </c>
      <c r="C164" s="2" t="s">
        <v>2300</v>
      </c>
      <c r="D164" s="2" t="s">
        <v>56</v>
      </c>
      <c r="E164" s="2" t="s">
        <v>251</v>
      </c>
      <c r="F164" s="2" t="s">
        <v>1850</v>
      </c>
      <c r="G164" s="2" t="n">
        <v>1295</v>
      </c>
      <c r="H164" s="2"/>
      <c r="I164" s="2"/>
      <c r="J164" s="2"/>
      <c r="K164" s="2" t="s">
        <v>692</v>
      </c>
      <c r="L164" s="2" t="s">
        <v>2331</v>
      </c>
      <c r="M164" s="2"/>
      <c r="N164" s="2"/>
      <c r="O164" s="2"/>
      <c r="P164" s="2"/>
      <c r="Q164" s="2"/>
      <c r="R164" s="2"/>
    </row>
    <row r="165" customFormat="false" ht="46.25" hidden="false" customHeight="false" outlineLevel="0" collapsed="false">
      <c r="A165" s="2" t="s">
        <v>1688</v>
      </c>
      <c r="B165" s="2" t="s">
        <v>2340</v>
      </c>
      <c r="C165" s="2" t="s">
        <v>2300</v>
      </c>
      <c r="D165" s="2" t="s">
        <v>56</v>
      </c>
      <c r="E165" s="2" t="s">
        <v>428</v>
      </c>
      <c r="F165" s="2" t="s">
        <v>1854</v>
      </c>
      <c r="G165" s="2" t="n">
        <v>1279</v>
      </c>
      <c r="H165" s="2"/>
      <c r="I165" s="2"/>
      <c r="J165" s="2"/>
      <c r="K165" s="2" t="s">
        <v>692</v>
      </c>
      <c r="L165" s="2" t="s">
        <v>2331</v>
      </c>
      <c r="M165" s="2"/>
      <c r="N165" s="2"/>
      <c r="O165" s="2"/>
      <c r="P165" s="2"/>
      <c r="Q165" s="2"/>
      <c r="R165" s="2"/>
    </row>
    <row r="166" customFormat="false" ht="46.25" hidden="false" customHeight="false" outlineLevel="0" collapsed="false">
      <c r="A166" s="2" t="s">
        <v>1324</v>
      </c>
      <c r="B166" s="2" t="s">
        <v>2340</v>
      </c>
      <c r="C166" s="2" t="s">
        <v>2300</v>
      </c>
      <c r="D166" s="2" t="s">
        <v>56</v>
      </c>
      <c r="E166" s="2" t="s">
        <v>257</v>
      </c>
      <c r="F166" s="2" t="s">
        <v>1857</v>
      </c>
      <c r="G166" s="2" t="n">
        <v>1263</v>
      </c>
      <c r="H166" s="2"/>
      <c r="I166" s="2"/>
      <c r="J166" s="2"/>
      <c r="K166" s="2" t="s">
        <v>692</v>
      </c>
      <c r="L166" s="2" t="s">
        <v>2331</v>
      </c>
      <c r="M166" s="2"/>
      <c r="N166" s="2"/>
      <c r="O166" s="2"/>
      <c r="P166" s="2"/>
      <c r="Q166" s="2"/>
      <c r="R166" s="2"/>
    </row>
    <row r="167" customFormat="false" ht="46.25" hidden="false" customHeight="false" outlineLevel="0" collapsed="false">
      <c r="A167" s="2" t="s">
        <v>1328</v>
      </c>
      <c r="B167" s="2" t="s">
        <v>2340</v>
      </c>
      <c r="C167" s="2" t="s">
        <v>2300</v>
      </c>
      <c r="D167" s="2" t="s">
        <v>56</v>
      </c>
      <c r="E167" s="2" t="s">
        <v>259</v>
      </c>
      <c r="F167" s="2" t="s">
        <v>1860</v>
      </c>
      <c r="G167" s="2" t="n">
        <v>1359</v>
      </c>
      <c r="H167" s="2"/>
      <c r="I167" s="2"/>
      <c r="J167" s="2"/>
      <c r="K167" s="2" t="s">
        <v>692</v>
      </c>
      <c r="L167" s="2" t="s">
        <v>2331</v>
      </c>
      <c r="M167" s="2"/>
      <c r="N167" s="2"/>
      <c r="O167" s="2"/>
      <c r="P167" s="2"/>
      <c r="Q167" s="2"/>
      <c r="R167" s="2"/>
    </row>
    <row r="168" customFormat="false" ht="46.25" hidden="false" customHeight="false" outlineLevel="0" collapsed="false">
      <c r="A168" s="2" t="s">
        <v>1698</v>
      </c>
      <c r="B168" s="2" t="s">
        <v>2340</v>
      </c>
      <c r="C168" s="2" t="s">
        <v>2300</v>
      </c>
      <c r="D168" s="2" t="s">
        <v>56</v>
      </c>
      <c r="E168" s="2" t="s">
        <v>359</v>
      </c>
      <c r="F168" s="2" t="s">
        <v>1863</v>
      </c>
      <c r="G168" s="2" t="n">
        <v>1233</v>
      </c>
      <c r="H168" s="2"/>
      <c r="I168" s="2"/>
      <c r="J168" s="2"/>
      <c r="K168" s="2" t="s">
        <v>692</v>
      </c>
      <c r="L168" s="2" t="s">
        <v>2331</v>
      </c>
      <c r="M168" s="2"/>
      <c r="N168" s="2"/>
      <c r="O168" s="2"/>
      <c r="P168" s="2"/>
      <c r="Q168" s="2"/>
      <c r="R168" s="2"/>
    </row>
    <row r="169" customFormat="false" ht="46.25" hidden="false" customHeight="false" outlineLevel="0" collapsed="false">
      <c r="A169" s="2" t="s">
        <v>1866</v>
      </c>
      <c r="B169" s="2" t="s">
        <v>2340</v>
      </c>
      <c r="C169" s="2" t="s">
        <v>2300</v>
      </c>
      <c r="D169" s="2" t="s">
        <v>56</v>
      </c>
      <c r="E169" s="2" t="s">
        <v>502</v>
      </c>
      <c r="F169" s="2" t="s">
        <v>1867</v>
      </c>
      <c r="G169" s="2" t="n">
        <v>1421</v>
      </c>
      <c r="H169" s="2"/>
      <c r="I169" s="2"/>
      <c r="J169" s="2"/>
      <c r="K169" s="2" t="s">
        <v>692</v>
      </c>
      <c r="L169" s="2" t="s">
        <v>2331</v>
      </c>
      <c r="M169" s="2"/>
      <c r="N169" s="2"/>
      <c r="O169" s="2"/>
      <c r="P169" s="2"/>
      <c r="Q169" s="2"/>
      <c r="R169" s="2"/>
    </row>
    <row r="170" customFormat="false" ht="46.25" hidden="false" customHeight="false" outlineLevel="0" collapsed="false">
      <c r="A170" s="2" t="s">
        <v>1340</v>
      </c>
      <c r="B170" s="2" t="s">
        <v>2340</v>
      </c>
      <c r="C170" s="2" t="s">
        <v>2300</v>
      </c>
      <c r="D170" s="2" t="s">
        <v>56</v>
      </c>
      <c r="E170" s="2" t="s">
        <v>265</v>
      </c>
      <c r="F170" s="2" t="s">
        <v>1870</v>
      </c>
      <c r="G170" s="2" t="n">
        <v>1550</v>
      </c>
      <c r="H170" s="2"/>
      <c r="I170" s="2"/>
      <c r="J170" s="2"/>
      <c r="K170" s="2" t="s">
        <v>692</v>
      </c>
      <c r="L170" s="2" t="s">
        <v>2331</v>
      </c>
      <c r="M170" s="2"/>
      <c r="N170" s="2"/>
      <c r="O170" s="2"/>
      <c r="P170" s="2"/>
      <c r="Q170" s="2"/>
      <c r="R170" s="2"/>
    </row>
    <row r="171" customFormat="false" ht="46.25" hidden="false" customHeight="false" outlineLevel="0" collapsed="false">
      <c r="A171" s="2" t="s">
        <v>1873</v>
      </c>
      <c r="B171" s="2" t="s">
        <v>2340</v>
      </c>
      <c r="C171" s="2" t="s">
        <v>2300</v>
      </c>
      <c r="D171" s="2" t="s">
        <v>56</v>
      </c>
      <c r="E171" s="2" t="s">
        <v>505</v>
      </c>
      <c r="F171" s="2" t="s">
        <v>1874</v>
      </c>
      <c r="G171" s="2" t="n">
        <v>1236</v>
      </c>
      <c r="H171" s="2"/>
      <c r="I171" s="2"/>
      <c r="J171" s="2"/>
      <c r="K171" s="2" t="s">
        <v>692</v>
      </c>
      <c r="L171" s="2" t="s">
        <v>2331</v>
      </c>
      <c r="M171" s="2"/>
      <c r="N171" s="2"/>
      <c r="O171" s="2"/>
      <c r="P171" s="2"/>
      <c r="Q171" s="2"/>
      <c r="R171" s="2"/>
    </row>
    <row r="172" customFormat="false" ht="46.25" hidden="false" customHeight="false" outlineLevel="0" collapsed="false">
      <c r="A172" s="2" t="s">
        <v>1877</v>
      </c>
      <c r="B172" s="2" t="s">
        <v>2340</v>
      </c>
      <c r="C172" s="2" t="s">
        <v>2300</v>
      </c>
      <c r="D172" s="2" t="s">
        <v>56</v>
      </c>
      <c r="E172" s="2" t="s">
        <v>507</v>
      </c>
      <c r="F172" s="2" t="s">
        <v>1878</v>
      </c>
      <c r="G172" s="2" t="n">
        <v>1235</v>
      </c>
      <c r="H172" s="2"/>
      <c r="I172" s="2"/>
      <c r="J172" s="2"/>
      <c r="K172" s="2" t="s">
        <v>692</v>
      </c>
      <c r="L172" s="2" t="s">
        <v>2331</v>
      </c>
      <c r="M172" s="2"/>
      <c r="N172" s="2"/>
      <c r="O172" s="2"/>
      <c r="P172" s="2"/>
      <c r="Q172" s="2"/>
      <c r="R172" s="2"/>
    </row>
    <row r="173" customFormat="false" ht="46.25" hidden="false" customHeight="false" outlineLevel="0" collapsed="false">
      <c r="A173" s="2" t="s">
        <v>1344</v>
      </c>
      <c r="B173" s="2" t="s">
        <v>2340</v>
      </c>
      <c r="C173" s="2" t="s">
        <v>2300</v>
      </c>
      <c r="D173" s="2" t="s">
        <v>56</v>
      </c>
      <c r="E173" s="2" t="s">
        <v>267</v>
      </c>
      <c r="F173" s="2" t="s">
        <v>1881</v>
      </c>
      <c r="G173" s="2" t="n">
        <v>1491</v>
      </c>
      <c r="H173" s="2"/>
      <c r="I173" s="2"/>
      <c r="J173" s="2"/>
      <c r="K173" s="2" t="s">
        <v>692</v>
      </c>
      <c r="L173" s="2" t="s">
        <v>2331</v>
      </c>
      <c r="M173" s="2"/>
      <c r="N173" s="2"/>
      <c r="O173" s="2"/>
      <c r="P173" s="2"/>
      <c r="Q173" s="2"/>
      <c r="R173" s="2"/>
    </row>
    <row r="174" customFormat="false" ht="46.25" hidden="false" customHeight="false" outlineLevel="0" collapsed="false">
      <c r="A174" s="2" t="s">
        <v>1884</v>
      </c>
      <c r="B174" s="2" t="s">
        <v>2340</v>
      </c>
      <c r="C174" s="2" t="s">
        <v>2300</v>
      </c>
      <c r="D174" s="2" t="s">
        <v>56</v>
      </c>
      <c r="E174" s="2" t="s">
        <v>510</v>
      </c>
      <c r="F174" s="2" t="s">
        <v>1885</v>
      </c>
      <c r="G174" s="2" t="n">
        <v>1312</v>
      </c>
      <c r="H174" s="2"/>
      <c r="I174" s="2"/>
      <c r="J174" s="2"/>
      <c r="K174" s="2" t="s">
        <v>692</v>
      </c>
      <c r="L174" s="2" t="s">
        <v>2331</v>
      </c>
      <c r="M174" s="2"/>
      <c r="N174" s="2"/>
      <c r="O174" s="2"/>
      <c r="P174" s="2"/>
      <c r="Q174" s="2"/>
      <c r="R174" s="2"/>
    </row>
    <row r="175" customFormat="false" ht="46.25" hidden="false" customHeight="false" outlineLevel="0" collapsed="false">
      <c r="A175" s="2" t="s">
        <v>1352</v>
      </c>
      <c r="B175" s="2" t="s">
        <v>2340</v>
      </c>
      <c r="C175" s="2" t="s">
        <v>2300</v>
      </c>
      <c r="D175" s="2" t="s">
        <v>56</v>
      </c>
      <c r="E175" s="2" t="s">
        <v>271</v>
      </c>
      <c r="F175" s="2" t="s">
        <v>1889</v>
      </c>
      <c r="G175" s="2" t="n">
        <v>1263</v>
      </c>
      <c r="H175" s="2"/>
      <c r="I175" s="2"/>
      <c r="J175" s="2"/>
      <c r="K175" s="2" t="s">
        <v>692</v>
      </c>
      <c r="L175" s="2" t="s">
        <v>2331</v>
      </c>
      <c r="M175" s="2"/>
      <c r="N175" s="2"/>
      <c r="O175" s="2"/>
      <c r="P175" s="2"/>
      <c r="Q175" s="2"/>
      <c r="R175" s="2"/>
    </row>
    <row r="176" customFormat="false" ht="46.25" hidden="false" customHeight="false" outlineLevel="0" collapsed="false">
      <c r="A176" s="2" t="s">
        <v>1892</v>
      </c>
      <c r="B176" s="2" t="s">
        <v>2340</v>
      </c>
      <c r="C176" s="2" t="s">
        <v>2300</v>
      </c>
      <c r="D176" s="2" t="s">
        <v>56</v>
      </c>
      <c r="E176" s="2" t="s">
        <v>513</v>
      </c>
      <c r="F176" s="2" t="s">
        <v>1893</v>
      </c>
      <c r="G176" s="2" t="n">
        <v>1265</v>
      </c>
      <c r="H176" s="2"/>
      <c r="I176" s="2"/>
      <c r="J176" s="2"/>
      <c r="K176" s="2" t="s">
        <v>692</v>
      </c>
      <c r="L176" s="2" t="s">
        <v>2331</v>
      </c>
      <c r="M176" s="2"/>
      <c r="N176" s="2"/>
      <c r="O176" s="2"/>
      <c r="P176" s="2"/>
      <c r="Q176" s="2"/>
      <c r="R176" s="2"/>
    </row>
    <row r="177" customFormat="false" ht="46.25" hidden="false" customHeight="false" outlineLevel="0" collapsed="false">
      <c r="A177" s="2" t="s">
        <v>1896</v>
      </c>
      <c r="B177" s="2" t="s">
        <v>2340</v>
      </c>
      <c r="C177" s="2" t="s">
        <v>2300</v>
      </c>
      <c r="D177" s="2" t="s">
        <v>56</v>
      </c>
      <c r="E177" s="2" t="s">
        <v>515</v>
      </c>
      <c r="F177" s="2" t="s">
        <v>1897</v>
      </c>
      <c r="G177" s="2" t="n">
        <v>1289</v>
      </c>
      <c r="H177" s="2"/>
      <c r="I177" s="2"/>
      <c r="J177" s="2"/>
      <c r="K177" s="2" t="s">
        <v>692</v>
      </c>
      <c r="L177" s="2" t="s">
        <v>2331</v>
      </c>
      <c r="M177" s="2"/>
      <c r="N177" s="2"/>
      <c r="O177" s="2"/>
      <c r="P177" s="2"/>
      <c r="Q177" s="2"/>
      <c r="R177" s="2"/>
    </row>
    <row r="178" customFormat="false" ht="46.25" hidden="false" customHeight="false" outlineLevel="0" collapsed="false">
      <c r="A178" s="2" t="s">
        <v>1564</v>
      </c>
      <c r="B178" s="2" t="s">
        <v>2340</v>
      </c>
      <c r="C178" s="2" t="s">
        <v>2300</v>
      </c>
      <c r="D178" s="2" t="s">
        <v>56</v>
      </c>
      <c r="E178" s="2" t="s">
        <v>275</v>
      </c>
      <c r="F178" s="2" t="s">
        <v>1901</v>
      </c>
      <c r="G178" s="2" t="n">
        <v>1191</v>
      </c>
      <c r="H178" s="2"/>
      <c r="I178" s="2"/>
      <c r="J178" s="2"/>
      <c r="K178" s="2" t="s">
        <v>692</v>
      </c>
      <c r="L178" s="2" t="s">
        <v>2331</v>
      </c>
      <c r="M178" s="2"/>
      <c r="N178" s="2"/>
      <c r="O178" s="2"/>
      <c r="P178" s="2"/>
      <c r="Q178" s="2"/>
      <c r="R178" s="2"/>
    </row>
    <row r="179" customFormat="false" ht="46.25" hidden="false" customHeight="false" outlineLevel="0" collapsed="false">
      <c r="A179" s="2" t="s">
        <v>1568</v>
      </c>
      <c r="B179" s="2" t="s">
        <v>2340</v>
      </c>
      <c r="C179" s="2" t="s">
        <v>2300</v>
      </c>
      <c r="D179" s="2" t="s">
        <v>56</v>
      </c>
      <c r="E179" s="2" t="s">
        <v>372</v>
      </c>
      <c r="F179" s="2" t="s">
        <v>1904</v>
      </c>
      <c r="G179" s="2" t="n">
        <v>1239</v>
      </c>
      <c r="H179" s="2"/>
      <c r="I179" s="2"/>
      <c r="J179" s="2"/>
      <c r="K179" s="2" t="s">
        <v>692</v>
      </c>
      <c r="L179" s="2" t="s">
        <v>2331</v>
      </c>
      <c r="M179" s="2"/>
      <c r="N179" s="2"/>
      <c r="O179" s="2"/>
      <c r="P179" s="2"/>
      <c r="Q179" s="2"/>
      <c r="R179" s="2"/>
    </row>
    <row r="180" customFormat="false" ht="46.25" hidden="false" customHeight="false" outlineLevel="0" collapsed="false">
      <c r="A180" s="2" t="s">
        <v>1907</v>
      </c>
      <c r="B180" s="2" t="s">
        <v>2340</v>
      </c>
      <c r="C180" s="2" t="s">
        <v>2300</v>
      </c>
      <c r="D180" s="2" t="s">
        <v>56</v>
      </c>
      <c r="E180" s="2" t="s">
        <v>519</v>
      </c>
      <c r="F180" s="2" t="s">
        <v>1909</v>
      </c>
      <c r="G180" s="2" t="n">
        <v>1289</v>
      </c>
      <c r="H180" s="2"/>
      <c r="I180" s="2"/>
      <c r="J180" s="2"/>
      <c r="K180" s="2" t="s">
        <v>692</v>
      </c>
      <c r="L180" s="2" t="s">
        <v>2331</v>
      </c>
      <c r="M180" s="2"/>
      <c r="N180" s="2"/>
      <c r="O180" s="2"/>
      <c r="P180" s="2"/>
      <c r="Q180" s="2"/>
      <c r="R180" s="2"/>
    </row>
    <row r="181" customFormat="false" ht="46.25" hidden="false" customHeight="false" outlineLevel="0" collapsed="false">
      <c r="A181" s="2" t="s">
        <v>1579</v>
      </c>
      <c r="B181" s="2" t="s">
        <v>2340</v>
      </c>
      <c r="C181" s="2" t="s">
        <v>2300</v>
      </c>
      <c r="D181" s="2" t="s">
        <v>56</v>
      </c>
      <c r="E181" s="2" t="s">
        <v>377</v>
      </c>
      <c r="F181" s="2" t="s">
        <v>1912</v>
      </c>
      <c r="G181" s="2" t="n">
        <v>1225</v>
      </c>
      <c r="H181" s="2"/>
      <c r="I181" s="2"/>
      <c r="J181" s="2"/>
      <c r="K181" s="2" t="s">
        <v>692</v>
      </c>
      <c r="L181" s="2" t="s">
        <v>2331</v>
      </c>
      <c r="M181" s="2"/>
      <c r="N181" s="2"/>
      <c r="O181" s="2"/>
      <c r="P181" s="2"/>
      <c r="Q181" s="2"/>
      <c r="R181" s="2"/>
    </row>
    <row r="182" customFormat="false" ht="46.25" hidden="false" customHeight="false" outlineLevel="0" collapsed="false">
      <c r="A182" s="2" t="s">
        <v>1915</v>
      </c>
      <c r="B182" s="2" t="s">
        <v>2340</v>
      </c>
      <c r="C182" s="2" t="s">
        <v>2300</v>
      </c>
      <c r="D182" s="2" t="s">
        <v>56</v>
      </c>
      <c r="E182" s="2" t="s">
        <v>522</v>
      </c>
      <c r="F182" s="2" t="s">
        <v>1916</v>
      </c>
      <c r="G182" s="2" t="n">
        <v>1097</v>
      </c>
      <c r="H182" s="2"/>
      <c r="I182" s="2"/>
      <c r="J182" s="2"/>
      <c r="K182" s="2" t="s">
        <v>692</v>
      </c>
      <c r="L182" s="2" t="s">
        <v>2331</v>
      </c>
      <c r="M182" s="2"/>
      <c r="N182" s="2"/>
      <c r="O182" s="2"/>
      <c r="P182" s="2"/>
      <c r="Q182" s="2"/>
      <c r="R182" s="2"/>
    </row>
    <row r="183" customFormat="false" ht="46.25" hidden="false" customHeight="false" outlineLevel="0" collapsed="false">
      <c r="A183" s="2" t="s">
        <v>1919</v>
      </c>
      <c r="B183" s="2" t="s">
        <v>2340</v>
      </c>
      <c r="C183" s="2" t="s">
        <v>2300</v>
      </c>
      <c r="D183" s="2" t="s">
        <v>56</v>
      </c>
      <c r="E183" s="2" t="s">
        <v>524</v>
      </c>
      <c r="F183" s="2" t="s">
        <v>1920</v>
      </c>
      <c r="G183" s="2" t="n">
        <v>1268</v>
      </c>
      <c r="H183" s="2"/>
      <c r="I183" s="2"/>
      <c r="J183" s="2"/>
      <c r="K183" s="2" t="s">
        <v>692</v>
      </c>
      <c r="L183" s="2" t="s">
        <v>2331</v>
      </c>
      <c r="M183" s="2"/>
      <c r="N183" s="2"/>
      <c r="O183" s="2"/>
      <c r="P183" s="2"/>
      <c r="Q183" s="2"/>
      <c r="R183" s="2"/>
    </row>
    <row r="184" customFormat="false" ht="46.25" hidden="false" customHeight="false" outlineLevel="0" collapsed="false">
      <c r="A184" s="2" t="s">
        <v>1923</v>
      </c>
      <c r="B184" s="2" t="s">
        <v>2340</v>
      </c>
      <c r="C184" s="2" t="s">
        <v>2300</v>
      </c>
      <c r="D184" s="2" t="s">
        <v>56</v>
      </c>
      <c r="E184" s="2" t="s">
        <v>526</v>
      </c>
      <c r="F184" s="2" t="s">
        <v>1924</v>
      </c>
      <c r="G184" s="2" t="n">
        <v>1246</v>
      </c>
      <c r="H184" s="2"/>
      <c r="I184" s="2"/>
      <c r="J184" s="2"/>
      <c r="K184" s="2" t="s">
        <v>692</v>
      </c>
      <c r="L184" s="2" t="s">
        <v>2331</v>
      </c>
      <c r="M184" s="2"/>
      <c r="N184" s="2"/>
      <c r="O184" s="2"/>
      <c r="P184" s="2"/>
      <c r="Q184" s="2"/>
      <c r="R184" s="2"/>
    </row>
    <row r="185" customFormat="false" ht="46.25" hidden="false" customHeight="false" outlineLevel="0" collapsed="false">
      <c r="A185" s="2" t="s">
        <v>1927</v>
      </c>
      <c r="B185" s="2" t="s">
        <v>2340</v>
      </c>
      <c r="C185" s="2" t="s">
        <v>2300</v>
      </c>
      <c r="D185" s="2" t="s">
        <v>56</v>
      </c>
      <c r="E185" s="2" t="s">
        <v>528</v>
      </c>
      <c r="F185" s="2" t="s">
        <v>1928</v>
      </c>
      <c r="G185" s="2" t="n">
        <v>1286</v>
      </c>
      <c r="H185" s="2"/>
      <c r="I185" s="2"/>
      <c r="J185" s="2"/>
      <c r="K185" s="2" t="s">
        <v>692</v>
      </c>
      <c r="L185" s="2" t="s">
        <v>2331</v>
      </c>
      <c r="M185" s="2"/>
      <c r="N185" s="2"/>
      <c r="O185" s="2"/>
      <c r="P185" s="2"/>
      <c r="Q185" s="2"/>
      <c r="R185" s="2"/>
    </row>
    <row r="186" customFormat="false" ht="46.25" hidden="false" customHeight="false" outlineLevel="0" collapsed="false">
      <c r="A186" s="2" t="s">
        <v>1710</v>
      </c>
      <c r="B186" s="2" t="s">
        <v>2340</v>
      </c>
      <c r="C186" s="2" t="s">
        <v>2300</v>
      </c>
      <c r="D186" s="2" t="s">
        <v>56</v>
      </c>
      <c r="E186" s="2" t="s">
        <v>530</v>
      </c>
      <c r="F186" s="2" t="s">
        <v>1931</v>
      </c>
      <c r="G186" s="2" t="n">
        <v>1289</v>
      </c>
      <c r="H186" s="2"/>
      <c r="I186" s="2"/>
      <c r="J186" s="2"/>
      <c r="K186" s="2" t="s">
        <v>692</v>
      </c>
      <c r="L186" s="2" t="s">
        <v>2331</v>
      </c>
      <c r="M186" s="2"/>
      <c r="N186" s="2"/>
      <c r="O186" s="2"/>
      <c r="P186" s="2"/>
      <c r="Q186" s="2"/>
      <c r="R186" s="2"/>
    </row>
    <row r="187" customFormat="false" ht="46.25" hidden="false" customHeight="false" outlineLevel="0" collapsed="false">
      <c r="A187" s="2" t="s">
        <v>1934</v>
      </c>
      <c r="B187" s="2" t="s">
        <v>2340</v>
      </c>
      <c r="C187" s="2" t="s">
        <v>2300</v>
      </c>
      <c r="D187" s="2" t="s">
        <v>56</v>
      </c>
      <c r="E187" s="2" t="s">
        <v>532</v>
      </c>
      <c r="F187" s="2" t="s">
        <v>1935</v>
      </c>
      <c r="G187" s="2" t="n">
        <v>1253</v>
      </c>
      <c r="H187" s="2"/>
      <c r="I187" s="2"/>
      <c r="J187" s="2"/>
      <c r="K187" s="2" t="s">
        <v>692</v>
      </c>
      <c r="L187" s="2" t="s">
        <v>2331</v>
      </c>
      <c r="M187" s="2"/>
      <c r="N187" s="2"/>
      <c r="O187" s="2"/>
      <c r="P187" s="2"/>
      <c r="Q187" s="2"/>
      <c r="R187" s="2"/>
    </row>
    <row r="188" customFormat="false" ht="46.25" hidden="false" customHeight="false" outlineLevel="0" collapsed="false">
      <c r="A188" s="2" t="s">
        <v>1938</v>
      </c>
      <c r="B188" s="2" t="s">
        <v>2340</v>
      </c>
      <c r="C188" s="2" t="s">
        <v>2300</v>
      </c>
      <c r="D188" s="2" t="s">
        <v>56</v>
      </c>
      <c r="E188" s="2" t="s">
        <v>534</v>
      </c>
      <c r="F188" s="2" t="s">
        <v>1939</v>
      </c>
      <c r="G188" s="2" t="n">
        <v>1252</v>
      </c>
      <c r="H188" s="2"/>
      <c r="I188" s="2"/>
      <c r="J188" s="2"/>
      <c r="K188" s="2" t="s">
        <v>692</v>
      </c>
      <c r="L188" s="2" t="s">
        <v>2331</v>
      </c>
      <c r="M188" s="2"/>
      <c r="N188" s="2"/>
      <c r="O188" s="2"/>
      <c r="P188" s="2"/>
      <c r="Q188" s="2"/>
      <c r="R188" s="2"/>
    </row>
    <row r="189" customFormat="false" ht="46.25" hidden="false" customHeight="false" outlineLevel="0" collapsed="false">
      <c r="A189" s="2" t="s">
        <v>1942</v>
      </c>
      <c r="B189" s="2" t="s">
        <v>2340</v>
      </c>
      <c r="C189" s="2" t="s">
        <v>2300</v>
      </c>
      <c r="D189" s="2" t="s">
        <v>56</v>
      </c>
      <c r="E189" s="2" t="s">
        <v>536</v>
      </c>
      <c r="F189" s="2" t="s">
        <v>1943</v>
      </c>
      <c r="G189" s="2" t="n">
        <v>1241</v>
      </c>
      <c r="H189" s="2"/>
      <c r="I189" s="2"/>
      <c r="J189" s="2"/>
      <c r="K189" s="2" t="s">
        <v>692</v>
      </c>
      <c r="L189" s="2" t="s">
        <v>2331</v>
      </c>
      <c r="M189" s="2"/>
      <c r="N189" s="2"/>
      <c r="O189" s="2"/>
      <c r="P189" s="2"/>
      <c r="Q189" s="2"/>
      <c r="R189" s="2"/>
    </row>
    <row r="190" customFormat="false" ht="46.25" hidden="false" customHeight="false" outlineLevel="0" collapsed="false">
      <c r="A190" s="2" t="s">
        <v>1722</v>
      </c>
      <c r="B190" s="2" t="s">
        <v>2340</v>
      </c>
      <c r="C190" s="2" t="s">
        <v>2300</v>
      </c>
      <c r="D190" s="2" t="s">
        <v>56</v>
      </c>
      <c r="E190" s="2" t="s">
        <v>538</v>
      </c>
      <c r="F190" s="2" t="s">
        <v>1946</v>
      </c>
      <c r="G190" s="2" t="n">
        <v>1380</v>
      </c>
      <c r="H190" s="2"/>
      <c r="I190" s="2"/>
      <c r="J190" s="2"/>
      <c r="K190" s="2" t="s">
        <v>692</v>
      </c>
      <c r="L190" s="2" t="s">
        <v>2331</v>
      </c>
      <c r="M190" s="2"/>
      <c r="N190" s="2"/>
      <c r="O190" s="2"/>
      <c r="P190" s="2"/>
      <c r="Q190" s="2"/>
      <c r="R190" s="2"/>
    </row>
    <row r="191" customFormat="false" ht="46.25" hidden="false" customHeight="false" outlineLevel="0" collapsed="false">
      <c r="A191" s="2" t="s">
        <v>1380</v>
      </c>
      <c r="B191" s="2" t="s">
        <v>2340</v>
      </c>
      <c r="C191" s="2" t="s">
        <v>2300</v>
      </c>
      <c r="D191" s="2" t="s">
        <v>56</v>
      </c>
      <c r="E191" s="2" t="s">
        <v>285</v>
      </c>
      <c r="F191" s="2" t="s">
        <v>1949</v>
      </c>
      <c r="G191" s="2" t="n">
        <v>1260</v>
      </c>
      <c r="H191" s="2"/>
      <c r="I191" s="2"/>
      <c r="J191" s="2"/>
      <c r="K191" s="2" t="s">
        <v>692</v>
      </c>
      <c r="L191" s="2" t="s">
        <v>2331</v>
      </c>
      <c r="M191" s="2"/>
      <c r="N191" s="2"/>
      <c r="O191" s="2"/>
      <c r="P191" s="2"/>
      <c r="Q191" s="2"/>
      <c r="R191" s="2"/>
    </row>
    <row r="192" customFormat="false" ht="46.25" hidden="false" customHeight="false" outlineLevel="0" collapsed="false">
      <c r="A192" s="2" t="s">
        <v>1384</v>
      </c>
      <c r="B192" s="2" t="s">
        <v>2340</v>
      </c>
      <c r="C192" s="2" t="s">
        <v>2300</v>
      </c>
      <c r="D192" s="2" t="s">
        <v>56</v>
      </c>
      <c r="E192" s="2" t="s">
        <v>287</v>
      </c>
      <c r="F192" s="2" t="s">
        <v>1952</v>
      </c>
      <c r="G192" s="2" t="n">
        <v>1302</v>
      </c>
      <c r="H192" s="2"/>
      <c r="I192" s="2"/>
      <c r="J192" s="2"/>
      <c r="K192" s="2" t="s">
        <v>692</v>
      </c>
      <c r="L192" s="2" t="s">
        <v>2331</v>
      </c>
      <c r="M192" s="2"/>
      <c r="N192" s="2"/>
      <c r="O192" s="2"/>
      <c r="P192" s="2"/>
      <c r="Q192" s="2"/>
      <c r="R192" s="2"/>
    </row>
    <row r="193" customFormat="false" ht="46.25" hidden="false" customHeight="false" outlineLevel="0" collapsed="false">
      <c r="A193" s="2" t="s">
        <v>1955</v>
      </c>
      <c r="B193" s="2" t="s">
        <v>2340</v>
      </c>
      <c r="C193" s="2" t="s">
        <v>2300</v>
      </c>
      <c r="D193" s="2" t="s">
        <v>56</v>
      </c>
      <c r="E193" s="2" t="s">
        <v>542</v>
      </c>
      <c r="F193" s="2" t="s">
        <v>1956</v>
      </c>
      <c r="G193" s="2" t="n">
        <v>1268</v>
      </c>
      <c r="H193" s="2"/>
      <c r="I193" s="2"/>
      <c r="J193" s="2"/>
      <c r="K193" s="2" t="s">
        <v>692</v>
      </c>
      <c r="L193" s="2" t="s">
        <v>2331</v>
      </c>
      <c r="M193" s="2"/>
      <c r="N193" s="2"/>
      <c r="O193" s="2"/>
      <c r="P193" s="2"/>
      <c r="Q193" s="2"/>
      <c r="R193" s="2"/>
    </row>
    <row r="194" customFormat="false" ht="46.25" hidden="false" customHeight="false" outlineLevel="0" collapsed="false">
      <c r="A194" s="2" t="s">
        <v>1959</v>
      </c>
      <c r="B194" s="2" t="s">
        <v>2340</v>
      </c>
      <c r="C194" s="2" t="s">
        <v>2300</v>
      </c>
      <c r="D194" s="2" t="s">
        <v>56</v>
      </c>
      <c r="E194" s="2" t="s">
        <v>544</v>
      </c>
      <c r="F194" s="2" t="s">
        <v>1960</v>
      </c>
      <c r="G194" s="2" t="n">
        <v>1274</v>
      </c>
      <c r="H194" s="2"/>
      <c r="I194" s="2"/>
      <c r="J194" s="2"/>
      <c r="K194" s="2" t="s">
        <v>692</v>
      </c>
      <c r="L194" s="2" t="s">
        <v>2331</v>
      </c>
      <c r="M194" s="2"/>
      <c r="N194" s="2"/>
      <c r="O194" s="2"/>
      <c r="P194" s="2"/>
      <c r="Q194" s="2"/>
      <c r="R194" s="2"/>
    </row>
    <row r="195" customFormat="false" ht="46.25" hidden="false" customHeight="false" outlineLevel="0" collapsed="false">
      <c r="A195" s="2" t="s">
        <v>1388</v>
      </c>
      <c r="B195" s="2" t="s">
        <v>2340</v>
      </c>
      <c r="C195" s="2" t="s">
        <v>2300</v>
      </c>
      <c r="D195" s="2" t="s">
        <v>56</v>
      </c>
      <c r="E195" s="2" t="s">
        <v>289</v>
      </c>
      <c r="F195" s="2" t="s">
        <v>1964</v>
      </c>
      <c r="G195" s="2" t="n">
        <v>1346</v>
      </c>
      <c r="H195" s="2"/>
      <c r="I195" s="2"/>
      <c r="J195" s="2"/>
      <c r="K195" s="2" t="s">
        <v>692</v>
      </c>
      <c r="L195" s="2" t="s">
        <v>2331</v>
      </c>
      <c r="M195" s="2"/>
      <c r="N195" s="2"/>
      <c r="O195" s="2"/>
      <c r="P195" s="2"/>
      <c r="Q195" s="2"/>
      <c r="R195" s="2"/>
    </row>
    <row r="196" customFormat="false" ht="46.25" hidden="false" customHeight="false" outlineLevel="0" collapsed="false">
      <c r="A196" s="2" t="s">
        <v>1392</v>
      </c>
      <c r="B196" s="2" t="s">
        <v>2340</v>
      </c>
      <c r="C196" s="2" t="s">
        <v>2300</v>
      </c>
      <c r="D196" s="2" t="s">
        <v>56</v>
      </c>
      <c r="E196" s="2" t="s">
        <v>291</v>
      </c>
      <c r="F196" s="2" t="s">
        <v>1967</v>
      </c>
      <c r="G196" s="2" t="n">
        <v>1329</v>
      </c>
      <c r="H196" s="2"/>
      <c r="I196" s="2"/>
      <c r="J196" s="2"/>
      <c r="K196" s="2" t="s">
        <v>692</v>
      </c>
      <c r="L196" s="2" t="s">
        <v>2331</v>
      </c>
      <c r="M196" s="2"/>
      <c r="N196" s="2"/>
      <c r="O196" s="2"/>
      <c r="P196" s="2"/>
      <c r="Q196" s="2"/>
      <c r="R196" s="2"/>
    </row>
    <row r="197" customFormat="false" ht="46.25" hidden="false" customHeight="false" outlineLevel="0" collapsed="false">
      <c r="A197" s="2" t="s">
        <v>1412</v>
      </c>
      <c r="B197" s="2" t="s">
        <v>2340</v>
      </c>
      <c r="C197" s="2" t="s">
        <v>2300</v>
      </c>
      <c r="D197" s="2" t="s">
        <v>56</v>
      </c>
      <c r="E197" s="2" t="s">
        <v>301</v>
      </c>
      <c r="F197" s="2" t="s">
        <v>1970</v>
      </c>
      <c r="G197" s="2" t="n">
        <v>1728</v>
      </c>
      <c r="H197" s="2"/>
      <c r="I197" s="2"/>
      <c r="J197" s="2"/>
      <c r="K197" s="2" t="s">
        <v>692</v>
      </c>
      <c r="L197" s="2" t="s">
        <v>2331</v>
      </c>
      <c r="M197" s="2"/>
      <c r="N197" s="2"/>
      <c r="O197" s="2"/>
      <c r="P197" s="2"/>
      <c r="Q197" s="2"/>
      <c r="R197" s="2"/>
    </row>
    <row r="198" customFormat="false" ht="46.25" hidden="false" customHeight="false" outlineLevel="0" collapsed="false">
      <c r="A198" s="2" t="s">
        <v>1973</v>
      </c>
      <c r="B198" s="2" t="s">
        <v>2340</v>
      </c>
      <c r="C198" s="2" t="s">
        <v>2300</v>
      </c>
      <c r="D198" s="2" t="s">
        <v>56</v>
      </c>
      <c r="E198" s="2" t="s">
        <v>549</v>
      </c>
      <c r="F198" s="2" t="s">
        <v>1974</v>
      </c>
      <c r="G198" s="2" t="n">
        <v>1385</v>
      </c>
      <c r="H198" s="2"/>
      <c r="I198" s="2"/>
      <c r="J198" s="2"/>
      <c r="K198" s="2" t="s">
        <v>692</v>
      </c>
      <c r="L198" s="2" t="s">
        <v>2331</v>
      </c>
      <c r="M198" s="2"/>
      <c r="N198" s="2"/>
      <c r="O198" s="2"/>
      <c r="P198" s="2"/>
      <c r="Q198" s="2"/>
      <c r="R198" s="2"/>
    </row>
    <row r="199" customFormat="false" ht="46.25" hidden="false" customHeight="false" outlineLevel="0" collapsed="false">
      <c r="A199" s="2" t="s">
        <v>1428</v>
      </c>
      <c r="B199" s="2" t="s">
        <v>2340</v>
      </c>
      <c r="C199" s="2" t="s">
        <v>2300</v>
      </c>
      <c r="D199" s="2" t="s">
        <v>56</v>
      </c>
      <c r="E199" s="2" t="s">
        <v>309</v>
      </c>
      <c r="F199" s="2" t="s">
        <v>1977</v>
      </c>
      <c r="G199" s="2" t="n">
        <v>1435</v>
      </c>
      <c r="H199" s="2"/>
      <c r="I199" s="2"/>
      <c r="J199" s="2"/>
      <c r="K199" s="2" t="s">
        <v>692</v>
      </c>
      <c r="L199" s="2" t="s">
        <v>2331</v>
      </c>
      <c r="M199" s="2"/>
      <c r="N199" s="2"/>
      <c r="O199" s="2"/>
      <c r="P199" s="2"/>
      <c r="Q199" s="2"/>
      <c r="R199" s="2"/>
    </row>
    <row r="200" customFormat="false" ht="46.25" hidden="false" customHeight="false" outlineLevel="0" collapsed="false">
      <c r="A200" s="2" t="s">
        <v>1648</v>
      </c>
      <c r="B200" s="2" t="s">
        <v>2340</v>
      </c>
      <c r="C200" s="2" t="s">
        <v>2300</v>
      </c>
      <c r="D200" s="2" t="s">
        <v>56</v>
      </c>
      <c r="E200" s="2" t="s">
        <v>410</v>
      </c>
      <c r="F200" s="2" t="s">
        <v>1980</v>
      </c>
      <c r="G200" s="2" t="n">
        <v>1436</v>
      </c>
      <c r="H200" s="2"/>
      <c r="I200" s="2"/>
      <c r="J200" s="2"/>
      <c r="K200" s="2" t="s">
        <v>692</v>
      </c>
      <c r="L200" s="2" t="s">
        <v>2331</v>
      </c>
      <c r="M200" s="2"/>
      <c r="N200" s="2"/>
      <c r="O200" s="2"/>
      <c r="P200" s="2"/>
      <c r="Q200" s="2"/>
      <c r="R200" s="2"/>
    </row>
    <row r="201" customFormat="false" ht="23.85" hidden="false" customHeight="false" outlineLevel="0" collapsed="false">
      <c r="A201" s="2" t="s">
        <v>1983</v>
      </c>
      <c r="B201" s="2"/>
      <c r="C201" s="2" t="s">
        <v>2300</v>
      </c>
      <c r="D201" s="2" t="s">
        <v>56</v>
      </c>
      <c r="E201" s="2" t="s">
        <v>433</v>
      </c>
      <c r="F201" s="2" t="s">
        <v>2341</v>
      </c>
      <c r="G201" s="2"/>
      <c r="H201" s="2"/>
      <c r="I201" s="2" t="s">
        <v>47</v>
      </c>
      <c r="J201" s="2"/>
      <c r="K201" s="2" t="s">
        <v>2342</v>
      </c>
      <c r="L201" s="2"/>
      <c r="M201" s="2" t="s">
        <v>2343</v>
      </c>
      <c r="N201" s="2" t="s">
        <v>2344</v>
      </c>
      <c r="O201" s="2" t="s">
        <v>2345</v>
      </c>
      <c r="P201" s="2" t="s">
        <v>461</v>
      </c>
      <c r="Q201" s="2" t="s">
        <v>1768</v>
      </c>
      <c r="R201" s="2" t="s">
        <v>2346</v>
      </c>
    </row>
    <row r="202" customFormat="false" ht="23.85" hidden="false" customHeight="false" outlineLevel="0" collapsed="false">
      <c r="A202" s="2" t="s">
        <v>1990</v>
      </c>
      <c r="B202" s="2"/>
      <c r="C202" s="2" t="s">
        <v>2300</v>
      </c>
      <c r="D202" s="2" t="s">
        <v>56</v>
      </c>
      <c r="E202" s="2" t="s">
        <v>301</v>
      </c>
      <c r="F202" s="2" t="s">
        <v>2341</v>
      </c>
      <c r="G202" s="2"/>
      <c r="H202" s="2"/>
      <c r="I202" s="2" t="s">
        <v>47</v>
      </c>
      <c r="J202" s="2"/>
      <c r="K202" s="2" t="s">
        <v>2342</v>
      </c>
      <c r="L202" s="2"/>
      <c r="M202" s="2" t="s">
        <v>2343</v>
      </c>
      <c r="N202" s="2" t="s">
        <v>2344</v>
      </c>
      <c r="O202" s="2" t="s">
        <v>2345</v>
      </c>
      <c r="P202" s="2" t="s">
        <v>461</v>
      </c>
      <c r="Q202" s="2" t="s">
        <v>1768</v>
      </c>
      <c r="R202" s="2" t="s">
        <v>2346</v>
      </c>
    </row>
    <row r="203" customFormat="false" ht="23.85" hidden="false" customHeight="false" outlineLevel="0" collapsed="false">
      <c r="A203" s="2" t="s">
        <v>1993</v>
      </c>
      <c r="B203" s="2"/>
      <c r="C203" s="2" t="s">
        <v>2300</v>
      </c>
      <c r="D203" s="2" t="s">
        <v>56</v>
      </c>
      <c r="E203" s="2" t="s">
        <v>555</v>
      </c>
      <c r="F203" s="2" t="s">
        <v>2341</v>
      </c>
      <c r="G203" s="2"/>
      <c r="H203" s="2"/>
      <c r="I203" s="2" t="s">
        <v>40</v>
      </c>
      <c r="J203" s="2"/>
      <c r="K203" s="2" t="s">
        <v>2342</v>
      </c>
      <c r="L203" s="2"/>
      <c r="M203" s="2" t="s">
        <v>2343</v>
      </c>
      <c r="N203" s="2" t="s">
        <v>2344</v>
      </c>
      <c r="O203" s="2" t="s">
        <v>2347</v>
      </c>
      <c r="P203" s="2" t="s">
        <v>2348</v>
      </c>
      <c r="Q203" s="2" t="s">
        <v>1768</v>
      </c>
      <c r="R203" s="2" t="s">
        <v>2346</v>
      </c>
    </row>
    <row r="204" customFormat="false" ht="23.85" hidden="false" customHeight="false" outlineLevel="0" collapsed="false">
      <c r="A204" s="2" t="s">
        <v>1997</v>
      </c>
      <c r="B204" s="2"/>
      <c r="C204" s="2" t="s">
        <v>2300</v>
      </c>
      <c r="D204" s="2" t="s">
        <v>56</v>
      </c>
      <c r="E204" s="2" t="s">
        <v>557</v>
      </c>
      <c r="F204" s="2" t="s">
        <v>2341</v>
      </c>
      <c r="G204" s="2"/>
      <c r="H204" s="2"/>
      <c r="I204" s="2" t="s">
        <v>40</v>
      </c>
      <c r="J204" s="2"/>
      <c r="K204" s="2" t="s">
        <v>2342</v>
      </c>
      <c r="L204" s="2"/>
      <c r="M204" s="2" t="s">
        <v>2343</v>
      </c>
      <c r="N204" s="2" t="s">
        <v>2344</v>
      </c>
      <c r="O204" s="2" t="s">
        <v>2347</v>
      </c>
      <c r="P204" s="2" t="s">
        <v>2348</v>
      </c>
      <c r="Q204" s="2" t="s">
        <v>1768</v>
      </c>
      <c r="R204" s="2" t="s">
        <v>2346</v>
      </c>
    </row>
    <row r="205" customFormat="false" ht="23.85" hidden="false" customHeight="false" outlineLevel="0" collapsed="false">
      <c r="A205" s="2" t="s">
        <v>2001</v>
      </c>
      <c r="B205" s="2"/>
      <c r="C205" s="2" t="s">
        <v>2300</v>
      </c>
      <c r="D205" s="2" t="s">
        <v>56</v>
      </c>
      <c r="E205" s="2" t="s">
        <v>559</v>
      </c>
      <c r="F205" s="2" t="s">
        <v>2341</v>
      </c>
      <c r="G205" s="2"/>
      <c r="H205" s="2"/>
      <c r="I205" s="2" t="s">
        <v>40</v>
      </c>
      <c r="J205" s="2"/>
      <c r="K205" s="2" t="s">
        <v>2342</v>
      </c>
      <c r="L205" s="2"/>
      <c r="M205" s="2" t="s">
        <v>2343</v>
      </c>
      <c r="N205" s="2" t="s">
        <v>2344</v>
      </c>
      <c r="O205" s="2" t="s">
        <v>2347</v>
      </c>
      <c r="P205" s="2" t="s">
        <v>2348</v>
      </c>
      <c r="Q205" s="2" t="s">
        <v>1768</v>
      </c>
      <c r="R205" s="2" t="s">
        <v>2346</v>
      </c>
    </row>
    <row r="206" customFormat="false" ht="23.85" hidden="false" customHeight="false" outlineLevel="0" collapsed="false">
      <c r="A206" s="2" t="s">
        <v>2005</v>
      </c>
      <c r="B206" s="2"/>
      <c r="C206" s="2" t="s">
        <v>2300</v>
      </c>
      <c r="D206" s="2" t="s">
        <v>56</v>
      </c>
      <c r="E206" s="2" t="s">
        <v>561</v>
      </c>
      <c r="F206" s="2" t="s">
        <v>2341</v>
      </c>
      <c r="G206" s="2"/>
      <c r="H206" s="2"/>
      <c r="I206" s="2" t="s">
        <v>40</v>
      </c>
      <c r="J206" s="2"/>
      <c r="K206" s="2" t="s">
        <v>2342</v>
      </c>
      <c r="L206" s="2"/>
      <c r="M206" s="2" t="s">
        <v>2343</v>
      </c>
      <c r="N206" s="2" t="s">
        <v>2344</v>
      </c>
      <c r="O206" s="2" t="s">
        <v>2347</v>
      </c>
      <c r="P206" s="2" t="s">
        <v>2348</v>
      </c>
      <c r="Q206" s="2" t="s">
        <v>1768</v>
      </c>
      <c r="R206" s="2" t="s">
        <v>2346</v>
      </c>
    </row>
    <row r="207" customFormat="false" ht="23.85" hidden="false" customHeight="false" outlineLevel="0" collapsed="false">
      <c r="A207" s="2" t="s">
        <v>2009</v>
      </c>
      <c r="B207" s="2"/>
      <c r="C207" s="2" t="s">
        <v>2300</v>
      </c>
      <c r="D207" s="2" t="s">
        <v>56</v>
      </c>
      <c r="E207" s="2" t="s">
        <v>563</v>
      </c>
      <c r="F207" s="2" t="s">
        <v>2341</v>
      </c>
      <c r="G207" s="2"/>
      <c r="H207" s="2"/>
      <c r="I207" s="2" t="s">
        <v>40</v>
      </c>
      <c r="J207" s="2"/>
      <c r="K207" s="2" t="s">
        <v>2342</v>
      </c>
      <c r="L207" s="2"/>
      <c r="M207" s="2" t="s">
        <v>2343</v>
      </c>
      <c r="N207" s="2" t="s">
        <v>2344</v>
      </c>
      <c r="O207" s="2" t="s">
        <v>2347</v>
      </c>
      <c r="P207" s="2" t="s">
        <v>2348</v>
      </c>
      <c r="Q207" s="2" t="s">
        <v>1768</v>
      </c>
      <c r="R207" s="2" t="s">
        <v>2346</v>
      </c>
    </row>
    <row r="208" customFormat="false" ht="23.85" hidden="false" customHeight="false" outlineLevel="0" collapsed="false">
      <c r="A208" s="2" t="s">
        <v>2013</v>
      </c>
      <c r="B208" s="2"/>
      <c r="C208" s="2" t="s">
        <v>2300</v>
      </c>
      <c r="D208" s="2" t="s">
        <v>56</v>
      </c>
      <c r="E208" s="2" t="s">
        <v>565</v>
      </c>
      <c r="F208" s="2" t="s">
        <v>2341</v>
      </c>
      <c r="G208" s="2"/>
      <c r="H208" s="2"/>
      <c r="I208" s="2" t="s">
        <v>40</v>
      </c>
      <c r="J208" s="2"/>
      <c r="K208" s="2" t="s">
        <v>2342</v>
      </c>
      <c r="L208" s="2"/>
      <c r="M208" s="2" t="s">
        <v>2343</v>
      </c>
      <c r="N208" s="2" t="s">
        <v>2344</v>
      </c>
      <c r="O208" s="2" t="s">
        <v>2347</v>
      </c>
      <c r="P208" s="2" t="s">
        <v>2348</v>
      </c>
      <c r="Q208" s="2" t="s">
        <v>1768</v>
      </c>
      <c r="R208" s="2" t="s">
        <v>2346</v>
      </c>
    </row>
    <row r="209" customFormat="false" ht="23.85" hidden="false" customHeight="false" outlineLevel="0" collapsed="false">
      <c r="A209" s="2" t="s">
        <v>2017</v>
      </c>
      <c r="B209" s="2"/>
      <c r="C209" s="2" t="s">
        <v>2300</v>
      </c>
      <c r="D209" s="2" t="s">
        <v>56</v>
      </c>
      <c r="E209" s="2" t="s">
        <v>271</v>
      </c>
      <c r="F209" s="2" t="s">
        <v>2341</v>
      </c>
      <c r="G209" s="2"/>
      <c r="H209" s="2"/>
      <c r="I209" s="2" t="s">
        <v>40</v>
      </c>
      <c r="J209" s="2"/>
      <c r="K209" s="2" t="s">
        <v>2342</v>
      </c>
      <c r="L209" s="2"/>
      <c r="M209" s="2" t="s">
        <v>2343</v>
      </c>
      <c r="N209" s="2" t="s">
        <v>2344</v>
      </c>
      <c r="O209" s="2" t="s">
        <v>2349</v>
      </c>
      <c r="P209" s="2" t="s">
        <v>461</v>
      </c>
      <c r="Q209" s="2"/>
      <c r="R209" s="2" t="s">
        <v>2346</v>
      </c>
    </row>
    <row r="210" customFormat="false" ht="23.85" hidden="false" customHeight="false" outlineLevel="0" collapsed="false">
      <c r="A210" s="2" t="s">
        <v>2020</v>
      </c>
      <c r="B210" s="2"/>
      <c r="C210" s="2" t="s">
        <v>2300</v>
      </c>
      <c r="D210" s="2" t="s">
        <v>56</v>
      </c>
      <c r="E210" s="2" t="s">
        <v>251</v>
      </c>
      <c r="F210" s="2" t="s">
        <v>2341</v>
      </c>
      <c r="G210" s="2"/>
      <c r="H210" s="2"/>
      <c r="I210" s="2" t="s">
        <v>40</v>
      </c>
      <c r="J210" s="2"/>
      <c r="K210" s="2" t="s">
        <v>2342</v>
      </c>
      <c r="L210" s="2"/>
      <c r="M210" s="2" t="s">
        <v>2343</v>
      </c>
      <c r="N210" s="2" t="s">
        <v>2344</v>
      </c>
      <c r="O210" s="2" t="s">
        <v>2350</v>
      </c>
      <c r="P210" s="2" t="s">
        <v>2348</v>
      </c>
      <c r="Q210" s="2" t="s">
        <v>1768</v>
      </c>
      <c r="R210" s="2" t="s">
        <v>2346</v>
      </c>
    </row>
    <row r="211" customFormat="false" ht="23.85" hidden="false" customHeight="false" outlineLevel="0" collapsed="false">
      <c r="A211" s="2" t="s">
        <v>2023</v>
      </c>
      <c r="B211" s="2"/>
      <c r="C211" s="2" t="s">
        <v>2300</v>
      </c>
      <c r="D211" s="2" t="s">
        <v>56</v>
      </c>
      <c r="E211" s="2" t="s">
        <v>413</v>
      </c>
      <c r="F211" s="2" t="s">
        <v>2341</v>
      </c>
      <c r="G211" s="2"/>
      <c r="H211" s="2"/>
      <c r="I211" s="2" t="s">
        <v>47</v>
      </c>
      <c r="J211" s="2"/>
      <c r="K211" s="2" t="s">
        <v>2342</v>
      </c>
      <c r="L211" s="2"/>
      <c r="M211" s="2" t="s">
        <v>2343</v>
      </c>
      <c r="N211" s="2" t="s">
        <v>2344</v>
      </c>
      <c r="O211" s="2" t="s">
        <v>2345</v>
      </c>
      <c r="P211" s="2" t="s">
        <v>461</v>
      </c>
      <c r="Q211" s="2"/>
      <c r="R211" s="2" t="s">
        <v>2346</v>
      </c>
    </row>
    <row r="212" customFormat="false" ht="23.85" hidden="false" customHeight="false" outlineLevel="0" collapsed="false">
      <c r="A212" s="2" t="s">
        <v>2027</v>
      </c>
      <c r="B212" s="2"/>
      <c r="C212" s="2" t="s">
        <v>2300</v>
      </c>
      <c r="D212" s="2" t="s">
        <v>56</v>
      </c>
      <c r="E212" s="2" t="s">
        <v>570</v>
      </c>
      <c r="F212" s="2" t="s">
        <v>2341</v>
      </c>
      <c r="G212" s="2"/>
      <c r="H212" s="2"/>
      <c r="I212" s="2" t="s">
        <v>47</v>
      </c>
      <c r="J212" s="2"/>
      <c r="K212" s="2" t="s">
        <v>2342</v>
      </c>
      <c r="L212" s="2"/>
      <c r="M212" s="2" t="s">
        <v>2343</v>
      </c>
      <c r="N212" s="2" t="s">
        <v>2344</v>
      </c>
      <c r="O212" s="2" t="s">
        <v>2349</v>
      </c>
      <c r="P212" s="2" t="s">
        <v>461</v>
      </c>
      <c r="Q212" s="2"/>
      <c r="R212" s="2" t="s">
        <v>2346</v>
      </c>
    </row>
    <row r="213" customFormat="false" ht="23.85" hidden="false" customHeight="false" outlineLevel="0" collapsed="false">
      <c r="A213" s="2" t="s">
        <v>2032</v>
      </c>
      <c r="B213" s="2"/>
      <c r="C213" s="2" t="s">
        <v>2300</v>
      </c>
      <c r="D213" s="2" t="s">
        <v>56</v>
      </c>
      <c r="E213" s="2" t="s">
        <v>267</v>
      </c>
      <c r="F213" s="2" t="s">
        <v>2341</v>
      </c>
      <c r="G213" s="2"/>
      <c r="H213" s="2"/>
      <c r="I213" s="2" t="s">
        <v>47</v>
      </c>
      <c r="J213" s="2"/>
      <c r="K213" s="2" t="s">
        <v>2342</v>
      </c>
      <c r="L213" s="2"/>
      <c r="M213" s="2" t="s">
        <v>2343</v>
      </c>
      <c r="N213" s="2" t="s">
        <v>2344</v>
      </c>
      <c r="O213" s="2" t="s">
        <v>2349</v>
      </c>
      <c r="P213" s="2" t="s">
        <v>2348</v>
      </c>
      <c r="Q213" s="2" t="s">
        <v>1768</v>
      </c>
      <c r="R213" s="2" t="s">
        <v>2346</v>
      </c>
    </row>
    <row r="214" customFormat="false" ht="23.85" hidden="false" customHeight="false" outlineLevel="0" collapsed="false">
      <c r="A214" s="2" t="s">
        <v>2035</v>
      </c>
      <c r="B214" s="2"/>
      <c r="C214" s="2" t="s">
        <v>2300</v>
      </c>
      <c r="D214" s="2" t="s">
        <v>56</v>
      </c>
      <c r="E214" s="2" t="s">
        <v>410</v>
      </c>
      <c r="F214" s="2" t="s">
        <v>2341</v>
      </c>
      <c r="G214" s="2"/>
      <c r="H214" s="2"/>
      <c r="I214" s="2" t="s">
        <v>47</v>
      </c>
      <c r="J214" s="2"/>
      <c r="K214" s="2" t="s">
        <v>2342</v>
      </c>
      <c r="L214" s="2"/>
      <c r="M214" s="2" t="s">
        <v>2343</v>
      </c>
      <c r="N214" s="2" t="s">
        <v>2344</v>
      </c>
      <c r="O214" s="2" t="s">
        <v>2345</v>
      </c>
      <c r="P214" s="2" t="s">
        <v>461</v>
      </c>
      <c r="Q214" s="2" t="s">
        <v>1768</v>
      </c>
      <c r="R214" s="2" t="s">
        <v>2346</v>
      </c>
    </row>
    <row r="215" customFormat="false" ht="23.85" hidden="false" customHeight="false" outlineLevel="0" collapsed="false">
      <c r="A215" s="2" t="s">
        <v>2038</v>
      </c>
      <c r="B215" s="2"/>
      <c r="C215" s="2" t="s">
        <v>2300</v>
      </c>
      <c r="D215" s="2" t="s">
        <v>56</v>
      </c>
      <c r="E215" s="2" t="s">
        <v>574</v>
      </c>
      <c r="F215" s="2" t="s">
        <v>2341</v>
      </c>
      <c r="G215" s="2"/>
      <c r="H215" s="2"/>
      <c r="I215" s="2" t="s">
        <v>47</v>
      </c>
      <c r="J215" s="2"/>
      <c r="K215" s="2" t="s">
        <v>2342</v>
      </c>
      <c r="L215" s="2"/>
      <c r="M215" s="2" t="s">
        <v>2343</v>
      </c>
      <c r="N215" s="2" t="s">
        <v>2344</v>
      </c>
      <c r="O215" s="2" t="s">
        <v>2345</v>
      </c>
      <c r="P215" s="2" t="s">
        <v>461</v>
      </c>
      <c r="Q215" s="2" t="s">
        <v>1768</v>
      </c>
      <c r="R215" s="2" t="s">
        <v>2346</v>
      </c>
    </row>
    <row r="216" customFormat="false" ht="23.85" hidden="false" customHeight="false" outlineLevel="0" collapsed="false">
      <c r="A216" s="2" t="s">
        <v>2042</v>
      </c>
      <c r="B216" s="2"/>
      <c r="C216" s="2" t="s">
        <v>2300</v>
      </c>
      <c r="D216" s="2" t="s">
        <v>56</v>
      </c>
      <c r="E216" s="2" t="s">
        <v>249</v>
      </c>
      <c r="F216" s="2" t="s">
        <v>2341</v>
      </c>
      <c r="G216" s="2"/>
      <c r="H216" s="2"/>
      <c r="I216" s="2" t="s">
        <v>47</v>
      </c>
      <c r="J216" s="2"/>
      <c r="K216" s="2" t="s">
        <v>2342</v>
      </c>
      <c r="L216" s="2"/>
      <c r="M216" s="2" t="s">
        <v>2343</v>
      </c>
      <c r="N216" s="2" t="s">
        <v>2344</v>
      </c>
      <c r="O216" s="2" t="s">
        <v>2345</v>
      </c>
      <c r="P216" s="2" t="s">
        <v>461</v>
      </c>
      <c r="Q216" s="2" t="s">
        <v>1768</v>
      </c>
      <c r="R216" s="2" t="s">
        <v>2346</v>
      </c>
    </row>
    <row r="217" customFormat="false" ht="23.85" hidden="false" customHeight="false" outlineLevel="0" collapsed="false">
      <c r="A217" s="2" t="s">
        <v>2045</v>
      </c>
      <c r="B217" s="2"/>
      <c r="C217" s="2" t="s">
        <v>2300</v>
      </c>
      <c r="D217" s="2" t="s">
        <v>56</v>
      </c>
      <c r="E217" s="2" t="s">
        <v>577</v>
      </c>
      <c r="F217" s="2" t="s">
        <v>2341</v>
      </c>
      <c r="G217" s="2"/>
      <c r="H217" s="2"/>
      <c r="I217" s="2" t="s">
        <v>40</v>
      </c>
      <c r="J217" s="2"/>
      <c r="K217" s="2" t="s">
        <v>2342</v>
      </c>
      <c r="L217" s="2"/>
      <c r="M217" s="2" t="s">
        <v>2343</v>
      </c>
      <c r="N217" s="2" t="s">
        <v>2344</v>
      </c>
      <c r="O217" s="2" t="s">
        <v>2350</v>
      </c>
      <c r="P217" s="2" t="s">
        <v>461</v>
      </c>
      <c r="Q217" s="2"/>
      <c r="R217" s="2" t="s">
        <v>2346</v>
      </c>
    </row>
    <row r="218" customFormat="false" ht="23.85" hidden="false" customHeight="false" outlineLevel="0" collapsed="false">
      <c r="A218" s="2" t="s">
        <v>2050</v>
      </c>
      <c r="B218" s="2"/>
      <c r="C218" s="2" t="s">
        <v>2300</v>
      </c>
      <c r="D218" s="2" t="s">
        <v>56</v>
      </c>
      <c r="E218" s="2" t="s">
        <v>289</v>
      </c>
      <c r="F218" s="2" t="s">
        <v>2341</v>
      </c>
      <c r="G218" s="2"/>
      <c r="H218" s="2"/>
      <c r="I218" s="2" t="s">
        <v>47</v>
      </c>
      <c r="J218" s="2"/>
      <c r="K218" s="2" t="s">
        <v>2342</v>
      </c>
      <c r="L218" s="2"/>
      <c r="M218" s="2" t="s">
        <v>2343</v>
      </c>
      <c r="N218" s="2" t="s">
        <v>2344</v>
      </c>
      <c r="O218" s="2" t="s">
        <v>2345</v>
      </c>
      <c r="P218" s="2" t="s">
        <v>461</v>
      </c>
      <c r="Q218" s="2"/>
      <c r="R218" s="2" t="s">
        <v>2346</v>
      </c>
    </row>
    <row r="219" customFormat="false" ht="23.85" hidden="false" customHeight="false" outlineLevel="0" collapsed="false">
      <c r="A219" s="2" t="s">
        <v>2053</v>
      </c>
      <c r="B219" s="2"/>
      <c r="C219" s="2" t="s">
        <v>2300</v>
      </c>
      <c r="D219" s="2" t="s">
        <v>56</v>
      </c>
      <c r="E219" s="2" t="s">
        <v>219</v>
      </c>
      <c r="F219" s="2" t="s">
        <v>2341</v>
      </c>
      <c r="G219" s="2"/>
      <c r="H219" s="2"/>
      <c r="I219" s="2" t="s">
        <v>47</v>
      </c>
      <c r="J219" s="2"/>
      <c r="K219" s="2" t="s">
        <v>2342</v>
      </c>
      <c r="L219" s="2"/>
      <c r="M219" s="2" t="s">
        <v>2343</v>
      </c>
      <c r="N219" s="2" t="s">
        <v>2344</v>
      </c>
      <c r="O219" s="2" t="s">
        <v>2345</v>
      </c>
      <c r="P219" s="2" t="s">
        <v>461</v>
      </c>
      <c r="Q219" s="2" t="s">
        <v>1768</v>
      </c>
      <c r="R219" s="2" t="s">
        <v>2346</v>
      </c>
    </row>
    <row r="220" customFormat="false" ht="23.85" hidden="false" customHeight="false" outlineLevel="0" collapsed="false">
      <c r="A220" s="2" t="s">
        <v>2057</v>
      </c>
      <c r="B220" s="2"/>
      <c r="C220" s="2" t="s">
        <v>2300</v>
      </c>
      <c r="D220" s="2" t="s">
        <v>56</v>
      </c>
      <c r="E220" s="2" t="s">
        <v>581</v>
      </c>
      <c r="F220" s="2" t="s">
        <v>2341</v>
      </c>
      <c r="G220" s="2"/>
      <c r="H220" s="2"/>
      <c r="I220" s="2" t="s">
        <v>47</v>
      </c>
      <c r="J220" s="2"/>
      <c r="K220" s="2" t="s">
        <v>2342</v>
      </c>
      <c r="L220" s="2"/>
      <c r="M220" s="2" t="s">
        <v>2343</v>
      </c>
      <c r="N220" s="2" t="s">
        <v>2344</v>
      </c>
      <c r="O220" s="2" t="s">
        <v>2347</v>
      </c>
      <c r="P220" s="2" t="s">
        <v>2348</v>
      </c>
      <c r="Q220" s="2" t="s">
        <v>1768</v>
      </c>
      <c r="R220" s="2" t="s">
        <v>2346</v>
      </c>
    </row>
    <row r="221" customFormat="false" ht="23.85" hidden="false" customHeight="false" outlineLevel="0" collapsed="false">
      <c r="A221" s="2" t="s">
        <v>2060</v>
      </c>
      <c r="B221" s="2"/>
      <c r="C221" s="2" t="s">
        <v>2300</v>
      </c>
      <c r="D221" s="2" t="s">
        <v>56</v>
      </c>
      <c r="E221" s="2" t="s">
        <v>285</v>
      </c>
      <c r="F221" s="2" t="s">
        <v>2341</v>
      </c>
      <c r="G221" s="2"/>
      <c r="H221" s="2"/>
      <c r="I221" s="2" t="s">
        <v>40</v>
      </c>
      <c r="J221" s="2"/>
      <c r="K221" s="2" t="s">
        <v>2342</v>
      </c>
      <c r="L221" s="2"/>
      <c r="M221" s="2" t="s">
        <v>2343</v>
      </c>
      <c r="N221" s="2" t="s">
        <v>2344</v>
      </c>
      <c r="O221" s="2" t="s">
        <v>2347</v>
      </c>
      <c r="P221" s="2" t="s">
        <v>461</v>
      </c>
      <c r="Q221" s="2" t="s">
        <v>1768</v>
      </c>
      <c r="R221" s="2" t="s">
        <v>2346</v>
      </c>
    </row>
    <row r="222" customFormat="false" ht="23.85" hidden="false" customHeight="false" outlineLevel="0" collapsed="false">
      <c r="A222" s="2" t="s">
        <v>2063</v>
      </c>
      <c r="B222" s="2"/>
      <c r="C222" s="2" t="s">
        <v>2300</v>
      </c>
      <c r="D222" s="2" t="s">
        <v>56</v>
      </c>
      <c r="E222" s="2" t="s">
        <v>372</v>
      </c>
      <c r="F222" s="2" t="s">
        <v>2341</v>
      </c>
      <c r="G222" s="2"/>
      <c r="H222" s="2"/>
      <c r="I222" s="2" t="s">
        <v>40</v>
      </c>
      <c r="J222" s="2"/>
      <c r="K222" s="2" t="s">
        <v>2342</v>
      </c>
      <c r="L222" s="2"/>
      <c r="M222" s="2" t="s">
        <v>2343</v>
      </c>
      <c r="N222" s="2" t="s">
        <v>2344</v>
      </c>
      <c r="O222" s="2" t="s">
        <v>2350</v>
      </c>
      <c r="P222" s="2" t="s">
        <v>2348</v>
      </c>
      <c r="Q222" s="2" t="s">
        <v>1768</v>
      </c>
      <c r="R222" s="2" t="s">
        <v>2346</v>
      </c>
    </row>
    <row r="223" customFormat="false" ht="23.85" hidden="false" customHeight="false" outlineLevel="0" collapsed="false">
      <c r="A223" s="2" t="s">
        <v>2066</v>
      </c>
      <c r="B223" s="2"/>
      <c r="C223" s="2" t="s">
        <v>2300</v>
      </c>
      <c r="D223" s="2" t="s">
        <v>56</v>
      </c>
      <c r="E223" s="2" t="s">
        <v>494</v>
      </c>
      <c r="F223" s="2" t="s">
        <v>2341</v>
      </c>
      <c r="G223" s="2"/>
      <c r="H223" s="2"/>
      <c r="I223" s="2" t="s">
        <v>40</v>
      </c>
      <c r="J223" s="2"/>
      <c r="K223" s="2" t="s">
        <v>2342</v>
      </c>
      <c r="L223" s="2"/>
      <c r="M223" s="2" t="s">
        <v>2343</v>
      </c>
      <c r="N223" s="2" t="s">
        <v>2344</v>
      </c>
      <c r="O223" s="2" t="s">
        <v>2347</v>
      </c>
      <c r="P223" s="2" t="s">
        <v>495</v>
      </c>
      <c r="Q223" s="2" t="s">
        <v>1768</v>
      </c>
      <c r="R223" s="2" t="s">
        <v>2346</v>
      </c>
    </row>
    <row r="224" customFormat="false" ht="23.85" hidden="false" customHeight="false" outlineLevel="0" collapsed="false">
      <c r="A224" s="2" t="s">
        <v>2069</v>
      </c>
      <c r="B224" s="2"/>
      <c r="C224" s="2" t="s">
        <v>2300</v>
      </c>
      <c r="D224" s="2" t="s">
        <v>56</v>
      </c>
      <c r="E224" s="2" t="s">
        <v>309</v>
      </c>
      <c r="F224" s="2" t="s">
        <v>2341</v>
      </c>
      <c r="G224" s="2"/>
      <c r="H224" s="2"/>
      <c r="I224" s="2" t="s">
        <v>40</v>
      </c>
      <c r="J224" s="2"/>
      <c r="K224" s="2" t="s">
        <v>2342</v>
      </c>
      <c r="L224" s="2"/>
      <c r="M224" s="2" t="s">
        <v>2343</v>
      </c>
      <c r="N224" s="2" t="s">
        <v>2344</v>
      </c>
      <c r="O224" s="2" t="s">
        <v>2349</v>
      </c>
      <c r="P224" s="2" t="s">
        <v>461</v>
      </c>
      <c r="Q224" s="2" t="s">
        <v>1768</v>
      </c>
      <c r="R224" s="2" t="s">
        <v>2346</v>
      </c>
    </row>
    <row r="225" customFormat="false" ht="23.85" hidden="false" customHeight="false" outlineLevel="0" collapsed="false">
      <c r="A225" s="2" t="s">
        <v>2072</v>
      </c>
      <c r="B225" s="2"/>
      <c r="C225" s="2" t="s">
        <v>2300</v>
      </c>
      <c r="D225" s="2" t="s">
        <v>56</v>
      </c>
      <c r="E225" s="2" t="s">
        <v>257</v>
      </c>
      <c r="F225" s="2" t="s">
        <v>2341</v>
      </c>
      <c r="G225" s="2"/>
      <c r="H225" s="2"/>
      <c r="I225" s="2" t="s">
        <v>40</v>
      </c>
      <c r="J225" s="2"/>
      <c r="K225" s="2" t="s">
        <v>2342</v>
      </c>
      <c r="L225" s="2"/>
      <c r="M225" s="2" t="s">
        <v>2343</v>
      </c>
      <c r="N225" s="2" t="s">
        <v>2344</v>
      </c>
      <c r="O225" s="2" t="s">
        <v>2347</v>
      </c>
      <c r="P225" s="2" t="s">
        <v>461</v>
      </c>
      <c r="Q225" s="2" t="s">
        <v>1768</v>
      </c>
      <c r="R225" s="2" t="s">
        <v>2346</v>
      </c>
    </row>
    <row r="226" customFormat="false" ht="23.85" hidden="false" customHeight="false" outlineLevel="0" collapsed="false">
      <c r="A226" s="2" t="s">
        <v>2075</v>
      </c>
      <c r="B226" s="2"/>
      <c r="C226" s="2" t="s">
        <v>2300</v>
      </c>
      <c r="D226" s="2" t="s">
        <v>56</v>
      </c>
      <c r="E226" s="2" t="s">
        <v>549</v>
      </c>
      <c r="F226" s="2" t="s">
        <v>2341</v>
      </c>
      <c r="G226" s="2"/>
      <c r="H226" s="2"/>
      <c r="I226" s="2" t="s">
        <v>40</v>
      </c>
      <c r="J226" s="2"/>
      <c r="K226" s="2" t="s">
        <v>2342</v>
      </c>
      <c r="L226" s="2"/>
      <c r="M226" s="2" t="s">
        <v>2343</v>
      </c>
      <c r="N226" s="2" t="s">
        <v>2344</v>
      </c>
      <c r="O226" s="2" t="s">
        <v>2349</v>
      </c>
      <c r="P226" s="2" t="s">
        <v>461</v>
      </c>
      <c r="Q226" s="2" t="s">
        <v>1768</v>
      </c>
      <c r="R226" s="2" t="s">
        <v>2346</v>
      </c>
    </row>
    <row r="227" customFormat="false" ht="23.85" hidden="false" customHeight="false" outlineLevel="0" collapsed="false">
      <c r="A227" s="2" t="s">
        <v>2078</v>
      </c>
      <c r="B227" s="2"/>
      <c r="C227" s="2" t="s">
        <v>2300</v>
      </c>
      <c r="D227" s="2" t="s">
        <v>56</v>
      </c>
      <c r="E227" s="2" t="s">
        <v>235</v>
      </c>
      <c r="F227" s="2" t="s">
        <v>2341</v>
      </c>
      <c r="G227" s="2"/>
      <c r="H227" s="2"/>
      <c r="I227" s="2" t="s">
        <v>47</v>
      </c>
      <c r="J227" s="2"/>
      <c r="K227" s="2" t="s">
        <v>2342</v>
      </c>
      <c r="L227" s="2"/>
      <c r="M227" s="2" t="s">
        <v>2343</v>
      </c>
      <c r="N227" s="2" t="s">
        <v>2344</v>
      </c>
      <c r="O227" s="2" t="s">
        <v>2351</v>
      </c>
      <c r="P227" s="2" t="s">
        <v>461</v>
      </c>
      <c r="Q227" s="2" t="s">
        <v>1768</v>
      </c>
      <c r="R227" s="2" t="s">
        <v>2346</v>
      </c>
    </row>
    <row r="228" customFormat="false" ht="23.85" hidden="false" customHeight="false" outlineLevel="0" collapsed="false">
      <c r="A228" s="2" t="s">
        <v>2081</v>
      </c>
      <c r="B228" s="2"/>
      <c r="C228" s="2" t="s">
        <v>2300</v>
      </c>
      <c r="D228" s="2" t="s">
        <v>56</v>
      </c>
      <c r="E228" s="2" t="s">
        <v>232</v>
      </c>
      <c r="F228" s="2" t="s">
        <v>2341</v>
      </c>
      <c r="G228" s="2"/>
      <c r="H228" s="2"/>
      <c r="I228" s="2" t="s">
        <v>47</v>
      </c>
      <c r="J228" s="2"/>
      <c r="K228" s="2" t="s">
        <v>2342</v>
      </c>
      <c r="L228" s="2"/>
      <c r="M228" s="2" t="s">
        <v>2343</v>
      </c>
      <c r="N228" s="2" t="s">
        <v>2344</v>
      </c>
      <c r="O228" s="2" t="s">
        <v>2350</v>
      </c>
      <c r="P228" s="2" t="s">
        <v>461</v>
      </c>
      <c r="Q228" s="2" t="s">
        <v>1768</v>
      </c>
      <c r="R228" s="2" t="s">
        <v>2346</v>
      </c>
    </row>
    <row r="229" customFormat="false" ht="23.85" hidden="false" customHeight="false" outlineLevel="0" collapsed="false">
      <c r="A229" s="2" t="s">
        <v>2084</v>
      </c>
      <c r="B229" s="2"/>
      <c r="C229" s="2" t="s">
        <v>2300</v>
      </c>
      <c r="D229" s="2" t="s">
        <v>56</v>
      </c>
      <c r="E229" s="2" t="s">
        <v>522</v>
      </c>
      <c r="F229" s="2" t="s">
        <v>2341</v>
      </c>
      <c r="G229" s="2"/>
      <c r="H229" s="2"/>
      <c r="I229" s="2" t="s">
        <v>40</v>
      </c>
      <c r="J229" s="2"/>
      <c r="K229" s="2" t="s">
        <v>2342</v>
      </c>
      <c r="L229" s="2"/>
      <c r="M229" s="2" t="s">
        <v>2343</v>
      </c>
      <c r="N229" s="2" t="s">
        <v>2344</v>
      </c>
      <c r="O229" s="2" t="s">
        <v>2349</v>
      </c>
      <c r="P229" s="2" t="s">
        <v>461</v>
      </c>
      <c r="Q229" s="2" t="s">
        <v>1768</v>
      </c>
      <c r="R229" s="2" t="s">
        <v>2346</v>
      </c>
    </row>
    <row r="230" customFormat="false" ht="23.85" hidden="false" customHeight="false" outlineLevel="0" collapsed="false">
      <c r="A230" s="2" t="s">
        <v>2087</v>
      </c>
      <c r="B230" s="2"/>
      <c r="C230" s="2" t="s">
        <v>2300</v>
      </c>
      <c r="D230" s="2" t="s">
        <v>56</v>
      </c>
      <c r="E230" s="2" t="s">
        <v>524</v>
      </c>
      <c r="F230" s="2" t="s">
        <v>2341</v>
      </c>
      <c r="G230" s="2"/>
      <c r="H230" s="2"/>
      <c r="I230" s="2" t="s">
        <v>40</v>
      </c>
      <c r="J230" s="2"/>
      <c r="K230" s="2" t="s">
        <v>2342</v>
      </c>
      <c r="L230" s="2"/>
      <c r="M230" s="2" t="s">
        <v>2343</v>
      </c>
      <c r="N230" s="2" t="s">
        <v>2344</v>
      </c>
      <c r="O230" s="2" t="s">
        <v>2349</v>
      </c>
      <c r="P230" s="2" t="s">
        <v>461</v>
      </c>
      <c r="Q230" s="2" t="s">
        <v>1768</v>
      </c>
      <c r="R230" s="2" t="s">
        <v>2346</v>
      </c>
    </row>
    <row r="231" customFormat="false" ht="23.85" hidden="false" customHeight="false" outlineLevel="0" collapsed="false">
      <c r="A231" s="2" t="s">
        <v>2090</v>
      </c>
      <c r="B231" s="2"/>
      <c r="C231" s="2" t="s">
        <v>2300</v>
      </c>
      <c r="D231" s="2" t="s">
        <v>56</v>
      </c>
      <c r="E231" s="2" t="s">
        <v>229</v>
      </c>
      <c r="F231" s="2" t="s">
        <v>2341</v>
      </c>
      <c r="G231" s="2"/>
      <c r="H231" s="2"/>
      <c r="I231" s="2" t="s">
        <v>47</v>
      </c>
      <c r="J231" s="2"/>
      <c r="K231" s="2" t="s">
        <v>2342</v>
      </c>
      <c r="L231" s="2"/>
      <c r="M231" s="2" t="s">
        <v>2343</v>
      </c>
      <c r="N231" s="2" t="s">
        <v>2344</v>
      </c>
      <c r="O231" s="2" t="s">
        <v>2351</v>
      </c>
      <c r="P231" s="2" t="s">
        <v>461</v>
      </c>
      <c r="Q231" s="2" t="s">
        <v>1768</v>
      </c>
      <c r="R231" s="2" t="s">
        <v>2346</v>
      </c>
    </row>
    <row r="232" customFormat="false" ht="23.85" hidden="false" customHeight="false" outlineLevel="0" collapsed="false">
      <c r="A232" s="2" t="s">
        <v>2093</v>
      </c>
      <c r="B232" s="2"/>
      <c r="C232" s="2" t="s">
        <v>2300</v>
      </c>
      <c r="D232" s="2" t="s">
        <v>56</v>
      </c>
      <c r="E232" s="2" t="s">
        <v>481</v>
      </c>
      <c r="F232" s="2" t="s">
        <v>2341</v>
      </c>
      <c r="G232" s="2"/>
      <c r="H232" s="2"/>
      <c r="I232" s="2" t="s">
        <v>47</v>
      </c>
      <c r="J232" s="2"/>
      <c r="K232" s="2" t="s">
        <v>2342</v>
      </c>
      <c r="L232" s="2"/>
      <c r="M232" s="2" t="s">
        <v>2343</v>
      </c>
      <c r="N232" s="2" t="s">
        <v>2344</v>
      </c>
      <c r="O232" s="2" t="s">
        <v>2350</v>
      </c>
      <c r="P232" s="2" t="s">
        <v>461</v>
      </c>
      <c r="Q232" s="2" t="s">
        <v>1768</v>
      </c>
      <c r="R232" s="2" t="s">
        <v>2346</v>
      </c>
    </row>
    <row r="233" customFormat="false" ht="23.85" hidden="false" customHeight="false" outlineLevel="0" collapsed="false">
      <c r="A233" s="2" t="s">
        <v>2096</v>
      </c>
      <c r="B233" s="2"/>
      <c r="C233" s="2" t="s">
        <v>2300</v>
      </c>
      <c r="D233" s="2" t="s">
        <v>56</v>
      </c>
      <c r="E233" s="2" t="s">
        <v>359</v>
      </c>
      <c r="F233" s="2" t="s">
        <v>2341</v>
      </c>
      <c r="G233" s="2"/>
      <c r="H233" s="2"/>
      <c r="I233" s="2" t="s">
        <v>40</v>
      </c>
      <c r="J233" s="2"/>
      <c r="K233" s="2" t="s">
        <v>2342</v>
      </c>
      <c r="L233" s="2"/>
      <c r="M233" s="2" t="s">
        <v>2343</v>
      </c>
      <c r="N233" s="2" t="s">
        <v>2344</v>
      </c>
      <c r="O233" s="2" t="s">
        <v>2349</v>
      </c>
      <c r="P233" s="2" t="s">
        <v>495</v>
      </c>
      <c r="Q233" s="2" t="s">
        <v>1768</v>
      </c>
      <c r="R233" s="2" t="s">
        <v>2346</v>
      </c>
    </row>
    <row r="234" customFormat="false" ht="23.85" hidden="false" customHeight="false" outlineLevel="0" collapsed="false">
      <c r="A234" s="2" t="s">
        <v>2099</v>
      </c>
      <c r="B234" s="2"/>
      <c r="C234" s="2" t="s">
        <v>2300</v>
      </c>
      <c r="D234" s="2" t="s">
        <v>56</v>
      </c>
      <c r="E234" s="2" t="s">
        <v>221</v>
      </c>
      <c r="F234" s="2" t="s">
        <v>2341</v>
      </c>
      <c r="G234" s="2"/>
      <c r="H234" s="2"/>
      <c r="I234" s="2" t="s">
        <v>40</v>
      </c>
      <c r="J234" s="2"/>
      <c r="K234" s="2" t="s">
        <v>2342</v>
      </c>
      <c r="L234" s="2"/>
      <c r="M234" s="2" t="s">
        <v>2343</v>
      </c>
      <c r="N234" s="2" t="s">
        <v>2344</v>
      </c>
      <c r="O234" s="2" t="s">
        <v>2347</v>
      </c>
      <c r="P234" s="2" t="s">
        <v>461</v>
      </c>
      <c r="Q234" s="2" t="s">
        <v>1768</v>
      </c>
      <c r="R234" s="2" t="s">
        <v>2346</v>
      </c>
    </row>
    <row r="235" customFormat="false" ht="23.85" hidden="false" customHeight="false" outlineLevel="0" collapsed="false">
      <c r="A235" s="2" t="s">
        <v>2103</v>
      </c>
      <c r="B235" s="2"/>
      <c r="C235" s="2" t="s">
        <v>2300</v>
      </c>
      <c r="D235" s="2" t="s">
        <v>56</v>
      </c>
      <c r="E235" s="2" t="s">
        <v>214</v>
      </c>
      <c r="F235" s="2" t="s">
        <v>2341</v>
      </c>
      <c r="G235" s="2"/>
      <c r="H235" s="2"/>
      <c r="I235" s="2" t="s">
        <v>40</v>
      </c>
      <c r="J235" s="2"/>
      <c r="K235" s="2" t="s">
        <v>2342</v>
      </c>
      <c r="L235" s="2"/>
      <c r="M235" s="2" t="s">
        <v>2343</v>
      </c>
      <c r="N235" s="2" t="s">
        <v>2344</v>
      </c>
      <c r="O235" s="2" t="s">
        <v>2350</v>
      </c>
      <c r="P235" s="2" t="s">
        <v>461</v>
      </c>
      <c r="Q235" s="2" t="s">
        <v>1768</v>
      </c>
      <c r="R235" s="2" t="s">
        <v>2346</v>
      </c>
    </row>
    <row r="236" customFormat="false" ht="23.85" hidden="false" customHeight="false" outlineLevel="0" collapsed="false">
      <c r="A236" s="2" t="s">
        <v>2107</v>
      </c>
      <c r="B236" s="2"/>
      <c r="C236" s="2" t="s">
        <v>2300</v>
      </c>
      <c r="D236" s="2" t="s">
        <v>56</v>
      </c>
      <c r="E236" s="2" t="s">
        <v>598</v>
      </c>
      <c r="F236" s="2" t="s">
        <v>2341</v>
      </c>
      <c r="G236" s="2"/>
      <c r="H236" s="2"/>
      <c r="I236" s="2" t="s">
        <v>40</v>
      </c>
      <c r="J236" s="2"/>
      <c r="K236" s="2" t="s">
        <v>2342</v>
      </c>
      <c r="L236" s="2"/>
      <c r="M236" s="2" t="s">
        <v>2343</v>
      </c>
      <c r="N236" s="2" t="s">
        <v>2344</v>
      </c>
      <c r="O236" s="2" t="s">
        <v>2347</v>
      </c>
      <c r="P236" s="2" t="s">
        <v>461</v>
      </c>
      <c r="Q236" s="2" t="s">
        <v>1768</v>
      </c>
      <c r="R236" s="2" t="s">
        <v>2346</v>
      </c>
    </row>
    <row r="237" customFormat="false" ht="23.85" hidden="false" customHeight="false" outlineLevel="0" collapsed="false">
      <c r="A237" s="2" t="s">
        <v>2111</v>
      </c>
      <c r="B237" s="2"/>
      <c r="C237" s="2" t="s">
        <v>2300</v>
      </c>
      <c r="D237" s="2" t="s">
        <v>56</v>
      </c>
      <c r="E237" s="2" t="s">
        <v>510</v>
      </c>
      <c r="F237" s="2" t="s">
        <v>2341</v>
      </c>
      <c r="G237" s="2"/>
      <c r="H237" s="2"/>
      <c r="I237" s="2" t="s">
        <v>40</v>
      </c>
      <c r="J237" s="2"/>
      <c r="K237" s="2" t="s">
        <v>2342</v>
      </c>
      <c r="L237" s="2"/>
      <c r="M237" s="2" t="s">
        <v>2343</v>
      </c>
      <c r="N237" s="2" t="s">
        <v>2344</v>
      </c>
      <c r="O237" s="2" t="s">
        <v>2347</v>
      </c>
      <c r="P237" s="2" t="s">
        <v>2348</v>
      </c>
      <c r="Q237" s="2" t="s">
        <v>1768</v>
      </c>
      <c r="R237" s="2" t="s">
        <v>2346</v>
      </c>
    </row>
    <row r="238" customFormat="false" ht="23.85" hidden="false" customHeight="false" outlineLevel="0" collapsed="false">
      <c r="A238" s="2" t="s">
        <v>2114</v>
      </c>
      <c r="B238" s="2"/>
      <c r="C238" s="2" t="s">
        <v>2300</v>
      </c>
      <c r="D238" s="2" t="s">
        <v>56</v>
      </c>
      <c r="E238" s="2" t="s">
        <v>460</v>
      </c>
      <c r="F238" s="2" t="s">
        <v>2341</v>
      </c>
      <c r="G238" s="2"/>
      <c r="H238" s="2"/>
      <c r="I238" s="2" t="s">
        <v>40</v>
      </c>
      <c r="J238" s="2"/>
      <c r="K238" s="2" t="s">
        <v>2342</v>
      </c>
      <c r="L238" s="2"/>
      <c r="M238" s="2" t="s">
        <v>2343</v>
      </c>
      <c r="N238" s="2" t="s">
        <v>2344</v>
      </c>
      <c r="O238" s="2" t="s">
        <v>2349</v>
      </c>
      <c r="P238" s="2" t="s">
        <v>461</v>
      </c>
      <c r="Q238" s="2" t="s">
        <v>1768</v>
      </c>
      <c r="R238" s="2" t="s">
        <v>2346</v>
      </c>
    </row>
    <row r="239" customFormat="false" ht="23.85" hidden="false" customHeight="false" outlineLevel="0" collapsed="false">
      <c r="A239" s="2" t="s">
        <v>2118</v>
      </c>
      <c r="B239" s="2"/>
      <c r="C239" s="2" t="s">
        <v>2300</v>
      </c>
      <c r="D239" s="2" t="s">
        <v>56</v>
      </c>
      <c r="E239" s="2" t="s">
        <v>479</v>
      </c>
      <c r="F239" s="2" t="s">
        <v>2341</v>
      </c>
      <c r="G239" s="2"/>
      <c r="H239" s="2"/>
      <c r="I239" s="2" t="s">
        <v>40</v>
      </c>
      <c r="J239" s="2"/>
      <c r="K239" s="2" t="s">
        <v>2342</v>
      </c>
      <c r="L239" s="2"/>
      <c r="M239" s="2" t="s">
        <v>2343</v>
      </c>
      <c r="N239" s="2" t="s">
        <v>2344</v>
      </c>
      <c r="O239" s="2" t="s">
        <v>2347</v>
      </c>
      <c r="P239" s="2" t="s">
        <v>461</v>
      </c>
      <c r="Q239" s="2" t="s">
        <v>1768</v>
      </c>
      <c r="R239" s="2" t="s">
        <v>2346</v>
      </c>
    </row>
    <row r="240" customFormat="false" ht="23.85" hidden="false" customHeight="false" outlineLevel="0" collapsed="false">
      <c r="A240" s="2" t="s">
        <v>2121</v>
      </c>
      <c r="B240" s="2"/>
      <c r="C240" s="2" t="s">
        <v>2300</v>
      </c>
      <c r="D240" s="2" t="s">
        <v>56</v>
      </c>
      <c r="E240" s="2" t="s">
        <v>227</v>
      </c>
      <c r="F240" s="2" t="s">
        <v>2341</v>
      </c>
      <c r="G240" s="2"/>
      <c r="H240" s="2"/>
      <c r="I240" s="2" t="s">
        <v>40</v>
      </c>
      <c r="J240" s="2"/>
      <c r="K240" s="2" t="s">
        <v>2342</v>
      </c>
      <c r="L240" s="2"/>
      <c r="M240" s="2" t="s">
        <v>2343</v>
      </c>
      <c r="N240" s="2" t="s">
        <v>2344</v>
      </c>
      <c r="O240" s="2" t="s">
        <v>2347</v>
      </c>
      <c r="P240" s="2" t="s">
        <v>461</v>
      </c>
      <c r="Q240" s="2" t="s">
        <v>1768</v>
      </c>
      <c r="R240" s="2" t="s">
        <v>2346</v>
      </c>
    </row>
    <row r="241" customFormat="false" ht="23.85" hidden="false" customHeight="false" outlineLevel="0" collapsed="false">
      <c r="A241" s="2" t="s">
        <v>2124</v>
      </c>
      <c r="B241" s="2"/>
      <c r="C241" s="2" t="s">
        <v>2300</v>
      </c>
      <c r="D241" s="2" t="s">
        <v>56</v>
      </c>
      <c r="E241" s="2" t="s">
        <v>465</v>
      </c>
      <c r="F241" s="2" t="s">
        <v>2341</v>
      </c>
      <c r="G241" s="2"/>
      <c r="H241" s="2"/>
      <c r="I241" s="2" t="s">
        <v>40</v>
      </c>
      <c r="J241" s="2"/>
      <c r="K241" s="2" t="s">
        <v>2342</v>
      </c>
      <c r="L241" s="2"/>
      <c r="M241" s="2" t="s">
        <v>2343</v>
      </c>
      <c r="N241" s="2" t="s">
        <v>2344</v>
      </c>
      <c r="O241" s="2" t="s">
        <v>2349</v>
      </c>
      <c r="P241" s="2" t="s">
        <v>461</v>
      </c>
      <c r="Q241" s="2" t="s">
        <v>1768</v>
      </c>
      <c r="R241" s="2" t="s">
        <v>2346</v>
      </c>
    </row>
    <row r="242" customFormat="false" ht="23.85" hidden="false" customHeight="false" outlineLevel="0" collapsed="false">
      <c r="A242" s="2" t="s">
        <v>2128</v>
      </c>
      <c r="B242" s="2"/>
      <c r="C242" s="2" t="s">
        <v>2300</v>
      </c>
      <c r="D242" s="2" t="s">
        <v>56</v>
      </c>
      <c r="E242" s="2" t="s">
        <v>342</v>
      </c>
      <c r="F242" s="2" t="s">
        <v>2341</v>
      </c>
      <c r="G242" s="2"/>
      <c r="H242" s="2"/>
      <c r="I242" s="2" t="s">
        <v>40</v>
      </c>
      <c r="J242" s="2"/>
      <c r="K242" s="2" t="s">
        <v>2342</v>
      </c>
      <c r="L242" s="2"/>
      <c r="M242" s="2" t="s">
        <v>2343</v>
      </c>
      <c r="N242" s="2" t="s">
        <v>2344</v>
      </c>
      <c r="O242" s="2" t="s">
        <v>2347</v>
      </c>
      <c r="P242" s="2" t="s">
        <v>461</v>
      </c>
      <c r="Q242" s="2" t="s">
        <v>1768</v>
      </c>
      <c r="R242" s="2" t="s">
        <v>2346</v>
      </c>
    </row>
    <row r="243" customFormat="false" ht="23.85" hidden="false" customHeight="false" outlineLevel="0" collapsed="false">
      <c r="A243" s="2" t="s">
        <v>2132</v>
      </c>
      <c r="B243" s="2"/>
      <c r="C243" s="2" t="s">
        <v>2300</v>
      </c>
      <c r="D243" s="2" t="s">
        <v>56</v>
      </c>
      <c r="E243" s="2" t="s">
        <v>526</v>
      </c>
      <c r="F243" s="2" t="s">
        <v>2341</v>
      </c>
      <c r="G243" s="2"/>
      <c r="H243" s="2"/>
      <c r="I243" s="2" t="s">
        <v>40</v>
      </c>
      <c r="J243" s="2"/>
      <c r="K243" s="2" t="s">
        <v>2342</v>
      </c>
      <c r="L243" s="2"/>
      <c r="M243" s="2" t="s">
        <v>2343</v>
      </c>
      <c r="N243" s="2" t="s">
        <v>2344</v>
      </c>
      <c r="O243" s="2" t="s">
        <v>2350</v>
      </c>
      <c r="P243" s="2" t="s">
        <v>2348</v>
      </c>
      <c r="Q243" s="2" t="s">
        <v>1768</v>
      </c>
      <c r="R243" s="2" t="s">
        <v>2346</v>
      </c>
    </row>
    <row r="244" customFormat="false" ht="23.85" hidden="false" customHeight="false" outlineLevel="0" collapsed="false">
      <c r="A244" s="2" t="s">
        <v>2135</v>
      </c>
      <c r="B244" s="2"/>
      <c r="C244" s="2" t="s">
        <v>2300</v>
      </c>
      <c r="D244" s="2" t="s">
        <v>56</v>
      </c>
      <c r="E244" s="2" t="s">
        <v>476</v>
      </c>
      <c r="F244" s="2" t="s">
        <v>2341</v>
      </c>
      <c r="G244" s="2"/>
      <c r="H244" s="2"/>
      <c r="I244" s="2" t="s">
        <v>40</v>
      </c>
      <c r="J244" s="2"/>
      <c r="K244" s="2" t="s">
        <v>2342</v>
      </c>
      <c r="L244" s="2"/>
      <c r="M244" s="2" t="s">
        <v>2343</v>
      </c>
      <c r="N244" s="2" t="s">
        <v>2344</v>
      </c>
      <c r="O244" s="2" t="s">
        <v>2347</v>
      </c>
      <c r="P244" s="2" t="s">
        <v>461</v>
      </c>
      <c r="Q244" s="2" t="s">
        <v>1768</v>
      </c>
      <c r="R244" s="2" t="s">
        <v>2346</v>
      </c>
    </row>
    <row r="245" customFormat="false" ht="23.85" hidden="false" customHeight="false" outlineLevel="0" collapsed="false">
      <c r="A245" s="2" t="s">
        <v>2138</v>
      </c>
      <c r="B245" s="2"/>
      <c r="C245" s="2" t="s">
        <v>2300</v>
      </c>
      <c r="D245" s="2" t="s">
        <v>56</v>
      </c>
      <c r="E245" s="2" t="s">
        <v>608</v>
      </c>
      <c r="F245" s="2" t="s">
        <v>2341</v>
      </c>
      <c r="G245" s="2"/>
      <c r="H245" s="2"/>
      <c r="I245" s="2" t="s">
        <v>40</v>
      </c>
      <c r="J245" s="2"/>
      <c r="K245" s="2" t="s">
        <v>2342</v>
      </c>
      <c r="L245" s="2"/>
      <c r="M245" s="2" t="s">
        <v>2343</v>
      </c>
      <c r="N245" s="2" t="s">
        <v>2344</v>
      </c>
      <c r="O245" s="2" t="s">
        <v>2349</v>
      </c>
      <c r="P245" s="2" t="s">
        <v>461</v>
      </c>
      <c r="Q245" s="2"/>
      <c r="R245" s="2" t="s">
        <v>2346</v>
      </c>
    </row>
    <row r="246" customFormat="false" ht="23.85" hidden="false" customHeight="false" outlineLevel="0" collapsed="false">
      <c r="A246" s="2" t="s">
        <v>2143</v>
      </c>
      <c r="B246" s="2"/>
      <c r="C246" s="2" t="s">
        <v>2300</v>
      </c>
      <c r="D246" s="2" t="s">
        <v>56</v>
      </c>
      <c r="E246" s="2" t="s">
        <v>243</v>
      </c>
      <c r="F246" s="2" t="s">
        <v>2341</v>
      </c>
      <c r="G246" s="2"/>
      <c r="H246" s="2"/>
      <c r="I246" s="2" t="s">
        <v>47</v>
      </c>
      <c r="J246" s="2"/>
      <c r="K246" s="2" t="s">
        <v>2342</v>
      </c>
      <c r="L246" s="2"/>
      <c r="M246" s="2" t="s">
        <v>2343</v>
      </c>
      <c r="N246" s="2" t="s">
        <v>2344</v>
      </c>
      <c r="O246" s="2" t="s">
        <v>2350</v>
      </c>
      <c r="P246" s="2" t="s">
        <v>461</v>
      </c>
      <c r="Q246" s="2" t="s">
        <v>1768</v>
      </c>
      <c r="R246" s="2" t="s">
        <v>2346</v>
      </c>
    </row>
    <row r="247" customFormat="false" ht="23.85" hidden="false" customHeight="false" outlineLevel="0" collapsed="false">
      <c r="A247" s="2" t="s">
        <v>2146</v>
      </c>
      <c r="B247" s="2"/>
      <c r="C247" s="2" t="s">
        <v>2300</v>
      </c>
      <c r="D247" s="2" t="s">
        <v>56</v>
      </c>
      <c r="E247" s="2" t="s">
        <v>241</v>
      </c>
      <c r="F247" s="2" t="s">
        <v>2341</v>
      </c>
      <c r="G247" s="2"/>
      <c r="H247" s="2"/>
      <c r="I247" s="2" t="s">
        <v>47</v>
      </c>
      <c r="J247" s="2"/>
      <c r="K247" s="2" t="s">
        <v>2342</v>
      </c>
      <c r="L247" s="2"/>
      <c r="M247" s="2" t="s">
        <v>2343</v>
      </c>
      <c r="N247" s="2" t="s">
        <v>2344</v>
      </c>
      <c r="O247" s="2" t="s">
        <v>2351</v>
      </c>
      <c r="P247" s="2" t="s">
        <v>461</v>
      </c>
      <c r="Q247" s="2" t="s">
        <v>1768</v>
      </c>
      <c r="R247" s="2" t="s">
        <v>2346</v>
      </c>
    </row>
    <row r="248" customFormat="false" ht="23.85" hidden="false" customHeight="false" outlineLevel="0" collapsed="false">
      <c r="A248" s="2" t="s">
        <v>2149</v>
      </c>
      <c r="B248" s="2"/>
      <c r="C248" s="2" t="s">
        <v>2300</v>
      </c>
      <c r="D248" s="2" t="s">
        <v>56</v>
      </c>
      <c r="E248" s="2" t="s">
        <v>532</v>
      </c>
      <c r="F248" s="2" t="s">
        <v>2341</v>
      </c>
      <c r="G248" s="2"/>
      <c r="H248" s="2"/>
      <c r="I248" s="2" t="s">
        <v>40</v>
      </c>
      <c r="J248" s="2"/>
      <c r="K248" s="2" t="s">
        <v>2342</v>
      </c>
      <c r="L248" s="2"/>
      <c r="M248" s="2" t="s">
        <v>2343</v>
      </c>
      <c r="N248" s="2" t="s">
        <v>2344</v>
      </c>
      <c r="O248" s="2" t="s">
        <v>2347</v>
      </c>
      <c r="P248" s="2" t="s">
        <v>2348</v>
      </c>
      <c r="Q248" s="2" t="s">
        <v>1768</v>
      </c>
      <c r="R248" s="2" t="s">
        <v>2346</v>
      </c>
    </row>
    <row r="249" customFormat="false" ht="23.85" hidden="false" customHeight="false" outlineLevel="0" collapsed="false">
      <c r="A249" s="2" t="s">
        <v>2152</v>
      </c>
      <c r="B249" s="2"/>
      <c r="C249" s="2" t="s">
        <v>2300</v>
      </c>
      <c r="D249" s="2" t="s">
        <v>56</v>
      </c>
      <c r="E249" s="2" t="s">
        <v>530</v>
      </c>
      <c r="F249" s="2" t="s">
        <v>2341</v>
      </c>
      <c r="G249" s="2"/>
      <c r="H249" s="2"/>
      <c r="I249" s="2" t="s">
        <v>40</v>
      </c>
      <c r="J249" s="2"/>
      <c r="K249" s="2" t="s">
        <v>2342</v>
      </c>
      <c r="L249" s="2"/>
      <c r="M249" s="2" t="s">
        <v>2343</v>
      </c>
      <c r="N249" s="2" t="s">
        <v>2344</v>
      </c>
      <c r="O249" s="2" t="s">
        <v>2349</v>
      </c>
      <c r="P249" s="2" t="s">
        <v>461</v>
      </c>
      <c r="Q249" s="2" t="s">
        <v>1768</v>
      </c>
      <c r="R249" s="2" t="s">
        <v>2346</v>
      </c>
    </row>
    <row r="250" customFormat="false" ht="23.85" hidden="false" customHeight="false" outlineLevel="0" collapsed="false">
      <c r="A250" s="2" t="s">
        <v>2155</v>
      </c>
      <c r="B250" s="2"/>
      <c r="C250" s="2" t="s">
        <v>2300</v>
      </c>
      <c r="D250" s="2" t="s">
        <v>56</v>
      </c>
      <c r="E250" s="2" t="s">
        <v>528</v>
      </c>
      <c r="F250" s="2" t="s">
        <v>2341</v>
      </c>
      <c r="G250" s="2"/>
      <c r="H250" s="2"/>
      <c r="I250" s="2" t="s">
        <v>40</v>
      </c>
      <c r="J250" s="2"/>
      <c r="K250" s="2" t="s">
        <v>2342</v>
      </c>
      <c r="L250" s="2"/>
      <c r="M250" s="2" t="s">
        <v>2343</v>
      </c>
      <c r="N250" s="2" t="s">
        <v>2344</v>
      </c>
      <c r="O250" s="2" t="s">
        <v>2349</v>
      </c>
      <c r="P250" s="2" t="s">
        <v>461</v>
      </c>
      <c r="Q250" s="2" t="s">
        <v>1768</v>
      </c>
      <c r="R250" s="2" t="s">
        <v>2346</v>
      </c>
    </row>
    <row r="251" customFormat="false" ht="23.85" hidden="false" customHeight="false" outlineLevel="0" collapsed="false">
      <c r="A251" s="2" t="s">
        <v>2158</v>
      </c>
      <c r="B251" s="2"/>
      <c r="C251" s="2" t="s">
        <v>2300</v>
      </c>
      <c r="D251" s="2" t="s">
        <v>56</v>
      </c>
      <c r="E251" s="2" t="s">
        <v>239</v>
      </c>
      <c r="F251" s="2" t="s">
        <v>2341</v>
      </c>
      <c r="G251" s="2"/>
      <c r="H251" s="2"/>
      <c r="I251" s="2" t="s">
        <v>47</v>
      </c>
      <c r="J251" s="2"/>
      <c r="K251" s="2" t="s">
        <v>2342</v>
      </c>
      <c r="L251" s="2"/>
      <c r="M251" s="2" t="s">
        <v>2343</v>
      </c>
      <c r="N251" s="2" t="s">
        <v>2344</v>
      </c>
      <c r="O251" s="2" t="s">
        <v>2350</v>
      </c>
      <c r="P251" s="2" t="s">
        <v>461</v>
      </c>
      <c r="Q251" s="2" t="s">
        <v>1768</v>
      </c>
      <c r="R251" s="2" t="s">
        <v>2346</v>
      </c>
    </row>
    <row r="252" customFormat="false" ht="23.85" hidden="false" customHeight="false" outlineLevel="0" collapsed="false">
      <c r="A252" s="2" t="s">
        <v>2161</v>
      </c>
      <c r="B252" s="2"/>
      <c r="C252" s="2" t="s">
        <v>2300</v>
      </c>
      <c r="D252" s="2" t="s">
        <v>56</v>
      </c>
      <c r="E252" s="2" t="s">
        <v>489</v>
      </c>
      <c r="F252" s="2" t="s">
        <v>2341</v>
      </c>
      <c r="G252" s="2"/>
      <c r="H252" s="2"/>
      <c r="I252" s="2" t="s">
        <v>47</v>
      </c>
      <c r="J252" s="2"/>
      <c r="K252" s="2" t="s">
        <v>2342</v>
      </c>
      <c r="L252" s="2"/>
      <c r="M252" s="2" t="s">
        <v>2343</v>
      </c>
      <c r="N252" s="2" t="s">
        <v>2344</v>
      </c>
      <c r="O252" s="2" t="s">
        <v>2347</v>
      </c>
      <c r="P252" s="2" t="s">
        <v>461</v>
      </c>
      <c r="Q252" s="2" t="s">
        <v>1768</v>
      </c>
      <c r="R252" s="2" t="s">
        <v>2346</v>
      </c>
    </row>
    <row r="253" customFormat="false" ht="23.85" hidden="false" customHeight="false" outlineLevel="0" collapsed="false">
      <c r="A253" s="2" t="s">
        <v>2164</v>
      </c>
      <c r="B253" s="2"/>
      <c r="C253" s="2" t="s">
        <v>2300</v>
      </c>
      <c r="D253" s="2" t="s">
        <v>56</v>
      </c>
      <c r="E253" s="2" t="s">
        <v>484</v>
      </c>
      <c r="F253" s="2" t="s">
        <v>2341</v>
      </c>
      <c r="G253" s="2"/>
      <c r="H253" s="2"/>
      <c r="I253" s="2" t="s">
        <v>47</v>
      </c>
      <c r="J253" s="2"/>
      <c r="K253" s="2" t="s">
        <v>2342</v>
      </c>
      <c r="L253" s="2"/>
      <c r="M253" s="2" t="s">
        <v>2343</v>
      </c>
      <c r="N253" s="2" t="s">
        <v>2344</v>
      </c>
      <c r="O253" s="2" t="s">
        <v>2347</v>
      </c>
      <c r="P253" s="2" t="s">
        <v>461</v>
      </c>
      <c r="Q253" s="2" t="s">
        <v>1768</v>
      </c>
      <c r="R253" s="2" t="s">
        <v>2346</v>
      </c>
    </row>
    <row r="254" customFormat="false" ht="23.85" hidden="false" customHeight="false" outlineLevel="0" collapsed="false">
      <c r="A254" s="2" t="s">
        <v>2167</v>
      </c>
      <c r="B254" s="2"/>
      <c r="C254" s="2" t="s">
        <v>2300</v>
      </c>
      <c r="D254" s="2" t="s">
        <v>56</v>
      </c>
      <c r="E254" s="2" t="s">
        <v>618</v>
      </c>
      <c r="F254" s="2" t="s">
        <v>2341</v>
      </c>
      <c r="G254" s="2"/>
      <c r="H254" s="2"/>
      <c r="I254" s="2" t="s">
        <v>40</v>
      </c>
      <c r="J254" s="2"/>
      <c r="K254" s="2" t="s">
        <v>2342</v>
      </c>
      <c r="L254" s="2"/>
      <c r="M254" s="2" t="s">
        <v>2343</v>
      </c>
      <c r="N254" s="2" t="s">
        <v>2344</v>
      </c>
      <c r="O254" s="2" t="s">
        <v>2347</v>
      </c>
      <c r="P254" s="2" t="s">
        <v>461</v>
      </c>
      <c r="Q254" s="2"/>
      <c r="R254" s="2" t="s">
        <v>2346</v>
      </c>
    </row>
    <row r="255" customFormat="false" ht="23.85" hidden="false" customHeight="false" outlineLevel="0" collapsed="false">
      <c r="A255" s="2" t="s">
        <v>2170</v>
      </c>
      <c r="B255" s="2"/>
      <c r="C255" s="2" t="s">
        <v>2300</v>
      </c>
      <c r="D255" s="2" t="s">
        <v>56</v>
      </c>
      <c r="E255" s="2" t="s">
        <v>513</v>
      </c>
      <c r="F255" s="2" t="s">
        <v>2341</v>
      </c>
      <c r="G255" s="2"/>
      <c r="H255" s="2"/>
      <c r="I255" s="2" t="s">
        <v>40</v>
      </c>
      <c r="J255" s="2"/>
      <c r="K255" s="2" t="s">
        <v>2342</v>
      </c>
      <c r="L255" s="2"/>
      <c r="M255" s="2" t="s">
        <v>2343</v>
      </c>
      <c r="N255" s="2" t="s">
        <v>2344</v>
      </c>
      <c r="O255" s="2" t="s">
        <v>2350</v>
      </c>
      <c r="P255" s="2" t="s">
        <v>2348</v>
      </c>
      <c r="Q255" s="2" t="s">
        <v>1768</v>
      </c>
      <c r="R255" s="2" t="s">
        <v>2346</v>
      </c>
    </row>
    <row r="256" customFormat="false" ht="23.85" hidden="false" customHeight="false" outlineLevel="0" collapsed="false">
      <c r="A256" s="2" t="s">
        <v>2173</v>
      </c>
      <c r="B256" s="2"/>
      <c r="C256" s="2" t="s">
        <v>2300</v>
      </c>
      <c r="D256" s="2" t="s">
        <v>56</v>
      </c>
      <c r="E256" s="2" t="s">
        <v>519</v>
      </c>
      <c r="F256" s="2" t="s">
        <v>2341</v>
      </c>
      <c r="G256" s="2"/>
      <c r="H256" s="2"/>
      <c r="I256" s="2" t="s">
        <v>40</v>
      </c>
      <c r="J256" s="2"/>
      <c r="K256" s="2" t="s">
        <v>2342</v>
      </c>
      <c r="L256" s="2"/>
      <c r="M256" s="2" t="s">
        <v>2343</v>
      </c>
      <c r="N256" s="2" t="s">
        <v>2344</v>
      </c>
      <c r="O256" s="2" t="s">
        <v>2347</v>
      </c>
      <c r="P256" s="2" t="s">
        <v>461</v>
      </c>
      <c r="Q256" s="2"/>
      <c r="R256" s="2" t="s">
        <v>2346</v>
      </c>
    </row>
    <row r="257" customFormat="false" ht="23.85" hidden="false" customHeight="false" outlineLevel="0" collapsed="false">
      <c r="A257" s="2" t="s">
        <v>2176</v>
      </c>
      <c r="B257" s="2"/>
      <c r="C257" s="2" t="s">
        <v>2300</v>
      </c>
      <c r="D257" s="2" t="s">
        <v>56</v>
      </c>
      <c r="E257" s="2" t="s">
        <v>536</v>
      </c>
      <c r="F257" s="2" t="s">
        <v>2341</v>
      </c>
      <c r="G257" s="2"/>
      <c r="H257" s="2"/>
      <c r="I257" s="2" t="s">
        <v>40</v>
      </c>
      <c r="J257" s="2"/>
      <c r="K257" s="2" t="s">
        <v>2342</v>
      </c>
      <c r="L257" s="2"/>
      <c r="M257" s="2" t="s">
        <v>2343</v>
      </c>
      <c r="N257" s="2" t="s">
        <v>2344</v>
      </c>
      <c r="O257" s="2" t="s">
        <v>2350</v>
      </c>
      <c r="P257" s="2" t="s">
        <v>461</v>
      </c>
      <c r="Q257" s="2" t="s">
        <v>1768</v>
      </c>
      <c r="R257" s="2" t="s">
        <v>2346</v>
      </c>
    </row>
    <row r="258" customFormat="false" ht="23.85" hidden="false" customHeight="false" outlineLevel="0" collapsed="false">
      <c r="A258" s="2" t="s">
        <v>2179</v>
      </c>
      <c r="B258" s="2"/>
      <c r="C258" s="2" t="s">
        <v>2300</v>
      </c>
      <c r="D258" s="2" t="s">
        <v>56</v>
      </c>
      <c r="E258" s="2" t="s">
        <v>623</v>
      </c>
      <c r="F258" s="2" t="s">
        <v>2341</v>
      </c>
      <c r="G258" s="2"/>
      <c r="H258" s="2"/>
      <c r="I258" s="2" t="s">
        <v>40</v>
      </c>
      <c r="J258" s="2"/>
      <c r="K258" s="2" t="s">
        <v>2342</v>
      </c>
      <c r="L258" s="2"/>
      <c r="M258" s="2" t="s">
        <v>2343</v>
      </c>
      <c r="N258" s="2" t="s">
        <v>2344</v>
      </c>
      <c r="O258" s="2" t="s">
        <v>2347</v>
      </c>
      <c r="P258" s="2" t="s">
        <v>461</v>
      </c>
      <c r="Q258" s="2" t="s">
        <v>1768</v>
      </c>
      <c r="R258" s="2" t="s">
        <v>2346</v>
      </c>
    </row>
    <row r="259" customFormat="false" ht="23.85" hidden="false" customHeight="false" outlineLevel="0" collapsed="false">
      <c r="A259" s="2" t="s">
        <v>2183</v>
      </c>
      <c r="B259" s="2"/>
      <c r="C259" s="2" t="s">
        <v>2300</v>
      </c>
      <c r="D259" s="2" t="s">
        <v>56</v>
      </c>
      <c r="E259" s="2" t="s">
        <v>505</v>
      </c>
      <c r="F259" s="2" t="s">
        <v>2341</v>
      </c>
      <c r="G259" s="2"/>
      <c r="H259" s="2"/>
      <c r="I259" s="2" t="s">
        <v>40</v>
      </c>
      <c r="J259" s="2"/>
      <c r="K259" s="2" t="s">
        <v>2342</v>
      </c>
      <c r="L259" s="2"/>
      <c r="M259" s="2" t="s">
        <v>2343</v>
      </c>
      <c r="N259" s="2" t="s">
        <v>2344</v>
      </c>
      <c r="O259" s="2" t="s">
        <v>2349</v>
      </c>
      <c r="P259" s="2" t="s">
        <v>495</v>
      </c>
      <c r="Q259" s="2" t="s">
        <v>1768</v>
      </c>
      <c r="R259" s="2" t="s">
        <v>2346</v>
      </c>
    </row>
    <row r="260" customFormat="false" ht="23.85" hidden="false" customHeight="false" outlineLevel="0" collapsed="false">
      <c r="A260" s="2" t="s">
        <v>2186</v>
      </c>
      <c r="B260" s="2"/>
      <c r="C260" s="2" t="s">
        <v>2300</v>
      </c>
      <c r="D260" s="2" t="s">
        <v>56</v>
      </c>
      <c r="E260" s="2" t="s">
        <v>534</v>
      </c>
      <c r="F260" s="2" t="s">
        <v>2341</v>
      </c>
      <c r="G260" s="2"/>
      <c r="H260" s="2"/>
      <c r="I260" s="2" t="s">
        <v>40</v>
      </c>
      <c r="J260" s="2"/>
      <c r="K260" s="2" t="s">
        <v>2342</v>
      </c>
      <c r="L260" s="2"/>
      <c r="M260" s="2" t="s">
        <v>2343</v>
      </c>
      <c r="N260" s="2" t="s">
        <v>2344</v>
      </c>
      <c r="O260" s="2" t="s">
        <v>2350</v>
      </c>
      <c r="P260" s="2" t="s">
        <v>461</v>
      </c>
      <c r="Q260" s="2" t="s">
        <v>1768</v>
      </c>
      <c r="R260" s="2" t="s">
        <v>2346</v>
      </c>
    </row>
    <row r="261" customFormat="false" ht="23.85" hidden="false" customHeight="false" outlineLevel="0" collapsed="false">
      <c r="A261" s="2" t="s">
        <v>2189</v>
      </c>
      <c r="B261" s="2"/>
      <c r="C261" s="2" t="s">
        <v>2300</v>
      </c>
      <c r="D261" s="2" t="s">
        <v>56</v>
      </c>
      <c r="E261" s="2" t="s">
        <v>472</v>
      </c>
      <c r="F261" s="2" t="s">
        <v>2341</v>
      </c>
      <c r="G261" s="2"/>
      <c r="H261" s="2"/>
      <c r="I261" s="2" t="s">
        <v>40</v>
      </c>
      <c r="J261" s="2"/>
      <c r="K261" s="2" t="s">
        <v>2342</v>
      </c>
      <c r="L261" s="2"/>
      <c r="M261" s="2" t="s">
        <v>2343</v>
      </c>
      <c r="N261" s="2" t="s">
        <v>2344</v>
      </c>
      <c r="O261" s="2" t="s">
        <v>2347</v>
      </c>
      <c r="P261" s="2" t="s">
        <v>461</v>
      </c>
      <c r="Q261" s="2" t="s">
        <v>1768</v>
      </c>
      <c r="R261" s="2" t="s">
        <v>2346</v>
      </c>
    </row>
    <row r="262" customFormat="false" ht="23.85" hidden="false" customHeight="false" outlineLevel="0" collapsed="false">
      <c r="A262" s="2" t="s">
        <v>2193</v>
      </c>
      <c r="B262" s="2"/>
      <c r="C262" s="2" t="s">
        <v>2300</v>
      </c>
      <c r="D262" s="2" t="s">
        <v>56</v>
      </c>
      <c r="E262" s="2" t="s">
        <v>287</v>
      </c>
      <c r="F262" s="2" t="s">
        <v>2341</v>
      </c>
      <c r="G262" s="2"/>
      <c r="H262" s="2"/>
      <c r="I262" s="2" t="s">
        <v>40</v>
      </c>
      <c r="J262" s="2"/>
      <c r="K262" s="2" t="s">
        <v>2342</v>
      </c>
      <c r="L262" s="2"/>
      <c r="M262" s="2" t="s">
        <v>2343</v>
      </c>
      <c r="N262" s="2" t="s">
        <v>2344</v>
      </c>
      <c r="O262" s="2" t="s">
        <v>2347</v>
      </c>
      <c r="P262" s="2" t="s">
        <v>461</v>
      </c>
      <c r="Q262" s="2" t="s">
        <v>1768</v>
      </c>
      <c r="R262" s="2" t="s">
        <v>2346</v>
      </c>
    </row>
    <row r="263" customFormat="false" ht="23.85" hidden="false" customHeight="false" outlineLevel="0" collapsed="false">
      <c r="A263" s="2" t="s">
        <v>2196</v>
      </c>
      <c r="B263" s="2"/>
      <c r="C263" s="2" t="s">
        <v>2300</v>
      </c>
      <c r="D263" s="2" t="s">
        <v>56</v>
      </c>
      <c r="E263" s="2" t="s">
        <v>515</v>
      </c>
      <c r="F263" s="2" t="s">
        <v>2341</v>
      </c>
      <c r="G263" s="2"/>
      <c r="H263" s="2"/>
      <c r="I263" s="2" t="s">
        <v>40</v>
      </c>
      <c r="J263" s="2"/>
      <c r="K263" s="2" t="s">
        <v>2342</v>
      </c>
      <c r="L263" s="2"/>
      <c r="M263" s="2" t="s">
        <v>2343</v>
      </c>
      <c r="N263" s="2" t="s">
        <v>2344</v>
      </c>
      <c r="O263" s="2" t="s">
        <v>2350</v>
      </c>
      <c r="P263" s="2" t="s">
        <v>461</v>
      </c>
      <c r="Q263" s="2" t="s">
        <v>1768</v>
      </c>
      <c r="R263" s="2" t="s">
        <v>2346</v>
      </c>
    </row>
    <row r="264" customFormat="false" ht="23.85" hidden="false" customHeight="false" outlineLevel="0" collapsed="false">
      <c r="A264" s="2" t="s">
        <v>2199</v>
      </c>
      <c r="B264" s="2"/>
      <c r="C264" s="2" t="s">
        <v>2300</v>
      </c>
      <c r="D264" s="2" t="s">
        <v>56</v>
      </c>
      <c r="E264" s="2" t="s">
        <v>507</v>
      </c>
      <c r="F264" s="2" t="s">
        <v>2341</v>
      </c>
      <c r="G264" s="2"/>
      <c r="H264" s="2"/>
      <c r="I264" s="2" t="s">
        <v>40</v>
      </c>
      <c r="J264" s="2"/>
      <c r="K264" s="2" t="s">
        <v>2342</v>
      </c>
      <c r="L264" s="2"/>
      <c r="M264" s="2" t="s">
        <v>2343</v>
      </c>
      <c r="N264" s="2" t="s">
        <v>2344</v>
      </c>
      <c r="O264" s="2" t="s">
        <v>2349</v>
      </c>
      <c r="P264" s="2" t="s">
        <v>495</v>
      </c>
      <c r="Q264" s="2" t="s">
        <v>1768</v>
      </c>
      <c r="R264" s="2" t="s">
        <v>2346</v>
      </c>
    </row>
    <row r="265" customFormat="false" ht="23.85" hidden="false" customHeight="false" outlineLevel="0" collapsed="false">
      <c r="A265" s="2" t="s">
        <v>2202</v>
      </c>
      <c r="B265" s="2"/>
      <c r="C265" s="2" t="s">
        <v>2300</v>
      </c>
      <c r="D265" s="2" t="s">
        <v>56</v>
      </c>
      <c r="E265" s="2" t="s">
        <v>374</v>
      </c>
      <c r="F265" s="2" t="s">
        <v>2341</v>
      </c>
      <c r="G265" s="2"/>
      <c r="H265" s="2"/>
      <c r="I265" s="2" t="s">
        <v>40</v>
      </c>
      <c r="J265" s="2"/>
      <c r="K265" s="2" t="s">
        <v>2342</v>
      </c>
      <c r="L265" s="2"/>
      <c r="M265" s="2" t="s">
        <v>2343</v>
      </c>
      <c r="N265" s="2" t="s">
        <v>2344</v>
      </c>
      <c r="O265" s="2" t="s">
        <v>2347</v>
      </c>
      <c r="P265" s="2" t="s">
        <v>461</v>
      </c>
      <c r="Q265" s="2" t="s">
        <v>1768</v>
      </c>
      <c r="R265" s="2" t="s">
        <v>2346</v>
      </c>
    </row>
    <row r="266" customFormat="false" ht="23.85" hidden="false" customHeight="false" outlineLevel="0" collapsed="false">
      <c r="A266" s="2" t="s">
        <v>2205</v>
      </c>
      <c r="B266" s="2"/>
      <c r="C266" s="2" t="s">
        <v>2300</v>
      </c>
      <c r="D266" s="2" t="s">
        <v>56</v>
      </c>
      <c r="E266" s="2" t="s">
        <v>275</v>
      </c>
      <c r="F266" s="2" t="s">
        <v>2341</v>
      </c>
      <c r="G266" s="2"/>
      <c r="H266" s="2"/>
      <c r="I266" s="2" t="s">
        <v>40</v>
      </c>
      <c r="J266" s="2"/>
      <c r="K266" s="2" t="s">
        <v>2342</v>
      </c>
      <c r="L266" s="2"/>
      <c r="M266" s="2" t="s">
        <v>2343</v>
      </c>
      <c r="N266" s="2" t="s">
        <v>2344</v>
      </c>
      <c r="O266" s="2" t="s">
        <v>2347</v>
      </c>
      <c r="P266" s="2" t="s">
        <v>461</v>
      </c>
      <c r="Q266" s="2"/>
      <c r="R266" s="2" t="s">
        <v>2346</v>
      </c>
    </row>
    <row r="267" customFormat="false" ht="23.85" hidden="false" customHeight="false" outlineLevel="0" collapsed="false">
      <c r="A267" s="2" t="s">
        <v>2208</v>
      </c>
      <c r="B267" s="2"/>
      <c r="C267" s="2" t="s">
        <v>2300</v>
      </c>
      <c r="D267" s="2" t="s">
        <v>56</v>
      </c>
      <c r="E267" s="2" t="s">
        <v>377</v>
      </c>
      <c r="F267" s="2" t="s">
        <v>2341</v>
      </c>
      <c r="G267" s="2"/>
      <c r="H267" s="2"/>
      <c r="I267" s="2" t="s">
        <v>40</v>
      </c>
      <c r="J267" s="2"/>
      <c r="K267" s="2" t="s">
        <v>2342</v>
      </c>
      <c r="L267" s="2"/>
      <c r="M267" s="2" t="s">
        <v>2343</v>
      </c>
      <c r="N267" s="2" t="s">
        <v>2344</v>
      </c>
      <c r="O267" s="2" t="s">
        <v>2350</v>
      </c>
      <c r="P267" s="2" t="s">
        <v>2348</v>
      </c>
      <c r="Q267" s="2" t="s">
        <v>1768</v>
      </c>
      <c r="R267" s="2" t="s">
        <v>2346</v>
      </c>
    </row>
    <row r="268" customFormat="false" ht="23.85" hidden="false" customHeight="false" outlineLevel="0" collapsed="false">
      <c r="A268" s="2" t="s">
        <v>2211</v>
      </c>
      <c r="B268" s="2"/>
      <c r="C268" s="2" t="s">
        <v>2300</v>
      </c>
      <c r="D268" s="2" t="s">
        <v>56</v>
      </c>
      <c r="E268" s="2" t="s">
        <v>544</v>
      </c>
      <c r="F268" s="2" t="s">
        <v>2341</v>
      </c>
      <c r="G268" s="2"/>
      <c r="H268" s="2"/>
      <c r="I268" s="2" t="s">
        <v>40</v>
      </c>
      <c r="J268" s="2"/>
      <c r="K268" s="2" t="s">
        <v>2342</v>
      </c>
      <c r="L268" s="2"/>
      <c r="M268" s="2" t="s">
        <v>2343</v>
      </c>
      <c r="N268" s="2" t="s">
        <v>2344</v>
      </c>
      <c r="O268" s="2" t="s">
        <v>2347</v>
      </c>
      <c r="P268" s="2" t="s">
        <v>461</v>
      </c>
      <c r="Q268" s="2" t="s">
        <v>1768</v>
      </c>
      <c r="R268" s="2" t="s">
        <v>2346</v>
      </c>
    </row>
    <row r="269" customFormat="false" ht="23.85" hidden="false" customHeight="false" outlineLevel="0" collapsed="false">
      <c r="A269" s="2" t="s">
        <v>2214</v>
      </c>
      <c r="B269" s="2"/>
      <c r="C269" s="2" t="s">
        <v>2300</v>
      </c>
      <c r="D269" s="2" t="s">
        <v>56</v>
      </c>
      <c r="E269" s="2" t="s">
        <v>502</v>
      </c>
      <c r="F269" s="2" t="s">
        <v>2341</v>
      </c>
      <c r="G269" s="2"/>
      <c r="H269" s="2"/>
      <c r="I269" s="2" t="s">
        <v>47</v>
      </c>
      <c r="J269" s="2"/>
      <c r="K269" s="2" t="s">
        <v>2342</v>
      </c>
      <c r="L269" s="2"/>
      <c r="M269" s="2" t="s">
        <v>2343</v>
      </c>
      <c r="N269" s="2" t="s">
        <v>2344</v>
      </c>
      <c r="O269" s="2" t="s">
        <v>2345</v>
      </c>
      <c r="P269" s="2" t="s">
        <v>461</v>
      </c>
      <c r="Q269" s="2" t="s">
        <v>1768</v>
      </c>
      <c r="R269" s="2" t="s">
        <v>2346</v>
      </c>
    </row>
    <row r="270" customFormat="false" ht="23.85" hidden="false" customHeight="false" outlineLevel="0" collapsed="false">
      <c r="A270" s="2" t="s">
        <v>2217</v>
      </c>
      <c r="B270" s="2"/>
      <c r="C270" s="2" t="s">
        <v>2300</v>
      </c>
      <c r="D270" s="2" t="s">
        <v>56</v>
      </c>
      <c r="E270" s="2" t="s">
        <v>636</v>
      </c>
      <c r="F270" s="2" t="s">
        <v>2341</v>
      </c>
      <c r="G270" s="2"/>
      <c r="H270" s="2"/>
      <c r="I270" s="2" t="s">
        <v>47</v>
      </c>
      <c r="J270" s="2"/>
      <c r="K270" s="2" t="s">
        <v>2342</v>
      </c>
      <c r="L270" s="2"/>
      <c r="M270" s="2" t="s">
        <v>2343</v>
      </c>
      <c r="N270" s="2" t="s">
        <v>2344</v>
      </c>
      <c r="O270" s="2" t="s">
        <v>2345</v>
      </c>
      <c r="P270" s="2" t="s">
        <v>461</v>
      </c>
      <c r="Q270" s="2" t="s">
        <v>1768</v>
      </c>
      <c r="R270" s="2" t="s">
        <v>2346</v>
      </c>
    </row>
    <row r="271" customFormat="false" ht="23.85" hidden="false" customHeight="false" outlineLevel="0" collapsed="false">
      <c r="A271" s="2" t="s">
        <v>2221</v>
      </c>
      <c r="B271" s="2"/>
      <c r="C271" s="2" t="s">
        <v>2300</v>
      </c>
      <c r="D271" s="2" t="s">
        <v>56</v>
      </c>
      <c r="E271" s="2" t="s">
        <v>542</v>
      </c>
      <c r="F271" s="2" t="s">
        <v>2341</v>
      </c>
      <c r="G271" s="2"/>
      <c r="H271" s="2"/>
      <c r="I271" s="2" t="s">
        <v>40</v>
      </c>
      <c r="J271" s="2"/>
      <c r="K271" s="2" t="s">
        <v>2342</v>
      </c>
      <c r="L271" s="2"/>
      <c r="M271" s="2" t="s">
        <v>2343</v>
      </c>
      <c r="N271" s="2" t="s">
        <v>2344</v>
      </c>
      <c r="O271" s="2" t="s">
        <v>2350</v>
      </c>
      <c r="P271" s="2" t="s">
        <v>461</v>
      </c>
      <c r="Q271" s="2" t="s">
        <v>1768</v>
      </c>
      <c r="R271" s="2" t="s">
        <v>2346</v>
      </c>
    </row>
    <row r="272" customFormat="false" ht="23.85" hidden="false" customHeight="false" outlineLevel="0" collapsed="false">
      <c r="A272" s="2" t="s">
        <v>2224</v>
      </c>
      <c r="B272" s="2"/>
      <c r="C272" s="2" t="s">
        <v>2300</v>
      </c>
      <c r="D272" s="2" t="s">
        <v>56</v>
      </c>
      <c r="E272" s="2" t="s">
        <v>639</v>
      </c>
      <c r="F272" s="2" t="s">
        <v>2341</v>
      </c>
      <c r="G272" s="2"/>
      <c r="H272" s="2"/>
      <c r="I272" s="2" t="s">
        <v>47</v>
      </c>
      <c r="J272" s="2"/>
      <c r="K272" s="2" t="s">
        <v>2342</v>
      </c>
      <c r="L272" s="2"/>
      <c r="M272" s="2" t="s">
        <v>2343</v>
      </c>
      <c r="N272" s="2" t="s">
        <v>2344</v>
      </c>
      <c r="O272" s="2" t="s">
        <v>2345</v>
      </c>
      <c r="P272" s="2" t="s">
        <v>461</v>
      </c>
      <c r="Q272" s="2" t="s">
        <v>1768</v>
      </c>
      <c r="R272" s="2" t="s">
        <v>2346</v>
      </c>
    </row>
    <row r="273" customFormat="false" ht="23.85" hidden="false" customHeight="false" outlineLevel="0" collapsed="false">
      <c r="A273" s="2" t="s">
        <v>2228</v>
      </c>
      <c r="B273" s="2"/>
      <c r="C273" s="2" t="s">
        <v>2300</v>
      </c>
      <c r="D273" s="2" t="s">
        <v>56</v>
      </c>
      <c r="E273" s="2" t="s">
        <v>641</v>
      </c>
      <c r="F273" s="2" t="s">
        <v>2341</v>
      </c>
      <c r="G273" s="2"/>
      <c r="H273" s="2"/>
      <c r="I273" s="2" t="s">
        <v>47</v>
      </c>
      <c r="J273" s="2"/>
      <c r="K273" s="2" t="s">
        <v>2342</v>
      </c>
      <c r="L273" s="2"/>
      <c r="M273" s="2" t="s">
        <v>2343</v>
      </c>
      <c r="N273" s="2" t="s">
        <v>2344</v>
      </c>
      <c r="O273" s="2" t="s">
        <v>2345</v>
      </c>
      <c r="P273" s="2" t="s">
        <v>461</v>
      </c>
      <c r="Q273" s="2" t="s">
        <v>1768</v>
      </c>
      <c r="R273" s="2" t="s">
        <v>2346</v>
      </c>
    </row>
    <row r="274" customFormat="false" ht="23.85" hidden="false" customHeight="false" outlineLevel="0" collapsed="false">
      <c r="A274" s="2" t="s">
        <v>2232</v>
      </c>
      <c r="B274" s="2"/>
      <c r="C274" s="2" t="s">
        <v>2300</v>
      </c>
      <c r="D274" s="2" t="s">
        <v>56</v>
      </c>
      <c r="E274" s="2" t="s">
        <v>291</v>
      </c>
      <c r="F274" s="2" t="s">
        <v>2341</v>
      </c>
      <c r="G274" s="2"/>
      <c r="H274" s="2"/>
      <c r="I274" s="2" t="s">
        <v>47</v>
      </c>
      <c r="J274" s="2"/>
      <c r="K274" s="2" t="s">
        <v>2342</v>
      </c>
      <c r="L274" s="2"/>
      <c r="M274" s="2" t="s">
        <v>2343</v>
      </c>
      <c r="N274" s="2" t="s">
        <v>2344</v>
      </c>
      <c r="O274" s="2" t="s">
        <v>2345</v>
      </c>
      <c r="P274" s="2" t="s">
        <v>461</v>
      </c>
      <c r="Q274" s="2" t="s">
        <v>1768</v>
      </c>
      <c r="R274" s="2" t="s">
        <v>2346</v>
      </c>
    </row>
    <row r="275" customFormat="false" ht="23.85" hidden="false" customHeight="false" outlineLevel="0" collapsed="false">
      <c r="A275" s="2" t="s">
        <v>2235</v>
      </c>
      <c r="B275" s="2"/>
      <c r="C275" s="2" t="s">
        <v>2300</v>
      </c>
      <c r="D275" s="2" t="s">
        <v>56</v>
      </c>
      <c r="E275" s="2" t="s">
        <v>339</v>
      </c>
      <c r="F275" s="2" t="s">
        <v>2341</v>
      </c>
      <c r="G275" s="2"/>
      <c r="H275" s="2"/>
      <c r="I275" s="2" t="s">
        <v>47</v>
      </c>
      <c r="J275" s="2"/>
      <c r="K275" s="2" t="s">
        <v>2342</v>
      </c>
      <c r="L275" s="2"/>
      <c r="M275" s="2" t="s">
        <v>2343</v>
      </c>
      <c r="N275" s="2" t="s">
        <v>2344</v>
      </c>
      <c r="O275" s="2" t="s">
        <v>2345</v>
      </c>
      <c r="P275" s="2" t="s">
        <v>461</v>
      </c>
      <c r="Q275" s="2" t="s">
        <v>1768</v>
      </c>
      <c r="R275" s="2" t="s">
        <v>2346</v>
      </c>
    </row>
    <row r="276" customFormat="false" ht="23.85" hidden="false" customHeight="false" outlineLevel="0" collapsed="false">
      <c r="A276" s="2" t="s">
        <v>2239</v>
      </c>
      <c r="B276" s="2"/>
      <c r="C276" s="2" t="s">
        <v>2300</v>
      </c>
      <c r="D276" s="2" t="s">
        <v>56</v>
      </c>
      <c r="E276" s="2" t="s">
        <v>645</v>
      </c>
      <c r="F276" s="2" t="s">
        <v>2341</v>
      </c>
      <c r="G276" s="2"/>
      <c r="H276" s="2"/>
      <c r="I276" s="2" t="s">
        <v>40</v>
      </c>
      <c r="J276" s="2"/>
      <c r="K276" s="2" t="s">
        <v>2342</v>
      </c>
      <c r="L276" s="2"/>
      <c r="M276" s="2" t="s">
        <v>2343</v>
      </c>
      <c r="N276" s="2" t="s">
        <v>2344</v>
      </c>
      <c r="O276" s="2" t="s">
        <v>2345</v>
      </c>
      <c r="P276" s="2" t="s">
        <v>461</v>
      </c>
      <c r="Q276" s="2"/>
      <c r="R276" s="2" t="s">
        <v>2346</v>
      </c>
    </row>
    <row r="277" customFormat="false" ht="23.85" hidden="false" customHeight="false" outlineLevel="0" collapsed="false">
      <c r="A277" s="2" t="s">
        <v>2242</v>
      </c>
      <c r="B277" s="2"/>
      <c r="C277" s="2" t="s">
        <v>2300</v>
      </c>
      <c r="D277" s="2" t="s">
        <v>56</v>
      </c>
      <c r="E277" s="2" t="s">
        <v>647</v>
      </c>
      <c r="F277" s="2" t="s">
        <v>2341</v>
      </c>
      <c r="G277" s="2"/>
      <c r="H277" s="2"/>
      <c r="I277" s="2" t="s">
        <v>47</v>
      </c>
      <c r="J277" s="2"/>
      <c r="K277" s="2" t="s">
        <v>2342</v>
      </c>
      <c r="L277" s="2"/>
      <c r="M277" s="2" t="s">
        <v>2343</v>
      </c>
      <c r="N277" s="2" t="s">
        <v>2344</v>
      </c>
      <c r="O277" s="2" t="s">
        <v>2349</v>
      </c>
      <c r="P277" s="2" t="s">
        <v>461</v>
      </c>
      <c r="Q277" s="2" t="s">
        <v>1768</v>
      </c>
      <c r="R277" s="2" t="s">
        <v>2346</v>
      </c>
    </row>
    <row r="278" customFormat="false" ht="23.85" hidden="false" customHeight="false" outlineLevel="0" collapsed="false">
      <c r="A278" s="2" t="s">
        <v>2246</v>
      </c>
      <c r="B278" s="2"/>
      <c r="C278" s="2" t="s">
        <v>2300</v>
      </c>
      <c r="D278" s="2" t="s">
        <v>56</v>
      </c>
      <c r="E278" s="2" t="s">
        <v>649</v>
      </c>
      <c r="F278" s="2" t="s">
        <v>2341</v>
      </c>
      <c r="G278" s="2"/>
      <c r="H278" s="2"/>
      <c r="I278" s="2" t="s">
        <v>40</v>
      </c>
      <c r="J278" s="2"/>
      <c r="K278" s="2" t="s">
        <v>2342</v>
      </c>
      <c r="L278" s="2"/>
      <c r="M278" s="2" t="s">
        <v>2343</v>
      </c>
      <c r="N278" s="2" t="s">
        <v>2344</v>
      </c>
      <c r="O278" s="2" t="s">
        <v>2345</v>
      </c>
      <c r="P278" s="2" t="s">
        <v>461</v>
      </c>
      <c r="Q278" s="2"/>
      <c r="R278" s="2" t="s">
        <v>2346</v>
      </c>
    </row>
    <row r="279" customFormat="false" ht="23.85" hidden="false" customHeight="false" outlineLevel="0" collapsed="false">
      <c r="A279" s="2" t="s">
        <v>2251</v>
      </c>
      <c r="B279" s="2"/>
      <c r="C279" s="2" t="s">
        <v>2300</v>
      </c>
      <c r="D279" s="2" t="s">
        <v>56</v>
      </c>
      <c r="E279" s="2" t="s">
        <v>259</v>
      </c>
      <c r="F279" s="2" t="s">
        <v>2341</v>
      </c>
      <c r="G279" s="2"/>
      <c r="H279" s="2"/>
      <c r="I279" s="2" t="s">
        <v>47</v>
      </c>
      <c r="J279" s="2"/>
      <c r="K279" s="2" t="s">
        <v>2342</v>
      </c>
      <c r="L279" s="2"/>
      <c r="M279" s="2" t="s">
        <v>2343</v>
      </c>
      <c r="N279" s="2" t="s">
        <v>2344</v>
      </c>
      <c r="O279" s="2" t="s">
        <v>2345</v>
      </c>
      <c r="P279" s="2" t="s">
        <v>461</v>
      </c>
      <c r="Q279" s="2" t="s">
        <v>1768</v>
      </c>
      <c r="R279" s="2" t="s">
        <v>2346</v>
      </c>
    </row>
    <row r="280" customFormat="false" ht="23.85" hidden="false" customHeight="false" outlineLevel="0" collapsed="false">
      <c r="A280" s="2" t="s">
        <v>2254</v>
      </c>
      <c r="B280" s="2"/>
      <c r="C280" s="2" t="s">
        <v>2300</v>
      </c>
      <c r="D280" s="2" t="s">
        <v>56</v>
      </c>
      <c r="E280" s="2" t="s">
        <v>265</v>
      </c>
      <c r="F280" s="2" t="s">
        <v>2341</v>
      </c>
      <c r="G280" s="2"/>
      <c r="H280" s="2"/>
      <c r="I280" s="2" t="s">
        <v>47</v>
      </c>
      <c r="J280" s="2"/>
      <c r="K280" s="2" t="s">
        <v>2342</v>
      </c>
      <c r="L280" s="2"/>
      <c r="M280" s="2" t="s">
        <v>2343</v>
      </c>
      <c r="N280" s="2" t="s">
        <v>2344</v>
      </c>
      <c r="O280" s="2" t="s">
        <v>2345</v>
      </c>
      <c r="P280" s="2" t="s">
        <v>461</v>
      </c>
      <c r="Q280" s="2" t="s">
        <v>1768</v>
      </c>
      <c r="R280" s="2" t="s">
        <v>2346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3"/>
    <col collapsed="false" customWidth="true" hidden="false" outlineLevel="0" max="3" min="3" style="0" width="34"/>
    <col collapsed="false" customWidth="true" hidden="false" outlineLevel="0" max="4" min="4" style="0" width="25"/>
    <col collapsed="false" customWidth="true" hidden="false" outlineLevel="0" max="5" min="5" style="0" width="35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3" t="s">
        <v>2352</v>
      </c>
      <c r="B1" s="3" t="s">
        <v>2353</v>
      </c>
      <c r="C1" s="3" t="s">
        <v>2354</v>
      </c>
      <c r="D1" s="3" t="s">
        <v>2355</v>
      </c>
      <c r="E1" s="3" t="s">
        <v>2356</v>
      </c>
      <c r="F1" s="3" t="s">
        <v>2357</v>
      </c>
    </row>
    <row r="2" customFormat="false" ht="23.85" hidden="false" customHeight="false" outlineLevel="0" collapsed="false">
      <c r="A2" s="2" t="s">
        <v>2285</v>
      </c>
      <c r="B2" s="2" t="s">
        <v>2300</v>
      </c>
      <c r="C2" s="2" t="s">
        <v>34</v>
      </c>
      <c r="D2" s="2" t="s">
        <v>1098</v>
      </c>
      <c r="E2" s="2" t="s">
        <v>2358</v>
      </c>
      <c r="F2" s="2" t="s">
        <v>2359</v>
      </c>
    </row>
    <row r="3" customFormat="false" ht="15" hidden="false" customHeight="false" outlineLevel="0" collapsed="false">
      <c r="A3" s="2" t="s">
        <v>2286</v>
      </c>
      <c r="B3" s="2" t="s">
        <v>56</v>
      </c>
      <c r="C3" s="2" t="s">
        <v>56</v>
      </c>
      <c r="D3" s="2" t="s">
        <v>1129</v>
      </c>
      <c r="E3" s="2" t="s">
        <v>2360</v>
      </c>
      <c r="F3" s="2" t="s">
        <v>2359</v>
      </c>
    </row>
    <row r="4" customFormat="false" ht="15" hidden="false" customHeight="false" outlineLevel="0" collapsed="false">
      <c r="A4" s="2" t="s">
        <v>2361</v>
      </c>
      <c r="B4" s="2" t="s">
        <v>35</v>
      </c>
      <c r="C4" s="2" t="s">
        <v>35</v>
      </c>
      <c r="D4" s="2" t="s">
        <v>1111</v>
      </c>
      <c r="E4" s="2" t="s">
        <v>2362</v>
      </c>
      <c r="F4" s="2" t="s">
        <v>2359</v>
      </c>
    </row>
    <row r="5" customFormat="false" ht="15" hidden="false" customHeight="false" outlineLevel="0" collapsed="false">
      <c r="A5" s="2" t="s">
        <v>2288</v>
      </c>
      <c r="B5" s="2" t="s">
        <v>1764</v>
      </c>
      <c r="C5" s="2" t="s">
        <v>2363</v>
      </c>
      <c r="D5" s="2" t="s">
        <v>2364</v>
      </c>
      <c r="E5" s="2" t="s">
        <v>2365</v>
      </c>
      <c r="F5" s="2" t="s">
        <v>2359</v>
      </c>
    </row>
    <row r="6" customFormat="false" ht="15" hidden="false" customHeight="false" outlineLevel="0" collapsed="false">
      <c r="A6" s="2" t="s">
        <v>2290</v>
      </c>
      <c r="B6" s="2" t="s">
        <v>2366</v>
      </c>
      <c r="C6" s="2" t="s">
        <v>2366</v>
      </c>
      <c r="D6" s="2"/>
      <c r="E6" s="2" t="s">
        <v>2367</v>
      </c>
      <c r="F6" s="2" t="s">
        <v>2368</v>
      </c>
    </row>
    <row r="7" customFormat="false" ht="15" hidden="false" customHeight="false" outlineLevel="0" collapsed="false">
      <c r="A7" s="2" t="s">
        <v>2291</v>
      </c>
      <c r="B7" s="2" t="s">
        <v>2366</v>
      </c>
      <c r="C7" s="2" t="s">
        <v>2366</v>
      </c>
      <c r="D7" s="2"/>
      <c r="E7" s="2" t="s">
        <v>2367</v>
      </c>
      <c r="F7" s="2" t="s">
        <v>2368</v>
      </c>
    </row>
    <row r="8" customFormat="false" ht="15" hidden="false" customHeight="false" outlineLevel="0" collapsed="false">
      <c r="A8" s="2" t="s">
        <v>2292</v>
      </c>
      <c r="B8" s="2" t="s">
        <v>2366</v>
      </c>
      <c r="C8" s="2" t="s">
        <v>2366</v>
      </c>
      <c r="D8" s="2"/>
      <c r="E8" s="2" t="s">
        <v>2369</v>
      </c>
      <c r="F8" s="2" t="s">
        <v>2368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5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3" t="s">
        <v>2370</v>
      </c>
      <c r="B1" s="3" t="s">
        <v>2354</v>
      </c>
      <c r="C1" s="3" t="s">
        <v>2355</v>
      </c>
      <c r="D1" s="3" t="s">
        <v>1097</v>
      </c>
    </row>
    <row r="2" customFormat="false" ht="15" hidden="false" customHeight="false" outlineLevel="0" collapsed="false">
      <c r="A2" s="2" t="n">
        <v>1</v>
      </c>
      <c r="B2" s="2" t="s">
        <v>34</v>
      </c>
      <c r="C2" s="2" t="s">
        <v>1098</v>
      </c>
      <c r="D2" s="2" t="s">
        <v>2371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5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3" t="s">
        <v>2370</v>
      </c>
      <c r="B1" s="3" t="s">
        <v>2354</v>
      </c>
      <c r="C1" s="3" t="s">
        <v>2355</v>
      </c>
      <c r="D1" s="3" t="s">
        <v>1097</v>
      </c>
    </row>
    <row r="2" customFormat="false" ht="15" hidden="false" customHeight="false" outlineLevel="0" collapsed="false">
      <c r="A2" s="2" t="n">
        <v>1</v>
      </c>
      <c r="B2" s="2" t="s">
        <v>35</v>
      </c>
      <c r="C2" s="2" t="s">
        <v>1111</v>
      </c>
      <c r="D2" s="2" t="s">
        <v>2372</v>
      </c>
    </row>
    <row r="3" customFormat="false" ht="15" hidden="false" customHeight="false" outlineLevel="0" collapsed="false">
      <c r="A3" s="2" t="n">
        <v>2</v>
      </c>
      <c r="B3" s="2" t="s">
        <v>2373</v>
      </c>
      <c r="C3" s="2" t="s">
        <v>2374</v>
      </c>
      <c r="D3" s="2" t="s">
        <v>2375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5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3" t="s">
        <v>2370</v>
      </c>
      <c r="B1" s="3" t="s">
        <v>2354</v>
      </c>
      <c r="C1" s="3" t="s">
        <v>2355</v>
      </c>
      <c r="D1" s="3" t="s">
        <v>1193</v>
      </c>
    </row>
    <row r="2" customFormat="false" ht="15" hidden="false" customHeight="false" outlineLevel="0" collapsed="false">
      <c r="A2" s="2" t="n">
        <v>1</v>
      </c>
      <c r="B2" s="2" t="s">
        <v>2376</v>
      </c>
      <c r="C2" s="2" t="s">
        <v>2377</v>
      </c>
      <c r="D2" s="2" t="s">
        <v>2378</v>
      </c>
    </row>
    <row r="3" customFormat="false" ht="23.85" hidden="false" customHeight="false" outlineLevel="0" collapsed="false">
      <c r="A3" s="2" t="n">
        <v>2</v>
      </c>
      <c r="B3" s="2" t="s">
        <v>212</v>
      </c>
      <c r="C3" s="2" t="s">
        <v>2379</v>
      </c>
      <c r="D3" s="2" t="s">
        <v>2380</v>
      </c>
    </row>
    <row r="4" customFormat="false" ht="15" hidden="false" customHeight="false" outlineLevel="0" collapsed="false">
      <c r="A4" s="2" t="n">
        <v>3</v>
      </c>
      <c r="B4" s="2" t="s">
        <v>2381</v>
      </c>
      <c r="C4" s="2" t="s">
        <v>2382</v>
      </c>
      <c r="D4" s="2" t="s">
        <v>2383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5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3" t="s">
        <v>2370</v>
      </c>
      <c r="B1" s="3" t="s">
        <v>2354</v>
      </c>
      <c r="C1" s="3" t="s">
        <v>2355</v>
      </c>
      <c r="D1" s="3" t="s">
        <v>1097</v>
      </c>
    </row>
    <row r="2" customFormat="false" ht="15" hidden="false" customHeight="false" outlineLevel="0" collapsed="false">
      <c r="A2" s="2" t="n">
        <v>1</v>
      </c>
      <c r="B2" s="2" t="s">
        <v>2373</v>
      </c>
      <c r="C2" s="2" t="s">
        <v>2374</v>
      </c>
      <c r="D2" s="2" t="s">
        <v>2375</v>
      </c>
    </row>
    <row r="3" customFormat="false" ht="15" hidden="false" customHeight="false" outlineLevel="0" collapsed="false">
      <c r="A3" s="2" t="n">
        <v>2</v>
      </c>
      <c r="B3" s="2" t="s">
        <v>42</v>
      </c>
      <c r="C3" s="2" t="s">
        <v>1108</v>
      </c>
      <c r="D3" s="2" t="s">
        <v>2384</v>
      </c>
    </row>
    <row r="4" customFormat="false" ht="15" hidden="false" customHeight="false" outlineLevel="0" collapsed="false">
      <c r="A4" s="2" t="n">
        <v>3</v>
      </c>
      <c r="B4" s="2" t="s">
        <v>35</v>
      </c>
      <c r="C4" s="2" t="s">
        <v>1111</v>
      </c>
      <c r="D4" s="2" t="s">
        <v>2385</v>
      </c>
    </row>
    <row r="5" customFormat="false" ht="15" hidden="false" customHeight="false" outlineLevel="0" collapsed="false">
      <c r="A5" s="2" t="n">
        <v>4</v>
      </c>
      <c r="B5" s="2" t="s">
        <v>49</v>
      </c>
      <c r="C5" s="2" t="s">
        <v>1105</v>
      </c>
      <c r="D5" s="2" t="s">
        <v>2386</v>
      </c>
    </row>
    <row r="6" customFormat="false" ht="15" hidden="false" customHeight="false" outlineLevel="0" collapsed="false">
      <c r="A6" s="2" t="n">
        <v>5</v>
      </c>
      <c r="B6" s="2" t="s">
        <v>2387</v>
      </c>
      <c r="C6" s="2" t="s">
        <v>2388</v>
      </c>
      <c r="D6" s="2" t="s">
        <v>2389</v>
      </c>
    </row>
    <row r="7" customFormat="false" ht="15" hidden="false" customHeight="false" outlineLevel="0" collapsed="false">
      <c r="A7" s="2" t="n">
        <v>6</v>
      </c>
      <c r="B7" s="2" t="s">
        <v>2390</v>
      </c>
      <c r="C7" s="2" t="s">
        <v>2391</v>
      </c>
      <c r="D7" s="2" t="s">
        <v>2392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5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3" t="s">
        <v>2370</v>
      </c>
      <c r="B1" s="3" t="s">
        <v>2354</v>
      </c>
      <c r="C1" s="3" t="s">
        <v>2355</v>
      </c>
      <c r="D1" s="3" t="s">
        <v>1097</v>
      </c>
    </row>
    <row r="2" customFormat="false" ht="15" hidden="false" customHeight="false" outlineLevel="0" collapsed="false">
      <c r="A2" s="2" t="n">
        <v>1</v>
      </c>
      <c r="B2" s="2" t="s">
        <v>56</v>
      </c>
      <c r="C2" s="2" t="s">
        <v>1129</v>
      </c>
      <c r="D2" s="2" t="s">
        <v>2385</v>
      </c>
    </row>
    <row r="3" customFormat="false" ht="15" hidden="false" customHeight="false" outlineLevel="0" collapsed="false">
      <c r="A3" s="2" t="n">
        <v>2</v>
      </c>
      <c r="B3" s="2" t="s">
        <v>875</v>
      </c>
      <c r="C3" s="2" t="s">
        <v>2393</v>
      </c>
      <c r="D3" s="2" t="s">
        <v>2394</v>
      </c>
    </row>
    <row r="4" customFormat="false" ht="15" hidden="false" customHeight="false" outlineLevel="0" collapsed="false">
      <c r="A4" s="2" t="n">
        <v>3</v>
      </c>
      <c r="B4" s="2" t="s">
        <v>2395</v>
      </c>
      <c r="C4" s="2" t="s">
        <v>2396</v>
      </c>
      <c r="D4" s="2" t="s">
        <v>2397</v>
      </c>
    </row>
    <row r="5" customFormat="false" ht="15" hidden="false" customHeight="false" outlineLevel="0" collapsed="false">
      <c r="A5" s="2" t="n">
        <v>4</v>
      </c>
      <c r="B5" s="2" t="s">
        <v>2398</v>
      </c>
      <c r="C5" s="2" t="s">
        <v>2399</v>
      </c>
      <c r="D5" s="2" t="s">
        <v>2400</v>
      </c>
    </row>
    <row r="6" customFormat="false" ht="15" hidden="false" customHeight="false" outlineLevel="0" collapsed="false">
      <c r="A6" s="2" t="n">
        <v>5</v>
      </c>
      <c r="B6" s="2" t="s">
        <v>2401</v>
      </c>
      <c r="C6" s="2" t="s">
        <v>2402</v>
      </c>
      <c r="D6" s="2" t="s">
        <v>2403</v>
      </c>
    </row>
    <row r="7" customFormat="false" ht="15" hidden="false" customHeight="false" outlineLevel="0" collapsed="false">
      <c r="A7" s="2" t="n">
        <v>6</v>
      </c>
      <c r="B7" s="2" t="s">
        <v>2404</v>
      </c>
      <c r="C7" s="2" t="s">
        <v>2405</v>
      </c>
      <c r="D7" s="2" t="s">
        <v>2406</v>
      </c>
    </row>
    <row r="8" customFormat="false" ht="15" hidden="false" customHeight="false" outlineLevel="0" collapsed="false">
      <c r="A8" s="2" t="n">
        <v>7</v>
      </c>
      <c r="B8" s="2" t="s">
        <v>2373</v>
      </c>
      <c r="C8" s="2" t="s">
        <v>2374</v>
      </c>
      <c r="D8" s="2" t="s">
        <v>2407</v>
      </c>
    </row>
    <row r="9" customFormat="false" ht="15" hidden="false" customHeight="false" outlineLevel="0" collapsed="false">
      <c r="A9" s="2" t="n">
        <v>8</v>
      </c>
      <c r="B9" s="2" t="s">
        <v>2387</v>
      </c>
      <c r="C9" s="2" t="s">
        <v>2388</v>
      </c>
      <c r="D9" s="2" t="s">
        <v>2408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5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3" t="s">
        <v>2370</v>
      </c>
      <c r="B1" s="3" t="s">
        <v>2354</v>
      </c>
      <c r="C1" s="3" t="s">
        <v>2355</v>
      </c>
      <c r="D1" s="3" t="s">
        <v>1097</v>
      </c>
    </row>
    <row r="2" customFormat="false" ht="15" hidden="false" customHeight="false" outlineLevel="0" collapsed="false">
      <c r="A2" s="2" t="n">
        <v>1</v>
      </c>
      <c r="B2" s="2" t="s">
        <v>2409</v>
      </c>
      <c r="C2" s="2" t="s">
        <v>2410</v>
      </c>
      <c r="D2" s="2" t="s">
        <v>2411</v>
      </c>
    </row>
    <row r="3" customFormat="false" ht="15" hidden="false" customHeight="false" outlineLevel="0" collapsed="false">
      <c r="A3" s="2" t="n">
        <v>2</v>
      </c>
      <c r="B3" s="2" t="s">
        <v>2412</v>
      </c>
      <c r="C3" s="2" t="s">
        <v>2397</v>
      </c>
      <c r="D3" s="2" t="s">
        <v>2413</v>
      </c>
    </row>
    <row r="4" customFormat="false" ht="15" hidden="false" customHeight="false" outlineLevel="0" collapsed="false">
      <c r="A4" s="2" t="n">
        <v>3</v>
      </c>
      <c r="B4" s="2" t="s">
        <v>2414</v>
      </c>
      <c r="C4" s="2" t="s">
        <v>2415</v>
      </c>
      <c r="D4" s="2" t="s">
        <v>2416</v>
      </c>
    </row>
    <row r="5" customFormat="false" ht="15" hidden="false" customHeight="false" outlineLevel="0" collapsed="false">
      <c r="A5" s="2" t="n">
        <v>4</v>
      </c>
      <c r="B5" s="2" t="s">
        <v>2417</v>
      </c>
      <c r="C5" s="2" t="s">
        <v>2400</v>
      </c>
      <c r="D5" s="2" t="s">
        <v>2418</v>
      </c>
    </row>
    <row r="6" customFormat="false" ht="15" hidden="false" customHeight="false" outlineLevel="0" collapsed="false">
      <c r="A6" s="2" t="n">
        <v>5</v>
      </c>
      <c r="B6" s="2" t="s">
        <v>2419</v>
      </c>
      <c r="C6" s="2" t="s">
        <v>2420</v>
      </c>
      <c r="D6" s="2" t="s">
        <v>2421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5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3" t="s">
        <v>2370</v>
      </c>
      <c r="B1" s="3" t="s">
        <v>2354</v>
      </c>
      <c r="C1" s="3" t="s">
        <v>2355</v>
      </c>
      <c r="D1" s="3" t="s">
        <v>1097</v>
      </c>
    </row>
    <row r="2" customFormat="false" ht="15" hidden="false" customHeight="false" outlineLevel="0" collapsed="false">
      <c r="A2" s="2" t="n">
        <v>1</v>
      </c>
      <c r="B2" s="2" t="s">
        <v>2422</v>
      </c>
      <c r="C2" s="2" t="s">
        <v>2423</v>
      </c>
      <c r="D2" s="2" t="s">
        <v>2424</v>
      </c>
    </row>
    <row r="3" customFormat="false" ht="15" hidden="false" customHeight="false" outlineLevel="0" collapsed="false">
      <c r="A3" s="2" t="n">
        <v>2</v>
      </c>
      <c r="B3" s="2" t="s">
        <v>2425</v>
      </c>
      <c r="C3" s="2" t="s">
        <v>2426</v>
      </c>
      <c r="D3" s="2" t="s">
        <v>2427</v>
      </c>
    </row>
    <row r="4" customFormat="false" ht="15" hidden="false" customHeight="false" outlineLevel="0" collapsed="false">
      <c r="A4" s="2" t="n">
        <v>3</v>
      </c>
      <c r="B4" s="2" t="s">
        <v>1125</v>
      </c>
      <c r="C4" s="2" t="s">
        <v>2428</v>
      </c>
      <c r="D4" s="2" t="s">
        <v>2429</v>
      </c>
    </row>
    <row r="5" customFormat="false" ht="15" hidden="false" customHeight="false" outlineLevel="0" collapsed="false">
      <c r="A5" s="2" t="n">
        <v>4</v>
      </c>
      <c r="B5" s="2" t="s">
        <v>1151</v>
      </c>
      <c r="C5" s="2" t="s">
        <v>1152</v>
      </c>
      <c r="D5" s="2" t="s">
        <v>2430</v>
      </c>
    </row>
    <row r="6" customFormat="false" ht="15" hidden="false" customHeight="false" outlineLevel="0" collapsed="false">
      <c r="A6" s="2" t="n">
        <v>5</v>
      </c>
      <c r="B6" s="2" t="s">
        <v>2431</v>
      </c>
      <c r="C6" s="2" t="s">
        <v>2432</v>
      </c>
      <c r="D6" s="2" t="s">
        <v>2433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5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3" t="s">
        <v>2370</v>
      </c>
      <c r="B1" s="3" t="s">
        <v>2354</v>
      </c>
      <c r="C1" s="3" t="s">
        <v>2355</v>
      </c>
      <c r="D1" s="3" t="s">
        <v>1097</v>
      </c>
    </row>
    <row r="2" customFormat="false" ht="15" hidden="false" customHeight="false" outlineLevel="0" collapsed="false">
      <c r="A2" s="2" t="n">
        <v>1</v>
      </c>
      <c r="B2" s="2" t="s">
        <v>2434</v>
      </c>
      <c r="C2" s="2" t="s">
        <v>2435</v>
      </c>
      <c r="D2" s="2" t="s">
        <v>2436</v>
      </c>
    </row>
    <row r="3" customFormat="false" ht="15" hidden="false" customHeight="false" outlineLevel="0" collapsed="false">
      <c r="A3" s="2" t="n">
        <v>2</v>
      </c>
      <c r="B3" s="2" t="s">
        <v>2437</v>
      </c>
      <c r="C3" s="2" t="s">
        <v>2438</v>
      </c>
      <c r="D3" s="2" t="s">
        <v>2439</v>
      </c>
    </row>
    <row r="4" customFormat="false" ht="15" hidden="false" customHeight="false" outlineLevel="0" collapsed="false">
      <c r="A4" s="2" t="n">
        <v>3</v>
      </c>
      <c r="B4" s="2" t="s">
        <v>2440</v>
      </c>
      <c r="C4" s="2" t="s">
        <v>2441</v>
      </c>
      <c r="D4" s="2" t="s">
        <v>2442</v>
      </c>
    </row>
    <row r="5" customFormat="false" ht="15" hidden="false" customHeight="false" outlineLevel="0" collapsed="false">
      <c r="A5" s="2" t="n">
        <v>4</v>
      </c>
      <c r="B5" s="2" t="s">
        <v>2443</v>
      </c>
      <c r="C5" s="2" t="s">
        <v>2444</v>
      </c>
      <c r="D5" s="2" t="s">
        <v>2445</v>
      </c>
    </row>
    <row r="6" customFormat="false" ht="15" hidden="false" customHeight="false" outlineLevel="0" collapsed="false">
      <c r="A6" s="2" t="n">
        <v>5</v>
      </c>
      <c r="B6" s="2" t="s">
        <v>2446</v>
      </c>
      <c r="C6" s="2" t="s">
        <v>2447</v>
      </c>
      <c r="D6" s="2" t="s">
        <v>2448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5"/>
    <col collapsed="false" customWidth="true" hidden="false" outlineLevel="0" max="3" min="3" style="0" width="26"/>
    <col collapsed="false" customWidth="true" hidden="false" outlineLevel="0" max="6" min="4" style="0" width="35"/>
  </cols>
  <sheetData>
    <row r="1" customFormat="false" ht="15" hidden="false" customHeight="false" outlineLevel="0" collapsed="false">
      <c r="A1" s="3" t="s">
        <v>1230</v>
      </c>
      <c r="B1" s="3" t="s">
        <v>2260</v>
      </c>
      <c r="C1" s="3" t="s">
        <v>2449</v>
      </c>
      <c r="D1" s="3" t="s">
        <v>33</v>
      </c>
      <c r="E1" s="3" t="s">
        <v>2450</v>
      </c>
      <c r="F1" s="3" t="s">
        <v>1014</v>
      </c>
    </row>
    <row r="2" customFormat="false" ht="23.85" hidden="false" customHeight="false" outlineLevel="0" collapsed="false">
      <c r="A2" s="2" t="s">
        <v>1242</v>
      </c>
      <c r="B2" s="2" t="s">
        <v>2262</v>
      </c>
      <c r="C2" s="2" t="s">
        <v>2451</v>
      </c>
      <c r="D2" s="2" t="s">
        <v>692</v>
      </c>
      <c r="E2" s="2" t="s">
        <v>2452</v>
      </c>
      <c r="F2" s="2" t="s">
        <v>2453</v>
      </c>
    </row>
    <row r="3" customFormat="false" ht="46.25" hidden="false" customHeight="false" outlineLevel="0" collapsed="false">
      <c r="A3" s="2" t="s">
        <v>1988</v>
      </c>
      <c r="B3" s="2" t="s">
        <v>2273</v>
      </c>
      <c r="C3" s="2" t="s">
        <v>2454</v>
      </c>
      <c r="D3" s="2" t="s">
        <v>2274</v>
      </c>
      <c r="E3" s="2" t="s">
        <v>2455</v>
      </c>
      <c r="F3" s="2" t="s">
        <v>2456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26"/>
    <col collapsed="false" customWidth="true" hidden="false" outlineLevel="0" max="8" min="8" style="0" width="35"/>
    <col collapsed="false" customWidth="true" hidden="false" outlineLevel="0" max="9" min="9" style="0" width="17"/>
    <col collapsed="false" customWidth="true" hidden="false" outlineLevel="0" max="10" min="10" style="0" width="13"/>
    <col collapsed="false" customWidth="true" hidden="false" outlineLevel="0" max="11" min="11" style="0" width="23"/>
    <col collapsed="false" customWidth="true" hidden="false" outlineLevel="0" max="12" min="12" style="0" width="35"/>
  </cols>
  <sheetData>
    <row r="1" customFormat="false" ht="15" hidden="false" customHeight="false" outlineLevel="0" collapsed="false">
      <c r="A1" s="3" t="s">
        <v>22</v>
      </c>
      <c r="B1" s="3" t="s">
        <v>676</v>
      </c>
      <c r="C1" s="3" t="s">
        <v>1218</v>
      </c>
      <c r="D1" s="3" t="s">
        <v>677</v>
      </c>
      <c r="E1" s="3" t="s">
        <v>678</v>
      </c>
      <c r="F1" s="3" t="s">
        <v>679</v>
      </c>
      <c r="G1" s="3" t="s">
        <v>25</v>
      </c>
      <c r="H1" s="3" t="s">
        <v>681</v>
      </c>
      <c r="I1" s="3" t="s">
        <v>26</v>
      </c>
      <c r="J1" s="3" t="s">
        <v>1230</v>
      </c>
      <c r="K1" s="3" t="s">
        <v>32</v>
      </c>
      <c r="L1" s="3" t="s">
        <v>1014</v>
      </c>
    </row>
    <row r="2" customFormat="false" ht="23.85" hidden="false" customHeight="false" outlineLevel="0" collapsed="false">
      <c r="A2" s="2" t="s">
        <v>209</v>
      </c>
      <c r="B2" s="2" t="n">
        <v>1</v>
      </c>
      <c r="C2" s="2" t="s">
        <v>1236</v>
      </c>
      <c r="D2" s="2" t="s">
        <v>686</v>
      </c>
      <c r="E2" s="2" t="s">
        <v>687</v>
      </c>
      <c r="F2" s="2" t="s">
        <v>688</v>
      </c>
      <c r="G2" s="2" t="s">
        <v>210</v>
      </c>
      <c r="H2" s="2" t="s">
        <v>690</v>
      </c>
      <c r="I2" s="2" t="s">
        <v>69</v>
      </c>
      <c r="J2" s="2" t="s">
        <v>1242</v>
      </c>
      <c r="K2" s="2" t="s">
        <v>212</v>
      </c>
      <c r="L2" s="2" t="s">
        <v>2457</v>
      </c>
    </row>
    <row r="3" customFormat="false" ht="23.85" hidden="false" customHeight="false" outlineLevel="0" collapsed="false">
      <c r="A3" s="2" t="s">
        <v>213</v>
      </c>
      <c r="B3" s="2" t="n">
        <v>2</v>
      </c>
      <c r="C3" s="2" t="s">
        <v>1244</v>
      </c>
      <c r="D3" s="2" t="s">
        <v>686</v>
      </c>
      <c r="E3" s="2" t="s">
        <v>687</v>
      </c>
      <c r="F3" s="2" t="s">
        <v>688</v>
      </c>
      <c r="G3" s="2" t="s">
        <v>214</v>
      </c>
      <c r="H3" s="2" t="s">
        <v>693</v>
      </c>
      <c r="I3" s="2" t="s">
        <v>75</v>
      </c>
      <c r="J3" s="2" t="s">
        <v>1242</v>
      </c>
      <c r="K3" s="2" t="s">
        <v>212</v>
      </c>
      <c r="L3" s="2" t="s">
        <v>2457</v>
      </c>
    </row>
    <row r="4" customFormat="false" ht="23.85" hidden="false" customHeight="false" outlineLevel="0" collapsed="false">
      <c r="A4" s="2" t="s">
        <v>216</v>
      </c>
      <c r="B4" s="2" t="n">
        <v>3</v>
      </c>
      <c r="C4" s="2" t="s">
        <v>1248</v>
      </c>
      <c r="D4" s="2" t="s">
        <v>686</v>
      </c>
      <c r="E4" s="2" t="s">
        <v>687</v>
      </c>
      <c r="F4" s="2" t="s">
        <v>688</v>
      </c>
      <c r="G4" s="2" t="s">
        <v>217</v>
      </c>
      <c r="H4" s="2" t="s">
        <v>695</v>
      </c>
      <c r="I4" s="2" t="s">
        <v>69</v>
      </c>
      <c r="J4" s="2" t="s">
        <v>1242</v>
      </c>
      <c r="K4" s="2" t="s">
        <v>212</v>
      </c>
      <c r="L4" s="2" t="s">
        <v>2457</v>
      </c>
    </row>
    <row r="5" customFormat="false" ht="23.85" hidden="false" customHeight="false" outlineLevel="0" collapsed="false">
      <c r="A5" s="2" t="s">
        <v>218</v>
      </c>
      <c r="B5" s="2" t="n">
        <v>4</v>
      </c>
      <c r="C5" s="2" t="s">
        <v>1252</v>
      </c>
      <c r="D5" s="2" t="s">
        <v>686</v>
      </c>
      <c r="E5" s="2" t="s">
        <v>687</v>
      </c>
      <c r="F5" s="2" t="s">
        <v>688</v>
      </c>
      <c r="G5" s="2" t="s">
        <v>219</v>
      </c>
      <c r="H5" s="2" t="s">
        <v>697</v>
      </c>
      <c r="I5" s="2" t="s">
        <v>66</v>
      </c>
      <c r="J5" s="2" t="s">
        <v>1242</v>
      </c>
      <c r="K5" s="2" t="s">
        <v>212</v>
      </c>
      <c r="L5" s="2" t="s">
        <v>2457</v>
      </c>
    </row>
    <row r="6" customFormat="false" ht="23.85" hidden="false" customHeight="false" outlineLevel="0" collapsed="false">
      <c r="A6" s="2" t="s">
        <v>220</v>
      </c>
      <c r="B6" s="2" t="n">
        <v>5</v>
      </c>
      <c r="C6" s="2" t="s">
        <v>1256</v>
      </c>
      <c r="D6" s="2" t="s">
        <v>686</v>
      </c>
      <c r="E6" s="2" t="s">
        <v>687</v>
      </c>
      <c r="F6" s="2" t="s">
        <v>688</v>
      </c>
      <c r="G6" s="2" t="s">
        <v>221</v>
      </c>
      <c r="H6" s="2" t="s">
        <v>699</v>
      </c>
      <c r="I6" s="2" t="s">
        <v>75</v>
      </c>
      <c r="J6" s="2" t="s">
        <v>1242</v>
      </c>
      <c r="K6" s="2" t="s">
        <v>212</v>
      </c>
      <c r="L6" s="2" t="s">
        <v>2457</v>
      </c>
    </row>
    <row r="7" customFormat="false" ht="23.85" hidden="false" customHeight="false" outlineLevel="0" collapsed="false">
      <c r="A7" s="2" t="s">
        <v>222</v>
      </c>
      <c r="B7" s="2" t="n">
        <v>6</v>
      </c>
      <c r="C7" s="2" t="s">
        <v>1260</v>
      </c>
      <c r="D7" s="2" t="s">
        <v>686</v>
      </c>
      <c r="E7" s="2" t="s">
        <v>687</v>
      </c>
      <c r="F7" s="2" t="s">
        <v>688</v>
      </c>
      <c r="G7" s="2" t="s">
        <v>223</v>
      </c>
      <c r="H7" s="2" t="s">
        <v>701</v>
      </c>
      <c r="I7" s="2" t="s">
        <v>69</v>
      </c>
      <c r="J7" s="2" t="s">
        <v>1242</v>
      </c>
      <c r="K7" s="2" t="s">
        <v>212</v>
      </c>
      <c r="L7" s="2" t="s">
        <v>2457</v>
      </c>
    </row>
    <row r="8" customFormat="false" ht="23.85" hidden="false" customHeight="false" outlineLevel="0" collapsed="false">
      <c r="A8" s="2" t="s">
        <v>224</v>
      </c>
      <c r="B8" s="2" t="n">
        <v>7</v>
      </c>
      <c r="C8" s="2" t="s">
        <v>1264</v>
      </c>
      <c r="D8" s="2" t="s">
        <v>686</v>
      </c>
      <c r="E8" s="2" t="s">
        <v>687</v>
      </c>
      <c r="F8" s="2" t="s">
        <v>688</v>
      </c>
      <c r="G8" s="2" t="s">
        <v>225</v>
      </c>
      <c r="H8" s="2" t="s">
        <v>703</v>
      </c>
      <c r="I8" s="2" t="s">
        <v>75</v>
      </c>
      <c r="J8" s="2" t="s">
        <v>1242</v>
      </c>
      <c r="K8" s="2" t="s">
        <v>212</v>
      </c>
      <c r="L8" s="2" t="s">
        <v>2457</v>
      </c>
    </row>
    <row r="9" customFormat="false" ht="23.85" hidden="false" customHeight="false" outlineLevel="0" collapsed="false">
      <c r="A9" s="2" t="s">
        <v>226</v>
      </c>
      <c r="B9" s="2" t="n">
        <v>8</v>
      </c>
      <c r="C9" s="2" t="s">
        <v>1268</v>
      </c>
      <c r="D9" s="2" t="s">
        <v>686</v>
      </c>
      <c r="E9" s="2" t="s">
        <v>687</v>
      </c>
      <c r="F9" s="2" t="s">
        <v>688</v>
      </c>
      <c r="G9" s="2" t="s">
        <v>227</v>
      </c>
      <c r="H9" s="2" t="s">
        <v>704</v>
      </c>
      <c r="I9" s="2" t="s">
        <v>75</v>
      </c>
      <c r="J9" s="2" t="s">
        <v>1242</v>
      </c>
      <c r="K9" s="2" t="s">
        <v>212</v>
      </c>
      <c r="L9" s="2" t="s">
        <v>2457</v>
      </c>
    </row>
    <row r="10" customFormat="false" ht="23.85" hidden="false" customHeight="false" outlineLevel="0" collapsed="false">
      <c r="A10" s="2" t="s">
        <v>228</v>
      </c>
      <c r="B10" s="2" t="n">
        <v>9</v>
      </c>
      <c r="C10" s="2" t="s">
        <v>1272</v>
      </c>
      <c r="D10" s="2" t="s">
        <v>686</v>
      </c>
      <c r="E10" s="2" t="s">
        <v>687</v>
      </c>
      <c r="F10" s="2" t="s">
        <v>688</v>
      </c>
      <c r="G10" s="2" t="s">
        <v>229</v>
      </c>
      <c r="H10" s="2" t="s">
        <v>706</v>
      </c>
      <c r="I10" s="2" t="s">
        <v>45</v>
      </c>
      <c r="J10" s="2" t="s">
        <v>1242</v>
      </c>
      <c r="K10" s="2" t="s">
        <v>212</v>
      </c>
      <c r="L10" s="2" t="s">
        <v>2457</v>
      </c>
    </row>
    <row r="11" customFormat="false" ht="23.85" hidden="false" customHeight="false" outlineLevel="0" collapsed="false">
      <c r="A11" s="2" t="s">
        <v>231</v>
      </c>
      <c r="B11" s="2" t="n">
        <v>10</v>
      </c>
      <c r="C11" s="2" t="s">
        <v>1276</v>
      </c>
      <c r="D11" s="2" t="s">
        <v>686</v>
      </c>
      <c r="E11" s="2" t="s">
        <v>687</v>
      </c>
      <c r="F11" s="2" t="s">
        <v>688</v>
      </c>
      <c r="G11" s="2" t="s">
        <v>232</v>
      </c>
      <c r="H11" s="2" t="s">
        <v>708</v>
      </c>
      <c r="I11" s="2" t="s">
        <v>45</v>
      </c>
      <c r="J11" s="2" t="s">
        <v>1242</v>
      </c>
      <c r="K11" s="2" t="s">
        <v>212</v>
      </c>
      <c r="L11" s="2" t="s">
        <v>2457</v>
      </c>
    </row>
    <row r="12" customFormat="false" ht="23.85" hidden="false" customHeight="false" outlineLevel="0" collapsed="false">
      <c r="A12" s="2" t="s">
        <v>234</v>
      </c>
      <c r="B12" s="2" t="n">
        <v>11</v>
      </c>
      <c r="C12" s="2" t="s">
        <v>1280</v>
      </c>
      <c r="D12" s="2" t="s">
        <v>686</v>
      </c>
      <c r="E12" s="2" t="s">
        <v>687</v>
      </c>
      <c r="F12" s="2" t="s">
        <v>688</v>
      </c>
      <c r="G12" s="2" t="s">
        <v>235</v>
      </c>
      <c r="H12" s="2" t="s">
        <v>710</v>
      </c>
      <c r="I12" s="2" t="s">
        <v>45</v>
      </c>
      <c r="J12" s="2" t="s">
        <v>1242</v>
      </c>
      <c r="K12" s="2" t="s">
        <v>212</v>
      </c>
      <c r="L12" s="2" t="s">
        <v>2457</v>
      </c>
    </row>
    <row r="13" customFormat="false" ht="23.85" hidden="false" customHeight="false" outlineLevel="0" collapsed="false">
      <c r="A13" s="2" t="s">
        <v>236</v>
      </c>
      <c r="B13" s="2" t="n">
        <v>12</v>
      </c>
      <c r="C13" s="2" t="s">
        <v>1284</v>
      </c>
      <c r="D13" s="2" t="s">
        <v>686</v>
      </c>
      <c r="E13" s="2" t="s">
        <v>687</v>
      </c>
      <c r="F13" s="2" t="s">
        <v>688</v>
      </c>
      <c r="G13" s="2" t="s">
        <v>237</v>
      </c>
      <c r="H13" s="2" t="s">
        <v>712</v>
      </c>
      <c r="I13" s="2" t="s">
        <v>45</v>
      </c>
      <c r="J13" s="2" t="s">
        <v>1242</v>
      </c>
      <c r="K13" s="2" t="s">
        <v>212</v>
      </c>
      <c r="L13" s="2" t="s">
        <v>2457</v>
      </c>
    </row>
    <row r="14" customFormat="false" ht="23.85" hidden="false" customHeight="false" outlineLevel="0" collapsed="false">
      <c r="A14" s="2" t="s">
        <v>238</v>
      </c>
      <c r="B14" s="2" t="n">
        <v>13</v>
      </c>
      <c r="C14" s="2" t="s">
        <v>1288</v>
      </c>
      <c r="D14" s="2" t="s">
        <v>686</v>
      </c>
      <c r="E14" s="2" t="s">
        <v>687</v>
      </c>
      <c r="F14" s="2" t="s">
        <v>688</v>
      </c>
      <c r="G14" s="2" t="s">
        <v>239</v>
      </c>
      <c r="H14" s="2" t="s">
        <v>714</v>
      </c>
      <c r="I14" s="2" t="s">
        <v>45</v>
      </c>
      <c r="J14" s="2" t="s">
        <v>1242</v>
      </c>
      <c r="K14" s="2" t="s">
        <v>212</v>
      </c>
      <c r="L14" s="2" t="s">
        <v>2457</v>
      </c>
    </row>
    <row r="15" customFormat="false" ht="23.85" hidden="false" customHeight="false" outlineLevel="0" collapsed="false">
      <c r="A15" s="2" t="s">
        <v>240</v>
      </c>
      <c r="B15" s="2" t="n">
        <v>14</v>
      </c>
      <c r="C15" s="2" t="s">
        <v>1292</v>
      </c>
      <c r="D15" s="2" t="s">
        <v>686</v>
      </c>
      <c r="E15" s="2" t="s">
        <v>687</v>
      </c>
      <c r="F15" s="2" t="s">
        <v>688</v>
      </c>
      <c r="G15" s="2" t="s">
        <v>241</v>
      </c>
      <c r="H15" s="2" t="s">
        <v>716</v>
      </c>
      <c r="I15" s="2" t="s">
        <v>45</v>
      </c>
      <c r="J15" s="2" t="s">
        <v>1242</v>
      </c>
      <c r="K15" s="2" t="s">
        <v>212</v>
      </c>
      <c r="L15" s="2" t="s">
        <v>2457</v>
      </c>
    </row>
    <row r="16" customFormat="false" ht="23.85" hidden="false" customHeight="false" outlineLevel="0" collapsed="false">
      <c r="A16" s="2" t="s">
        <v>242</v>
      </c>
      <c r="B16" s="2" t="n">
        <v>15</v>
      </c>
      <c r="C16" s="2" t="s">
        <v>1296</v>
      </c>
      <c r="D16" s="2" t="s">
        <v>686</v>
      </c>
      <c r="E16" s="2" t="s">
        <v>687</v>
      </c>
      <c r="F16" s="2" t="s">
        <v>688</v>
      </c>
      <c r="G16" s="2" t="s">
        <v>243</v>
      </c>
      <c r="H16" s="2" t="s">
        <v>718</v>
      </c>
      <c r="I16" s="2" t="s">
        <v>45</v>
      </c>
      <c r="J16" s="2" t="s">
        <v>1242</v>
      </c>
      <c r="K16" s="2" t="s">
        <v>212</v>
      </c>
      <c r="L16" s="2" t="s">
        <v>2457</v>
      </c>
    </row>
    <row r="17" customFormat="false" ht="23.85" hidden="false" customHeight="false" outlineLevel="0" collapsed="false">
      <c r="A17" s="2" t="s">
        <v>244</v>
      </c>
      <c r="B17" s="2" t="n">
        <v>16</v>
      </c>
      <c r="C17" s="2" t="s">
        <v>1300</v>
      </c>
      <c r="D17" s="2" t="s">
        <v>686</v>
      </c>
      <c r="E17" s="2" t="s">
        <v>687</v>
      </c>
      <c r="F17" s="2" t="s">
        <v>688</v>
      </c>
      <c r="G17" s="2" t="s">
        <v>245</v>
      </c>
      <c r="H17" s="2" t="s">
        <v>719</v>
      </c>
      <c r="I17" s="2" t="s">
        <v>71</v>
      </c>
      <c r="J17" s="2" t="s">
        <v>1242</v>
      </c>
      <c r="K17" s="2" t="s">
        <v>212</v>
      </c>
      <c r="L17" s="2" t="s">
        <v>2457</v>
      </c>
    </row>
    <row r="18" customFormat="false" ht="23.85" hidden="false" customHeight="false" outlineLevel="0" collapsed="false">
      <c r="A18" s="2" t="s">
        <v>246</v>
      </c>
      <c r="B18" s="2" t="n">
        <v>17</v>
      </c>
      <c r="C18" s="2" t="s">
        <v>1304</v>
      </c>
      <c r="D18" s="2" t="s">
        <v>686</v>
      </c>
      <c r="E18" s="2" t="s">
        <v>687</v>
      </c>
      <c r="F18" s="2" t="s">
        <v>688</v>
      </c>
      <c r="G18" s="2" t="s">
        <v>247</v>
      </c>
      <c r="H18" s="2" t="s">
        <v>721</v>
      </c>
      <c r="I18" s="2" t="s">
        <v>45</v>
      </c>
      <c r="J18" s="2" t="s">
        <v>1242</v>
      </c>
      <c r="K18" s="2" t="s">
        <v>212</v>
      </c>
      <c r="L18" s="2" t="s">
        <v>2457</v>
      </c>
    </row>
    <row r="19" customFormat="false" ht="23.85" hidden="false" customHeight="false" outlineLevel="0" collapsed="false">
      <c r="A19" s="2" t="s">
        <v>248</v>
      </c>
      <c r="B19" s="2" t="n">
        <v>18</v>
      </c>
      <c r="C19" s="2" t="s">
        <v>1308</v>
      </c>
      <c r="D19" s="2" t="s">
        <v>686</v>
      </c>
      <c r="E19" s="2" t="s">
        <v>687</v>
      </c>
      <c r="F19" s="2" t="s">
        <v>688</v>
      </c>
      <c r="G19" s="2" t="s">
        <v>249</v>
      </c>
      <c r="H19" s="2" t="s">
        <v>723</v>
      </c>
      <c r="I19" s="2" t="s">
        <v>75</v>
      </c>
      <c r="J19" s="2" t="s">
        <v>1242</v>
      </c>
      <c r="K19" s="2" t="s">
        <v>212</v>
      </c>
      <c r="L19" s="2" t="s">
        <v>2457</v>
      </c>
    </row>
    <row r="20" customFormat="false" ht="23.85" hidden="false" customHeight="false" outlineLevel="0" collapsed="false">
      <c r="A20" s="2" t="s">
        <v>250</v>
      </c>
      <c r="B20" s="2" t="n">
        <v>19</v>
      </c>
      <c r="C20" s="2" t="s">
        <v>1312</v>
      </c>
      <c r="D20" s="2" t="s">
        <v>686</v>
      </c>
      <c r="E20" s="2" t="s">
        <v>687</v>
      </c>
      <c r="F20" s="2" t="s">
        <v>688</v>
      </c>
      <c r="G20" s="2" t="s">
        <v>251</v>
      </c>
      <c r="H20" s="2" t="s">
        <v>725</v>
      </c>
      <c r="I20" s="2" t="s">
        <v>75</v>
      </c>
      <c r="J20" s="2" t="s">
        <v>1242</v>
      </c>
      <c r="K20" s="2" t="s">
        <v>212</v>
      </c>
      <c r="L20" s="2" t="s">
        <v>2457</v>
      </c>
    </row>
    <row r="21" customFormat="false" ht="23.85" hidden="false" customHeight="false" outlineLevel="0" collapsed="false">
      <c r="A21" s="2" t="s">
        <v>252</v>
      </c>
      <c r="B21" s="2" t="n">
        <v>20</v>
      </c>
      <c r="C21" s="2" t="s">
        <v>1316</v>
      </c>
      <c r="D21" s="2" t="s">
        <v>686</v>
      </c>
      <c r="E21" s="2" t="s">
        <v>687</v>
      </c>
      <c r="F21" s="2" t="s">
        <v>688</v>
      </c>
      <c r="G21" s="2" t="s">
        <v>253</v>
      </c>
      <c r="H21" s="2" t="s">
        <v>727</v>
      </c>
      <c r="I21" s="2" t="s">
        <v>75</v>
      </c>
      <c r="J21" s="2" t="s">
        <v>1242</v>
      </c>
      <c r="K21" s="2" t="s">
        <v>212</v>
      </c>
      <c r="L21" s="2" t="s">
        <v>2457</v>
      </c>
    </row>
    <row r="22" customFormat="false" ht="23.85" hidden="false" customHeight="false" outlineLevel="0" collapsed="false">
      <c r="A22" s="2" t="s">
        <v>254</v>
      </c>
      <c r="B22" s="2" t="n">
        <v>21</v>
      </c>
      <c r="C22" s="2" t="s">
        <v>1320</v>
      </c>
      <c r="D22" s="2" t="s">
        <v>686</v>
      </c>
      <c r="E22" s="2" t="s">
        <v>687</v>
      </c>
      <c r="F22" s="2" t="s">
        <v>688</v>
      </c>
      <c r="G22" s="2" t="s">
        <v>255</v>
      </c>
      <c r="H22" s="2" t="s">
        <v>729</v>
      </c>
      <c r="I22" s="2" t="s">
        <v>75</v>
      </c>
      <c r="J22" s="2" t="s">
        <v>1242</v>
      </c>
      <c r="K22" s="2" t="s">
        <v>212</v>
      </c>
      <c r="L22" s="2" t="s">
        <v>2457</v>
      </c>
    </row>
    <row r="23" customFormat="false" ht="23.85" hidden="false" customHeight="false" outlineLevel="0" collapsed="false">
      <c r="A23" s="2" t="s">
        <v>256</v>
      </c>
      <c r="B23" s="2" t="n">
        <v>22</v>
      </c>
      <c r="C23" s="2" t="s">
        <v>1324</v>
      </c>
      <c r="D23" s="2" t="s">
        <v>686</v>
      </c>
      <c r="E23" s="2" t="s">
        <v>687</v>
      </c>
      <c r="F23" s="2" t="s">
        <v>688</v>
      </c>
      <c r="G23" s="2" t="s">
        <v>257</v>
      </c>
      <c r="H23" s="2" t="s">
        <v>731</v>
      </c>
      <c r="I23" s="2" t="s">
        <v>45</v>
      </c>
      <c r="J23" s="2" t="s">
        <v>1242</v>
      </c>
      <c r="K23" s="2" t="s">
        <v>212</v>
      </c>
      <c r="L23" s="2" t="s">
        <v>2457</v>
      </c>
    </row>
    <row r="24" customFormat="false" ht="23.85" hidden="false" customHeight="false" outlineLevel="0" collapsed="false">
      <c r="A24" s="2" t="s">
        <v>258</v>
      </c>
      <c r="B24" s="2" t="n">
        <v>23</v>
      </c>
      <c r="C24" s="2" t="s">
        <v>1328</v>
      </c>
      <c r="D24" s="2" t="s">
        <v>686</v>
      </c>
      <c r="E24" s="2" t="s">
        <v>687</v>
      </c>
      <c r="F24" s="2" t="s">
        <v>688</v>
      </c>
      <c r="G24" s="2" t="s">
        <v>259</v>
      </c>
      <c r="H24" s="2" t="s">
        <v>733</v>
      </c>
      <c r="I24" s="2" t="s">
        <v>38</v>
      </c>
      <c r="J24" s="2" t="s">
        <v>1242</v>
      </c>
      <c r="K24" s="2" t="s">
        <v>212</v>
      </c>
      <c r="L24" s="2" t="s">
        <v>2457</v>
      </c>
    </row>
    <row r="25" customFormat="false" ht="23.85" hidden="false" customHeight="false" outlineLevel="0" collapsed="false">
      <c r="A25" s="2" t="s">
        <v>260</v>
      </c>
      <c r="B25" s="2" t="n">
        <v>24</v>
      </c>
      <c r="C25" s="2" t="s">
        <v>1332</v>
      </c>
      <c r="D25" s="2" t="s">
        <v>686</v>
      </c>
      <c r="E25" s="2" t="s">
        <v>687</v>
      </c>
      <c r="F25" s="2" t="s">
        <v>688</v>
      </c>
      <c r="G25" s="2" t="s">
        <v>261</v>
      </c>
      <c r="H25" s="2" t="s">
        <v>735</v>
      </c>
      <c r="I25" s="2" t="s">
        <v>38</v>
      </c>
      <c r="J25" s="2" t="s">
        <v>1242</v>
      </c>
      <c r="K25" s="2" t="s">
        <v>212</v>
      </c>
      <c r="L25" s="2" t="s">
        <v>2457</v>
      </c>
    </row>
    <row r="26" customFormat="false" ht="23.85" hidden="false" customHeight="false" outlineLevel="0" collapsed="false">
      <c r="A26" s="2" t="s">
        <v>262</v>
      </c>
      <c r="B26" s="2" t="n">
        <v>25</v>
      </c>
      <c r="C26" s="2" t="s">
        <v>1336</v>
      </c>
      <c r="D26" s="2" t="s">
        <v>686</v>
      </c>
      <c r="E26" s="2" t="s">
        <v>687</v>
      </c>
      <c r="F26" s="2" t="s">
        <v>688</v>
      </c>
      <c r="G26" s="2" t="s">
        <v>263</v>
      </c>
      <c r="H26" s="2" t="s">
        <v>737</v>
      </c>
      <c r="I26" s="2" t="s">
        <v>75</v>
      </c>
      <c r="J26" s="2" t="s">
        <v>1242</v>
      </c>
      <c r="K26" s="2" t="s">
        <v>212</v>
      </c>
      <c r="L26" s="2" t="s">
        <v>2457</v>
      </c>
    </row>
    <row r="27" customFormat="false" ht="23.85" hidden="false" customHeight="false" outlineLevel="0" collapsed="false">
      <c r="A27" s="2" t="s">
        <v>264</v>
      </c>
      <c r="B27" s="2" t="n">
        <v>26</v>
      </c>
      <c r="C27" s="2" t="s">
        <v>1340</v>
      </c>
      <c r="D27" s="2" t="s">
        <v>686</v>
      </c>
      <c r="E27" s="2" t="s">
        <v>687</v>
      </c>
      <c r="F27" s="2" t="s">
        <v>688</v>
      </c>
      <c r="G27" s="2" t="s">
        <v>265</v>
      </c>
      <c r="H27" s="2" t="s">
        <v>739</v>
      </c>
      <c r="I27" s="2" t="s">
        <v>38</v>
      </c>
      <c r="J27" s="2" t="s">
        <v>1242</v>
      </c>
      <c r="K27" s="2" t="s">
        <v>212</v>
      </c>
      <c r="L27" s="2" t="s">
        <v>2457</v>
      </c>
    </row>
    <row r="28" customFormat="false" ht="23.85" hidden="false" customHeight="false" outlineLevel="0" collapsed="false">
      <c r="A28" s="2" t="s">
        <v>266</v>
      </c>
      <c r="B28" s="2" t="n">
        <v>27</v>
      </c>
      <c r="C28" s="2" t="s">
        <v>1344</v>
      </c>
      <c r="D28" s="2" t="s">
        <v>686</v>
      </c>
      <c r="E28" s="2" t="s">
        <v>687</v>
      </c>
      <c r="F28" s="2" t="s">
        <v>688</v>
      </c>
      <c r="G28" s="2" t="s">
        <v>267</v>
      </c>
      <c r="H28" s="2" t="s">
        <v>741</v>
      </c>
      <c r="I28" s="2" t="s">
        <v>75</v>
      </c>
      <c r="J28" s="2" t="s">
        <v>1242</v>
      </c>
      <c r="K28" s="2" t="s">
        <v>212</v>
      </c>
      <c r="L28" s="2" t="s">
        <v>2457</v>
      </c>
    </row>
    <row r="29" customFormat="false" ht="23.85" hidden="false" customHeight="false" outlineLevel="0" collapsed="false">
      <c r="A29" s="2" t="s">
        <v>268</v>
      </c>
      <c r="B29" s="2" t="n">
        <v>28</v>
      </c>
      <c r="C29" s="2" t="s">
        <v>1348</v>
      </c>
      <c r="D29" s="2" t="s">
        <v>686</v>
      </c>
      <c r="E29" s="2" t="s">
        <v>687</v>
      </c>
      <c r="F29" s="2" t="s">
        <v>688</v>
      </c>
      <c r="G29" s="2" t="s">
        <v>269</v>
      </c>
      <c r="H29" s="2" t="s">
        <v>743</v>
      </c>
      <c r="I29" s="2" t="s">
        <v>75</v>
      </c>
      <c r="J29" s="2" t="s">
        <v>1242</v>
      </c>
      <c r="K29" s="2" t="s">
        <v>212</v>
      </c>
      <c r="L29" s="2" t="s">
        <v>2457</v>
      </c>
    </row>
    <row r="30" customFormat="false" ht="23.85" hidden="false" customHeight="false" outlineLevel="0" collapsed="false">
      <c r="A30" s="2" t="s">
        <v>270</v>
      </c>
      <c r="B30" s="2" t="n">
        <v>29</v>
      </c>
      <c r="C30" s="2" t="s">
        <v>1352</v>
      </c>
      <c r="D30" s="2" t="s">
        <v>686</v>
      </c>
      <c r="E30" s="2" t="s">
        <v>687</v>
      </c>
      <c r="F30" s="2" t="s">
        <v>688</v>
      </c>
      <c r="G30" s="2" t="s">
        <v>271</v>
      </c>
      <c r="H30" s="2" t="s">
        <v>747</v>
      </c>
      <c r="I30" s="2" t="s">
        <v>58</v>
      </c>
      <c r="J30" s="2" t="s">
        <v>1242</v>
      </c>
      <c r="K30" s="2" t="s">
        <v>212</v>
      </c>
      <c r="L30" s="2" t="s">
        <v>2457</v>
      </c>
    </row>
    <row r="31" customFormat="false" ht="23.85" hidden="false" customHeight="false" outlineLevel="0" collapsed="false">
      <c r="A31" s="2" t="s">
        <v>272</v>
      </c>
      <c r="B31" s="2" t="n">
        <v>30</v>
      </c>
      <c r="C31" s="2" t="s">
        <v>1356</v>
      </c>
      <c r="D31" s="2" t="s">
        <v>686</v>
      </c>
      <c r="E31" s="2" t="s">
        <v>687</v>
      </c>
      <c r="F31" s="2" t="s">
        <v>688</v>
      </c>
      <c r="G31" s="2" t="s">
        <v>273</v>
      </c>
      <c r="H31" s="2" t="s">
        <v>749</v>
      </c>
      <c r="I31" s="2" t="s">
        <v>58</v>
      </c>
      <c r="J31" s="2" t="s">
        <v>1242</v>
      </c>
      <c r="K31" s="2" t="s">
        <v>212</v>
      </c>
      <c r="L31" s="2" t="s">
        <v>2457</v>
      </c>
    </row>
    <row r="32" customFormat="false" ht="23.85" hidden="false" customHeight="false" outlineLevel="0" collapsed="false">
      <c r="A32" s="2" t="s">
        <v>274</v>
      </c>
      <c r="B32" s="2" t="n">
        <v>31</v>
      </c>
      <c r="C32" s="2" t="s">
        <v>1360</v>
      </c>
      <c r="D32" s="2" t="s">
        <v>686</v>
      </c>
      <c r="E32" s="2" t="s">
        <v>687</v>
      </c>
      <c r="F32" s="2" t="s">
        <v>688</v>
      </c>
      <c r="G32" s="2" t="s">
        <v>275</v>
      </c>
      <c r="H32" s="2" t="s">
        <v>751</v>
      </c>
      <c r="I32" s="2" t="s">
        <v>69</v>
      </c>
      <c r="J32" s="2" t="s">
        <v>1242</v>
      </c>
      <c r="K32" s="2" t="s">
        <v>212</v>
      </c>
      <c r="L32" s="2" t="s">
        <v>2457</v>
      </c>
    </row>
    <row r="33" customFormat="false" ht="23.85" hidden="false" customHeight="false" outlineLevel="0" collapsed="false">
      <c r="A33" s="2" t="s">
        <v>276</v>
      </c>
      <c r="B33" s="2" t="n">
        <v>32</v>
      </c>
      <c r="C33" s="2" t="s">
        <v>1364</v>
      </c>
      <c r="D33" s="2" t="s">
        <v>686</v>
      </c>
      <c r="E33" s="2" t="s">
        <v>687</v>
      </c>
      <c r="F33" s="2" t="s">
        <v>688</v>
      </c>
      <c r="G33" s="2" t="s">
        <v>277</v>
      </c>
      <c r="H33" s="2" t="s">
        <v>753</v>
      </c>
      <c r="I33" s="2" t="s">
        <v>69</v>
      </c>
      <c r="J33" s="2" t="s">
        <v>1242</v>
      </c>
      <c r="K33" s="2" t="s">
        <v>212</v>
      </c>
      <c r="L33" s="2" t="s">
        <v>2457</v>
      </c>
    </row>
    <row r="34" customFormat="false" ht="23.85" hidden="false" customHeight="false" outlineLevel="0" collapsed="false">
      <c r="A34" s="2" t="s">
        <v>278</v>
      </c>
      <c r="B34" s="2" t="n">
        <v>33</v>
      </c>
      <c r="C34" s="2" t="s">
        <v>1368</v>
      </c>
      <c r="D34" s="2" t="s">
        <v>686</v>
      </c>
      <c r="E34" s="2" t="s">
        <v>687</v>
      </c>
      <c r="F34" s="2" t="s">
        <v>688</v>
      </c>
      <c r="G34" s="2" t="s">
        <v>279</v>
      </c>
      <c r="H34" s="2" t="s">
        <v>755</v>
      </c>
      <c r="I34" s="2" t="s">
        <v>71</v>
      </c>
      <c r="J34" s="2" t="s">
        <v>1242</v>
      </c>
      <c r="K34" s="2" t="s">
        <v>212</v>
      </c>
      <c r="L34" s="2" t="s">
        <v>2457</v>
      </c>
    </row>
    <row r="35" customFormat="false" ht="23.85" hidden="false" customHeight="false" outlineLevel="0" collapsed="false">
      <c r="A35" s="2" t="s">
        <v>280</v>
      </c>
      <c r="B35" s="2" t="n">
        <v>34</v>
      </c>
      <c r="C35" s="2" t="s">
        <v>1372</v>
      </c>
      <c r="D35" s="2" t="s">
        <v>686</v>
      </c>
      <c r="E35" s="2" t="s">
        <v>687</v>
      </c>
      <c r="F35" s="2" t="s">
        <v>688</v>
      </c>
      <c r="G35" s="2" t="s">
        <v>281</v>
      </c>
      <c r="H35" s="2" t="s">
        <v>757</v>
      </c>
      <c r="I35" s="2" t="s">
        <v>38</v>
      </c>
      <c r="J35" s="2" t="s">
        <v>1242</v>
      </c>
      <c r="K35" s="2" t="s">
        <v>212</v>
      </c>
      <c r="L35" s="2" t="s">
        <v>2457</v>
      </c>
    </row>
    <row r="36" customFormat="false" ht="23.85" hidden="false" customHeight="false" outlineLevel="0" collapsed="false">
      <c r="A36" s="2" t="s">
        <v>282</v>
      </c>
      <c r="B36" s="2" t="n">
        <v>35</v>
      </c>
      <c r="C36" s="2" t="s">
        <v>1376</v>
      </c>
      <c r="D36" s="2" t="s">
        <v>686</v>
      </c>
      <c r="E36" s="2" t="s">
        <v>687</v>
      </c>
      <c r="F36" s="2" t="s">
        <v>688</v>
      </c>
      <c r="G36" s="2" t="s">
        <v>283</v>
      </c>
      <c r="H36" s="2" t="s">
        <v>759</v>
      </c>
      <c r="I36" s="2" t="s">
        <v>45</v>
      </c>
      <c r="J36" s="2" t="s">
        <v>1242</v>
      </c>
      <c r="K36" s="2" t="s">
        <v>212</v>
      </c>
      <c r="L36" s="2" t="s">
        <v>2457</v>
      </c>
    </row>
    <row r="37" customFormat="false" ht="23.85" hidden="false" customHeight="false" outlineLevel="0" collapsed="false">
      <c r="A37" s="2" t="s">
        <v>284</v>
      </c>
      <c r="B37" s="2" t="n">
        <v>36</v>
      </c>
      <c r="C37" s="2" t="s">
        <v>1380</v>
      </c>
      <c r="D37" s="2" t="s">
        <v>686</v>
      </c>
      <c r="E37" s="2" t="s">
        <v>687</v>
      </c>
      <c r="F37" s="2" t="s">
        <v>688</v>
      </c>
      <c r="G37" s="2" t="s">
        <v>285</v>
      </c>
      <c r="H37" s="2" t="s">
        <v>761</v>
      </c>
      <c r="I37" s="2" t="s">
        <v>69</v>
      </c>
      <c r="J37" s="2" t="s">
        <v>1242</v>
      </c>
      <c r="K37" s="2" t="s">
        <v>212</v>
      </c>
      <c r="L37" s="2" t="s">
        <v>2457</v>
      </c>
    </row>
    <row r="38" customFormat="false" ht="23.85" hidden="false" customHeight="false" outlineLevel="0" collapsed="false">
      <c r="A38" s="2" t="s">
        <v>286</v>
      </c>
      <c r="B38" s="2" t="n">
        <v>37</v>
      </c>
      <c r="C38" s="2" t="s">
        <v>1384</v>
      </c>
      <c r="D38" s="2" t="s">
        <v>686</v>
      </c>
      <c r="E38" s="2" t="s">
        <v>687</v>
      </c>
      <c r="F38" s="2" t="s">
        <v>688</v>
      </c>
      <c r="G38" s="2" t="s">
        <v>287</v>
      </c>
      <c r="H38" s="2" t="s">
        <v>763</v>
      </c>
      <c r="I38" s="2" t="s">
        <v>69</v>
      </c>
      <c r="J38" s="2" t="s">
        <v>1242</v>
      </c>
      <c r="K38" s="2" t="s">
        <v>212</v>
      </c>
      <c r="L38" s="2" t="s">
        <v>2457</v>
      </c>
    </row>
    <row r="39" customFormat="false" ht="23.85" hidden="false" customHeight="false" outlineLevel="0" collapsed="false">
      <c r="A39" s="2" t="s">
        <v>288</v>
      </c>
      <c r="B39" s="2" t="n">
        <v>38</v>
      </c>
      <c r="C39" s="2" t="s">
        <v>1388</v>
      </c>
      <c r="D39" s="2" t="s">
        <v>686</v>
      </c>
      <c r="E39" s="2" t="s">
        <v>687</v>
      </c>
      <c r="F39" s="2" t="s">
        <v>688</v>
      </c>
      <c r="G39" s="2" t="s">
        <v>289</v>
      </c>
      <c r="H39" s="2" t="s">
        <v>765</v>
      </c>
      <c r="I39" s="2" t="s">
        <v>66</v>
      </c>
      <c r="J39" s="2" t="s">
        <v>1242</v>
      </c>
      <c r="K39" s="2" t="s">
        <v>212</v>
      </c>
      <c r="L39" s="2" t="s">
        <v>2457</v>
      </c>
    </row>
    <row r="40" customFormat="false" ht="23.85" hidden="false" customHeight="false" outlineLevel="0" collapsed="false">
      <c r="A40" s="2" t="s">
        <v>290</v>
      </c>
      <c r="B40" s="2" t="n">
        <v>39</v>
      </c>
      <c r="C40" s="2" t="s">
        <v>1392</v>
      </c>
      <c r="D40" s="2" t="s">
        <v>686</v>
      </c>
      <c r="E40" s="2" t="s">
        <v>687</v>
      </c>
      <c r="F40" s="2" t="s">
        <v>688</v>
      </c>
      <c r="G40" s="2" t="s">
        <v>291</v>
      </c>
      <c r="H40" s="2" t="s">
        <v>767</v>
      </c>
      <c r="I40" s="2" t="s">
        <v>52</v>
      </c>
      <c r="J40" s="2" t="s">
        <v>1242</v>
      </c>
      <c r="K40" s="2" t="s">
        <v>212</v>
      </c>
      <c r="L40" s="2" t="s">
        <v>2457</v>
      </c>
    </row>
    <row r="41" customFormat="false" ht="23.85" hidden="false" customHeight="false" outlineLevel="0" collapsed="false">
      <c r="A41" s="2" t="s">
        <v>292</v>
      </c>
      <c r="B41" s="2" t="n">
        <v>40</v>
      </c>
      <c r="C41" s="2" t="s">
        <v>1396</v>
      </c>
      <c r="D41" s="2" t="s">
        <v>686</v>
      </c>
      <c r="E41" s="2" t="s">
        <v>687</v>
      </c>
      <c r="F41" s="2" t="s">
        <v>688</v>
      </c>
      <c r="G41" s="2" t="s">
        <v>293</v>
      </c>
      <c r="H41" s="2" t="s">
        <v>769</v>
      </c>
      <c r="I41" s="2" t="s">
        <v>69</v>
      </c>
      <c r="J41" s="2" t="s">
        <v>1242</v>
      </c>
      <c r="K41" s="2" t="s">
        <v>212</v>
      </c>
      <c r="L41" s="2" t="s">
        <v>2457</v>
      </c>
    </row>
    <row r="42" customFormat="false" ht="23.85" hidden="false" customHeight="false" outlineLevel="0" collapsed="false">
      <c r="A42" s="2" t="s">
        <v>294</v>
      </c>
      <c r="B42" s="2" t="n">
        <v>41</v>
      </c>
      <c r="C42" s="2" t="s">
        <v>1400</v>
      </c>
      <c r="D42" s="2" t="s">
        <v>686</v>
      </c>
      <c r="E42" s="2" t="s">
        <v>687</v>
      </c>
      <c r="F42" s="2" t="s">
        <v>688</v>
      </c>
      <c r="G42" s="2" t="s">
        <v>295</v>
      </c>
      <c r="H42" s="2" t="s">
        <v>771</v>
      </c>
      <c r="I42" s="2" t="s">
        <v>69</v>
      </c>
      <c r="J42" s="2" t="s">
        <v>1242</v>
      </c>
      <c r="K42" s="2" t="s">
        <v>212</v>
      </c>
      <c r="L42" s="2" t="s">
        <v>2457</v>
      </c>
    </row>
    <row r="43" customFormat="false" ht="23.85" hidden="false" customHeight="false" outlineLevel="0" collapsed="false">
      <c r="A43" s="2" t="s">
        <v>296</v>
      </c>
      <c r="B43" s="2" t="n">
        <v>42</v>
      </c>
      <c r="C43" s="2" t="s">
        <v>1404</v>
      </c>
      <c r="D43" s="2" t="s">
        <v>686</v>
      </c>
      <c r="E43" s="2" t="s">
        <v>687</v>
      </c>
      <c r="F43" s="2" t="s">
        <v>688</v>
      </c>
      <c r="G43" s="2" t="s">
        <v>297</v>
      </c>
      <c r="H43" s="2" t="s">
        <v>773</v>
      </c>
      <c r="I43" s="2" t="s">
        <v>69</v>
      </c>
      <c r="J43" s="2" t="s">
        <v>1242</v>
      </c>
      <c r="K43" s="2" t="s">
        <v>212</v>
      </c>
      <c r="L43" s="2" t="s">
        <v>2457</v>
      </c>
    </row>
    <row r="44" customFormat="false" ht="23.85" hidden="false" customHeight="false" outlineLevel="0" collapsed="false">
      <c r="A44" s="2" t="s">
        <v>298</v>
      </c>
      <c r="B44" s="2" t="n">
        <v>43</v>
      </c>
      <c r="C44" s="2" t="s">
        <v>1408</v>
      </c>
      <c r="D44" s="2" t="s">
        <v>686</v>
      </c>
      <c r="E44" s="2" t="s">
        <v>687</v>
      </c>
      <c r="F44" s="2" t="s">
        <v>688</v>
      </c>
      <c r="G44" s="2" t="s">
        <v>299</v>
      </c>
      <c r="H44" s="2" t="s">
        <v>774</v>
      </c>
      <c r="I44" s="2" t="s">
        <v>58</v>
      </c>
      <c r="J44" s="2" t="s">
        <v>1242</v>
      </c>
      <c r="K44" s="2" t="s">
        <v>212</v>
      </c>
      <c r="L44" s="2" t="s">
        <v>2457</v>
      </c>
    </row>
    <row r="45" customFormat="false" ht="23.85" hidden="false" customHeight="false" outlineLevel="0" collapsed="false">
      <c r="A45" s="2" t="s">
        <v>300</v>
      </c>
      <c r="B45" s="2" t="n">
        <v>44</v>
      </c>
      <c r="C45" s="2" t="s">
        <v>1412</v>
      </c>
      <c r="D45" s="2" t="s">
        <v>686</v>
      </c>
      <c r="E45" s="2" t="s">
        <v>687</v>
      </c>
      <c r="F45" s="2" t="s">
        <v>688</v>
      </c>
      <c r="G45" s="2" t="s">
        <v>301</v>
      </c>
      <c r="H45" s="2" t="s">
        <v>777</v>
      </c>
      <c r="I45" s="2" t="s">
        <v>73</v>
      </c>
      <c r="J45" s="2" t="s">
        <v>1242</v>
      </c>
      <c r="K45" s="2" t="s">
        <v>212</v>
      </c>
      <c r="L45" s="2" t="s">
        <v>2457</v>
      </c>
    </row>
    <row r="46" customFormat="false" ht="23.85" hidden="false" customHeight="false" outlineLevel="0" collapsed="false">
      <c r="A46" s="2" t="s">
        <v>302</v>
      </c>
      <c r="B46" s="2" t="n">
        <v>45</v>
      </c>
      <c r="C46" s="2" t="s">
        <v>1416</v>
      </c>
      <c r="D46" s="2" t="s">
        <v>686</v>
      </c>
      <c r="E46" s="2" t="s">
        <v>687</v>
      </c>
      <c r="F46" s="2" t="s">
        <v>688</v>
      </c>
      <c r="G46" s="2" t="s">
        <v>303</v>
      </c>
      <c r="H46" s="2" t="s">
        <v>779</v>
      </c>
      <c r="I46" s="2" t="s">
        <v>75</v>
      </c>
      <c r="J46" s="2" t="s">
        <v>1242</v>
      </c>
      <c r="K46" s="2" t="s">
        <v>212</v>
      </c>
      <c r="L46" s="2" t="s">
        <v>2457</v>
      </c>
    </row>
    <row r="47" customFormat="false" ht="23.85" hidden="false" customHeight="false" outlineLevel="0" collapsed="false">
      <c r="A47" s="2" t="s">
        <v>304</v>
      </c>
      <c r="B47" s="2" t="n">
        <v>46</v>
      </c>
      <c r="C47" s="2" t="s">
        <v>1420</v>
      </c>
      <c r="D47" s="2" t="s">
        <v>686</v>
      </c>
      <c r="E47" s="2" t="s">
        <v>687</v>
      </c>
      <c r="F47" s="2" t="s">
        <v>688</v>
      </c>
      <c r="G47" s="2" t="s">
        <v>305</v>
      </c>
      <c r="H47" s="2" t="s">
        <v>781</v>
      </c>
      <c r="I47" s="2" t="s">
        <v>75</v>
      </c>
      <c r="J47" s="2" t="s">
        <v>1242</v>
      </c>
      <c r="K47" s="2" t="s">
        <v>212</v>
      </c>
      <c r="L47" s="2" t="s">
        <v>2457</v>
      </c>
    </row>
    <row r="48" customFormat="false" ht="23.85" hidden="false" customHeight="false" outlineLevel="0" collapsed="false">
      <c r="A48" s="2" t="s">
        <v>306</v>
      </c>
      <c r="B48" s="2" t="n">
        <v>47</v>
      </c>
      <c r="C48" s="2" t="s">
        <v>1424</v>
      </c>
      <c r="D48" s="2" t="s">
        <v>686</v>
      </c>
      <c r="E48" s="2" t="s">
        <v>687</v>
      </c>
      <c r="F48" s="2" t="s">
        <v>688</v>
      </c>
      <c r="G48" s="2" t="s">
        <v>307</v>
      </c>
      <c r="H48" s="2" t="s">
        <v>783</v>
      </c>
      <c r="I48" s="2" t="s">
        <v>69</v>
      </c>
      <c r="J48" s="2" t="s">
        <v>1242</v>
      </c>
      <c r="K48" s="2" t="s">
        <v>212</v>
      </c>
      <c r="L48" s="2" t="s">
        <v>2457</v>
      </c>
    </row>
    <row r="49" customFormat="false" ht="23.85" hidden="false" customHeight="false" outlineLevel="0" collapsed="false">
      <c r="A49" s="2" t="s">
        <v>308</v>
      </c>
      <c r="B49" s="2" t="n">
        <v>48</v>
      </c>
      <c r="C49" s="2" t="s">
        <v>1428</v>
      </c>
      <c r="D49" s="2" t="s">
        <v>686</v>
      </c>
      <c r="E49" s="2" t="s">
        <v>687</v>
      </c>
      <c r="F49" s="2" t="s">
        <v>688</v>
      </c>
      <c r="G49" s="2" t="s">
        <v>309</v>
      </c>
      <c r="H49" s="2" t="s">
        <v>785</v>
      </c>
      <c r="I49" s="2" t="s">
        <v>71</v>
      </c>
      <c r="J49" s="2" t="s">
        <v>1242</v>
      </c>
      <c r="K49" s="2" t="s">
        <v>212</v>
      </c>
      <c r="L49" s="2" t="s">
        <v>2457</v>
      </c>
    </row>
    <row r="50" customFormat="false" ht="23.85" hidden="false" customHeight="false" outlineLevel="0" collapsed="false">
      <c r="A50" s="2" t="s">
        <v>310</v>
      </c>
      <c r="B50" s="2" t="n">
        <v>49</v>
      </c>
      <c r="C50" s="2" t="s">
        <v>1432</v>
      </c>
      <c r="D50" s="2" t="s">
        <v>686</v>
      </c>
      <c r="E50" s="2" t="s">
        <v>687</v>
      </c>
      <c r="F50" s="2" t="s">
        <v>688</v>
      </c>
      <c r="G50" s="2" t="s">
        <v>311</v>
      </c>
      <c r="H50" s="2" t="s">
        <v>787</v>
      </c>
      <c r="I50" s="2" t="s">
        <v>52</v>
      </c>
      <c r="J50" s="2" t="s">
        <v>1242</v>
      </c>
      <c r="K50" s="2" t="s">
        <v>212</v>
      </c>
      <c r="L50" s="2" t="s">
        <v>2457</v>
      </c>
    </row>
    <row r="51" customFormat="false" ht="23.85" hidden="false" customHeight="false" outlineLevel="0" collapsed="false">
      <c r="A51" s="2" t="s">
        <v>312</v>
      </c>
      <c r="B51" s="2" t="n">
        <v>50</v>
      </c>
      <c r="C51" s="2" t="s">
        <v>1436</v>
      </c>
      <c r="D51" s="2" t="s">
        <v>686</v>
      </c>
      <c r="E51" s="2" t="s">
        <v>687</v>
      </c>
      <c r="F51" s="2" t="s">
        <v>688</v>
      </c>
      <c r="G51" s="2" t="s">
        <v>313</v>
      </c>
      <c r="H51" s="2" t="s">
        <v>789</v>
      </c>
      <c r="I51" s="2" t="s">
        <v>69</v>
      </c>
      <c r="J51" s="2" t="s">
        <v>1242</v>
      </c>
      <c r="K51" s="2" t="s">
        <v>212</v>
      </c>
      <c r="L51" s="2" t="s">
        <v>2457</v>
      </c>
    </row>
    <row r="52" customFormat="false" ht="23.85" hidden="false" customHeight="false" outlineLevel="0" collapsed="false">
      <c r="A52" s="2" t="s">
        <v>314</v>
      </c>
      <c r="B52" s="2" t="n">
        <v>51</v>
      </c>
      <c r="C52" s="2" t="s">
        <v>1440</v>
      </c>
      <c r="D52" s="2" t="s">
        <v>686</v>
      </c>
      <c r="E52" s="2" t="s">
        <v>687</v>
      </c>
      <c r="F52" s="2" t="s">
        <v>688</v>
      </c>
      <c r="G52" s="2" t="s">
        <v>315</v>
      </c>
      <c r="H52" s="2" t="s">
        <v>790</v>
      </c>
      <c r="I52" s="2" t="s">
        <v>58</v>
      </c>
      <c r="J52" s="2" t="s">
        <v>1242</v>
      </c>
      <c r="K52" s="2" t="s">
        <v>212</v>
      </c>
      <c r="L52" s="2" t="s">
        <v>2457</v>
      </c>
    </row>
    <row r="53" customFormat="false" ht="23.85" hidden="false" customHeight="false" outlineLevel="0" collapsed="false">
      <c r="A53" s="2" t="s">
        <v>316</v>
      </c>
      <c r="B53" s="2" t="n">
        <v>52</v>
      </c>
      <c r="C53" s="2" t="s">
        <v>1444</v>
      </c>
      <c r="D53" s="2" t="s">
        <v>686</v>
      </c>
      <c r="E53" s="2" t="s">
        <v>687</v>
      </c>
      <c r="F53" s="2" t="s">
        <v>688</v>
      </c>
      <c r="G53" s="2" t="s">
        <v>317</v>
      </c>
      <c r="H53" s="2" t="s">
        <v>791</v>
      </c>
      <c r="I53" s="2" t="s">
        <v>58</v>
      </c>
      <c r="J53" s="2" t="s">
        <v>1242</v>
      </c>
      <c r="K53" s="2" t="s">
        <v>212</v>
      </c>
      <c r="L53" s="2" t="s">
        <v>2457</v>
      </c>
    </row>
    <row r="54" customFormat="false" ht="23.85" hidden="false" customHeight="false" outlineLevel="0" collapsed="false">
      <c r="A54" s="2" t="s">
        <v>318</v>
      </c>
      <c r="B54" s="2" t="n">
        <v>53</v>
      </c>
      <c r="C54" s="2" t="s">
        <v>1448</v>
      </c>
      <c r="D54" s="2" t="s">
        <v>686</v>
      </c>
      <c r="E54" s="2" t="s">
        <v>687</v>
      </c>
      <c r="F54" s="2" t="s">
        <v>688</v>
      </c>
      <c r="G54" s="2" t="s">
        <v>319</v>
      </c>
      <c r="H54" s="2" t="s">
        <v>794</v>
      </c>
      <c r="I54" s="2" t="s">
        <v>58</v>
      </c>
      <c r="J54" s="2" t="s">
        <v>1242</v>
      </c>
      <c r="K54" s="2" t="s">
        <v>212</v>
      </c>
      <c r="L54" s="2" t="s">
        <v>2457</v>
      </c>
    </row>
    <row r="55" customFormat="false" ht="23.85" hidden="false" customHeight="false" outlineLevel="0" collapsed="false">
      <c r="A55" s="2" t="s">
        <v>320</v>
      </c>
      <c r="B55" s="2" t="n">
        <v>54</v>
      </c>
      <c r="C55" s="2" t="s">
        <v>1452</v>
      </c>
      <c r="D55" s="2" t="s">
        <v>686</v>
      </c>
      <c r="E55" s="2" t="s">
        <v>687</v>
      </c>
      <c r="F55" s="2" t="s">
        <v>688</v>
      </c>
      <c r="G55" s="2" t="s">
        <v>321</v>
      </c>
      <c r="H55" s="2" t="s">
        <v>796</v>
      </c>
      <c r="I55" s="2" t="s">
        <v>75</v>
      </c>
      <c r="J55" s="2" t="s">
        <v>1242</v>
      </c>
      <c r="K55" s="2" t="s">
        <v>212</v>
      </c>
      <c r="L55" s="2" t="s">
        <v>2457</v>
      </c>
    </row>
    <row r="56" customFormat="false" ht="23.85" hidden="false" customHeight="false" outlineLevel="0" collapsed="false">
      <c r="A56" s="2" t="s">
        <v>322</v>
      </c>
      <c r="B56" s="2" t="n">
        <v>55</v>
      </c>
      <c r="C56" s="2" t="s">
        <v>1456</v>
      </c>
      <c r="D56" s="2" t="s">
        <v>686</v>
      </c>
      <c r="E56" s="2" t="s">
        <v>687</v>
      </c>
      <c r="F56" s="2" t="s">
        <v>688</v>
      </c>
      <c r="G56" s="2" t="s">
        <v>323</v>
      </c>
      <c r="H56" s="2" t="s">
        <v>797</v>
      </c>
      <c r="I56" s="2" t="s">
        <v>75</v>
      </c>
      <c r="J56" s="2" t="s">
        <v>1242</v>
      </c>
      <c r="K56" s="2" t="s">
        <v>212</v>
      </c>
      <c r="L56" s="2" t="s">
        <v>2457</v>
      </c>
    </row>
    <row r="57" customFormat="false" ht="23.85" hidden="false" customHeight="false" outlineLevel="0" collapsed="false">
      <c r="A57" s="2" t="s">
        <v>324</v>
      </c>
      <c r="B57" s="2" t="n">
        <v>56</v>
      </c>
      <c r="C57" s="2" t="s">
        <v>1460</v>
      </c>
      <c r="D57" s="2" t="s">
        <v>686</v>
      </c>
      <c r="E57" s="2" t="s">
        <v>687</v>
      </c>
      <c r="F57" s="2" t="s">
        <v>688</v>
      </c>
      <c r="G57" s="2" t="s">
        <v>325</v>
      </c>
      <c r="H57" s="2" t="s">
        <v>799</v>
      </c>
      <c r="I57" s="2" t="s">
        <v>66</v>
      </c>
      <c r="J57" s="2" t="s">
        <v>1242</v>
      </c>
      <c r="K57" s="2" t="s">
        <v>212</v>
      </c>
      <c r="L57" s="2" t="s">
        <v>2457</v>
      </c>
    </row>
    <row r="58" customFormat="false" ht="23.85" hidden="false" customHeight="false" outlineLevel="0" collapsed="false">
      <c r="A58" s="2" t="s">
        <v>326</v>
      </c>
      <c r="B58" s="2" t="n">
        <v>57</v>
      </c>
      <c r="C58" s="2" t="s">
        <v>1464</v>
      </c>
      <c r="D58" s="2" t="s">
        <v>686</v>
      </c>
      <c r="E58" s="2" t="s">
        <v>687</v>
      </c>
      <c r="F58" s="2" t="s">
        <v>688</v>
      </c>
      <c r="G58" s="2" t="s">
        <v>327</v>
      </c>
      <c r="H58" s="2" t="s">
        <v>801</v>
      </c>
      <c r="I58" s="2" t="s">
        <v>69</v>
      </c>
      <c r="J58" s="2" t="s">
        <v>1242</v>
      </c>
      <c r="K58" s="2" t="s">
        <v>212</v>
      </c>
      <c r="L58" s="2" t="s">
        <v>2457</v>
      </c>
    </row>
    <row r="59" customFormat="false" ht="23.85" hidden="false" customHeight="false" outlineLevel="0" collapsed="false">
      <c r="A59" s="2" t="s">
        <v>328</v>
      </c>
      <c r="B59" s="2" t="n">
        <v>58</v>
      </c>
      <c r="C59" s="2" t="s">
        <v>1468</v>
      </c>
      <c r="D59" s="2" t="s">
        <v>686</v>
      </c>
      <c r="E59" s="2" t="s">
        <v>687</v>
      </c>
      <c r="F59" s="2" t="s">
        <v>688</v>
      </c>
      <c r="G59" s="2" t="s">
        <v>329</v>
      </c>
      <c r="H59" s="2" t="s">
        <v>803</v>
      </c>
      <c r="I59" s="2" t="s">
        <v>75</v>
      </c>
      <c r="J59" s="2" t="s">
        <v>1242</v>
      </c>
      <c r="K59" s="2" t="s">
        <v>212</v>
      </c>
      <c r="L59" s="2" t="s">
        <v>2457</v>
      </c>
    </row>
    <row r="60" customFormat="false" ht="23.85" hidden="false" customHeight="false" outlineLevel="0" collapsed="false">
      <c r="A60" s="2" t="s">
        <v>330</v>
      </c>
      <c r="B60" s="2" t="n">
        <v>59</v>
      </c>
      <c r="C60" s="2" t="s">
        <v>1472</v>
      </c>
      <c r="D60" s="2" t="s">
        <v>686</v>
      </c>
      <c r="E60" s="2" t="s">
        <v>687</v>
      </c>
      <c r="F60" s="2" t="s">
        <v>688</v>
      </c>
      <c r="G60" s="2" t="s">
        <v>331</v>
      </c>
      <c r="H60" s="2" t="s">
        <v>805</v>
      </c>
      <c r="I60" s="2" t="s">
        <v>75</v>
      </c>
      <c r="J60" s="2" t="s">
        <v>1242</v>
      </c>
      <c r="K60" s="2" t="s">
        <v>212</v>
      </c>
      <c r="L60" s="2" t="s">
        <v>2457</v>
      </c>
    </row>
    <row r="61" customFormat="false" ht="23.85" hidden="false" customHeight="false" outlineLevel="0" collapsed="false">
      <c r="A61" s="2" t="s">
        <v>332</v>
      </c>
      <c r="B61" s="2" t="n">
        <v>60</v>
      </c>
      <c r="C61" s="2" t="s">
        <v>1476</v>
      </c>
      <c r="D61" s="2" t="s">
        <v>686</v>
      </c>
      <c r="E61" s="2" t="s">
        <v>687</v>
      </c>
      <c r="F61" s="2" t="s">
        <v>688</v>
      </c>
      <c r="G61" s="2" t="s">
        <v>333</v>
      </c>
      <c r="H61" s="2" t="s">
        <v>807</v>
      </c>
      <c r="I61" s="2" t="s">
        <v>71</v>
      </c>
      <c r="J61" s="2" t="s">
        <v>1242</v>
      </c>
      <c r="K61" s="2" t="s">
        <v>212</v>
      </c>
      <c r="L61" s="2" t="s">
        <v>2457</v>
      </c>
    </row>
    <row r="62" customFormat="false" ht="23.85" hidden="false" customHeight="false" outlineLevel="0" collapsed="false">
      <c r="A62" s="2" t="s">
        <v>334</v>
      </c>
      <c r="B62" s="2" t="n">
        <v>61</v>
      </c>
      <c r="C62" s="2" t="s">
        <v>1480</v>
      </c>
      <c r="D62" s="2" t="s">
        <v>686</v>
      </c>
      <c r="E62" s="2" t="s">
        <v>687</v>
      </c>
      <c r="F62" s="2" t="s">
        <v>688</v>
      </c>
      <c r="G62" s="2" t="s">
        <v>335</v>
      </c>
      <c r="H62" s="2" t="s">
        <v>809</v>
      </c>
      <c r="I62" s="2" t="s">
        <v>73</v>
      </c>
      <c r="J62" s="2" t="s">
        <v>1242</v>
      </c>
      <c r="K62" s="2" t="s">
        <v>212</v>
      </c>
      <c r="L62" s="2" t="s">
        <v>2457</v>
      </c>
    </row>
    <row r="63" customFormat="false" ht="23.85" hidden="false" customHeight="false" outlineLevel="0" collapsed="false">
      <c r="A63" s="2" t="s">
        <v>336</v>
      </c>
      <c r="B63" s="2" t="n">
        <v>62</v>
      </c>
      <c r="C63" s="2" t="s">
        <v>1236</v>
      </c>
      <c r="D63" s="2" t="s">
        <v>686</v>
      </c>
      <c r="E63" s="2" t="s">
        <v>810</v>
      </c>
      <c r="F63" s="2" t="s">
        <v>811</v>
      </c>
      <c r="G63" s="2" t="s">
        <v>210</v>
      </c>
      <c r="H63" s="2" t="s">
        <v>813</v>
      </c>
      <c r="I63" s="2" t="s">
        <v>69</v>
      </c>
      <c r="J63" s="2" t="s">
        <v>1242</v>
      </c>
      <c r="K63" s="2" t="s">
        <v>212</v>
      </c>
      <c r="L63" s="2" t="s">
        <v>2457</v>
      </c>
    </row>
    <row r="64" customFormat="false" ht="23.85" hidden="false" customHeight="false" outlineLevel="0" collapsed="false">
      <c r="A64" s="2" t="s">
        <v>337</v>
      </c>
      <c r="B64" s="2" t="n">
        <v>63</v>
      </c>
      <c r="C64" s="2" t="s">
        <v>1252</v>
      </c>
      <c r="D64" s="2" t="s">
        <v>686</v>
      </c>
      <c r="E64" s="2" t="s">
        <v>810</v>
      </c>
      <c r="F64" s="2" t="s">
        <v>811</v>
      </c>
      <c r="G64" s="2" t="s">
        <v>219</v>
      </c>
      <c r="H64" s="2" t="s">
        <v>814</v>
      </c>
      <c r="I64" s="2" t="s">
        <v>66</v>
      </c>
      <c r="J64" s="2" t="s">
        <v>1242</v>
      </c>
      <c r="K64" s="2" t="s">
        <v>212</v>
      </c>
      <c r="L64" s="2" t="s">
        <v>2457</v>
      </c>
    </row>
    <row r="65" customFormat="false" ht="23.85" hidden="false" customHeight="false" outlineLevel="0" collapsed="false">
      <c r="A65" s="2" t="s">
        <v>338</v>
      </c>
      <c r="B65" s="2" t="n">
        <v>64</v>
      </c>
      <c r="C65" s="2" t="s">
        <v>1490</v>
      </c>
      <c r="D65" s="2" t="s">
        <v>686</v>
      </c>
      <c r="E65" s="2" t="s">
        <v>810</v>
      </c>
      <c r="F65" s="2" t="s">
        <v>811</v>
      </c>
      <c r="G65" s="2" t="s">
        <v>339</v>
      </c>
      <c r="H65" s="2" t="s">
        <v>815</v>
      </c>
      <c r="I65" s="2" t="s">
        <v>52</v>
      </c>
      <c r="J65" s="2" t="s">
        <v>1242</v>
      </c>
      <c r="K65" s="2" t="s">
        <v>212</v>
      </c>
      <c r="L65" s="2" t="s">
        <v>2457</v>
      </c>
    </row>
    <row r="66" customFormat="false" ht="23.85" hidden="false" customHeight="false" outlineLevel="0" collapsed="false">
      <c r="A66" s="2" t="s">
        <v>340</v>
      </c>
      <c r="B66" s="2" t="n">
        <v>65</v>
      </c>
      <c r="C66" s="2" t="s">
        <v>1256</v>
      </c>
      <c r="D66" s="2" t="s">
        <v>686</v>
      </c>
      <c r="E66" s="2" t="s">
        <v>810</v>
      </c>
      <c r="F66" s="2" t="s">
        <v>811</v>
      </c>
      <c r="G66" s="2" t="s">
        <v>221</v>
      </c>
      <c r="H66" s="2" t="s">
        <v>816</v>
      </c>
      <c r="I66" s="2" t="s">
        <v>75</v>
      </c>
      <c r="J66" s="2" t="s">
        <v>1242</v>
      </c>
      <c r="K66" s="2" t="s">
        <v>212</v>
      </c>
      <c r="L66" s="2" t="s">
        <v>2457</v>
      </c>
    </row>
    <row r="67" customFormat="false" ht="23.85" hidden="false" customHeight="false" outlineLevel="0" collapsed="false">
      <c r="A67" s="2" t="s">
        <v>341</v>
      </c>
      <c r="B67" s="2" t="n">
        <v>66</v>
      </c>
      <c r="C67" s="2" t="s">
        <v>1497</v>
      </c>
      <c r="D67" s="2" t="s">
        <v>686</v>
      </c>
      <c r="E67" s="2" t="s">
        <v>810</v>
      </c>
      <c r="F67" s="2" t="s">
        <v>811</v>
      </c>
      <c r="G67" s="2" t="s">
        <v>342</v>
      </c>
      <c r="H67" s="2" t="s">
        <v>817</v>
      </c>
      <c r="I67" s="2" t="s">
        <v>66</v>
      </c>
      <c r="J67" s="2" t="s">
        <v>1242</v>
      </c>
      <c r="K67" s="2" t="s">
        <v>212</v>
      </c>
      <c r="L67" s="2" t="s">
        <v>2457</v>
      </c>
    </row>
    <row r="68" customFormat="false" ht="23.85" hidden="false" customHeight="false" outlineLevel="0" collapsed="false">
      <c r="A68" s="2" t="s">
        <v>343</v>
      </c>
      <c r="B68" s="2" t="n">
        <v>67</v>
      </c>
      <c r="C68" s="2" t="s">
        <v>1260</v>
      </c>
      <c r="D68" s="2" t="s">
        <v>686</v>
      </c>
      <c r="E68" s="2" t="s">
        <v>810</v>
      </c>
      <c r="F68" s="2" t="s">
        <v>811</v>
      </c>
      <c r="G68" s="2" t="s">
        <v>223</v>
      </c>
      <c r="H68" s="2" t="s">
        <v>818</v>
      </c>
      <c r="I68" s="2" t="s">
        <v>69</v>
      </c>
      <c r="J68" s="2" t="s">
        <v>1242</v>
      </c>
      <c r="K68" s="2" t="s">
        <v>212</v>
      </c>
      <c r="L68" s="2" t="s">
        <v>2457</v>
      </c>
    </row>
    <row r="69" customFormat="false" ht="23.85" hidden="false" customHeight="false" outlineLevel="0" collapsed="false">
      <c r="A69" s="2" t="s">
        <v>344</v>
      </c>
      <c r="B69" s="2" t="n">
        <v>68</v>
      </c>
      <c r="C69" s="2" t="s">
        <v>1504</v>
      </c>
      <c r="D69" s="2" t="s">
        <v>686</v>
      </c>
      <c r="E69" s="2" t="s">
        <v>810</v>
      </c>
      <c r="F69" s="2" t="s">
        <v>811</v>
      </c>
      <c r="G69" s="2" t="s">
        <v>345</v>
      </c>
      <c r="H69" s="2" t="s">
        <v>819</v>
      </c>
      <c r="I69" s="2" t="s">
        <v>69</v>
      </c>
      <c r="J69" s="2" t="s">
        <v>1242</v>
      </c>
      <c r="K69" s="2" t="s">
        <v>212</v>
      </c>
      <c r="L69" s="2" t="s">
        <v>2457</v>
      </c>
    </row>
    <row r="70" customFormat="false" ht="23.85" hidden="false" customHeight="false" outlineLevel="0" collapsed="false">
      <c r="A70" s="2" t="s">
        <v>346</v>
      </c>
      <c r="B70" s="2" t="n">
        <v>69</v>
      </c>
      <c r="C70" s="2" t="s">
        <v>1264</v>
      </c>
      <c r="D70" s="2" t="s">
        <v>686</v>
      </c>
      <c r="E70" s="2" t="s">
        <v>810</v>
      </c>
      <c r="F70" s="2" t="s">
        <v>811</v>
      </c>
      <c r="G70" s="2" t="s">
        <v>225</v>
      </c>
      <c r="H70" s="2" t="s">
        <v>820</v>
      </c>
      <c r="I70" s="2" t="s">
        <v>75</v>
      </c>
      <c r="J70" s="2" t="s">
        <v>1242</v>
      </c>
      <c r="K70" s="2" t="s">
        <v>212</v>
      </c>
      <c r="L70" s="2" t="s">
        <v>2457</v>
      </c>
    </row>
    <row r="71" customFormat="false" ht="23.85" hidden="false" customHeight="false" outlineLevel="0" collapsed="false">
      <c r="A71" s="2" t="s">
        <v>347</v>
      </c>
      <c r="B71" s="2" t="n">
        <v>70</v>
      </c>
      <c r="C71" s="2" t="s">
        <v>1272</v>
      </c>
      <c r="D71" s="2" t="s">
        <v>686</v>
      </c>
      <c r="E71" s="2" t="s">
        <v>810</v>
      </c>
      <c r="F71" s="2" t="s">
        <v>811</v>
      </c>
      <c r="G71" s="2" t="s">
        <v>229</v>
      </c>
      <c r="H71" s="2" t="s">
        <v>821</v>
      </c>
      <c r="I71" s="2" t="s">
        <v>45</v>
      </c>
      <c r="J71" s="2" t="s">
        <v>1242</v>
      </c>
      <c r="K71" s="2" t="s">
        <v>212</v>
      </c>
      <c r="L71" s="2" t="s">
        <v>2457</v>
      </c>
    </row>
    <row r="72" customFormat="false" ht="23.85" hidden="false" customHeight="false" outlineLevel="0" collapsed="false">
      <c r="A72" s="2" t="s">
        <v>348</v>
      </c>
      <c r="B72" s="2" t="n">
        <v>71</v>
      </c>
      <c r="C72" s="2" t="s">
        <v>1276</v>
      </c>
      <c r="D72" s="2" t="s">
        <v>686</v>
      </c>
      <c r="E72" s="2" t="s">
        <v>810</v>
      </c>
      <c r="F72" s="2" t="s">
        <v>811</v>
      </c>
      <c r="G72" s="2" t="s">
        <v>232</v>
      </c>
      <c r="H72" s="2" t="s">
        <v>822</v>
      </c>
      <c r="I72" s="2" t="s">
        <v>45</v>
      </c>
      <c r="J72" s="2" t="s">
        <v>1242</v>
      </c>
      <c r="K72" s="2" t="s">
        <v>212</v>
      </c>
      <c r="L72" s="2" t="s">
        <v>2457</v>
      </c>
    </row>
    <row r="73" customFormat="false" ht="23.85" hidden="false" customHeight="false" outlineLevel="0" collapsed="false">
      <c r="A73" s="2" t="s">
        <v>349</v>
      </c>
      <c r="B73" s="2" t="n">
        <v>72</v>
      </c>
      <c r="C73" s="2" t="s">
        <v>1296</v>
      </c>
      <c r="D73" s="2" t="s">
        <v>686</v>
      </c>
      <c r="E73" s="2" t="s">
        <v>810</v>
      </c>
      <c r="F73" s="2" t="s">
        <v>811</v>
      </c>
      <c r="G73" s="2" t="s">
        <v>243</v>
      </c>
      <c r="H73" s="2" t="s">
        <v>823</v>
      </c>
      <c r="I73" s="2" t="s">
        <v>45</v>
      </c>
      <c r="J73" s="2" t="s">
        <v>1242</v>
      </c>
      <c r="K73" s="2" t="s">
        <v>212</v>
      </c>
      <c r="L73" s="2" t="s">
        <v>2457</v>
      </c>
    </row>
    <row r="74" customFormat="false" ht="23.85" hidden="false" customHeight="false" outlineLevel="0" collapsed="false">
      <c r="A74" s="2" t="s">
        <v>350</v>
      </c>
      <c r="B74" s="2" t="n">
        <v>73</v>
      </c>
      <c r="C74" s="2" t="s">
        <v>1520</v>
      </c>
      <c r="D74" s="2" t="s">
        <v>686</v>
      </c>
      <c r="E74" s="2" t="s">
        <v>810</v>
      </c>
      <c r="F74" s="2" t="s">
        <v>811</v>
      </c>
      <c r="G74" s="2" t="s">
        <v>351</v>
      </c>
      <c r="H74" s="2" t="s">
        <v>824</v>
      </c>
      <c r="I74" s="2" t="s">
        <v>69</v>
      </c>
      <c r="J74" s="2" t="s">
        <v>1242</v>
      </c>
      <c r="K74" s="2" t="s">
        <v>212</v>
      </c>
      <c r="L74" s="2" t="s">
        <v>2457</v>
      </c>
    </row>
    <row r="75" customFormat="false" ht="23.85" hidden="false" customHeight="false" outlineLevel="0" collapsed="false">
      <c r="A75" s="2" t="s">
        <v>352</v>
      </c>
      <c r="B75" s="2" t="n">
        <v>74</v>
      </c>
      <c r="C75" s="2" t="s">
        <v>1524</v>
      </c>
      <c r="D75" s="2" t="s">
        <v>686</v>
      </c>
      <c r="E75" s="2" t="s">
        <v>810</v>
      </c>
      <c r="F75" s="2" t="s">
        <v>811</v>
      </c>
      <c r="G75" s="2" t="s">
        <v>353</v>
      </c>
      <c r="H75" s="2" t="s">
        <v>827</v>
      </c>
      <c r="I75" s="2" t="s">
        <v>45</v>
      </c>
      <c r="J75" s="2" t="s">
        <v>1242</v>
      </c>
      <c r="K75" s="2" t="s">
        <v>212</v>
      </c>
      <c r="L75" s="2" t="s">
        <v>2457</v>
      </c>
    </row>
    <row r="76" customFormat="false" ht="23.85" hidden="false" customHeight="false" outlineLevel="0" collapsed="false">
      <c r="A76" s="2" t="s">
        <v>354</v>
      </c>
      <c r="B76" s="2" t="n">
        <v>75</v>
      </c>
      <c r="C76" s="2" t="s">
        <v>1328</v>
      </c>
      <c r="D76" s="2" t="s">
        <v>686</v>
      </c>
      <c r="E76" s="2" t="s">
        <v>810</v>
      </c>
      <c r="F76" s="2" t="s">
        <v>811</v>
      </c>
      <c r="G76" s="2" t="s">
        <v>259</v>
      </c>
      <c r="H76" s="2" t="s">
        <v>829</v>
      </c>
      <c r="I76" s="2" t="s">
        <v>38</v>
      </c>
      <c r="J76" s="2" t="s">
        <v>1242</v>
      </c>
      <c r="K76" s="2" t="s">
        <v>212</v>
      </c>
      <c r="L76" s="2" t="s">
        <v>2457</v>
      </c>
    </row>
    <row r="77" customFormat="false" ht="23.85" hidden="false" customHeight="false" outlineLevel="0" collapsed="false">
      <c r="A77" s="2" t="s">
        <v>355</v>
      </c>
      <c r="B77" s="2" t="n">
        <v>76</v>
      </c>
      <c r="C77" s="2" t="s">
        <v>1531</v>
      </c>
      <c r="D77" s="2" t="s">
        <v>686</v>
      </c>
      <c r="E77" s="2" t="s">
        <v>810</v>
      </c>
      <c r="F77" s="2" t="s">
        <v>811</v>
      </c>
      <c r="G77" s="2" t="s">
        <v>356</v>
      </c>
      <c r="H77" s="2" t="s">
        <v>830</v>
      </c>
      <c r="I77" s="2" t="s">
        <v>38</v>
      </c>
      <c r="J77" s="2" t="s">
        <v>1242</v>
      </c>
      <c r="K77" s="2" t="s">
        <v>212</v>
      </c>
      <c r="L77" s="2" t="s">
        <v>2457</v>
      </c>
    </row>
    <row r="78" customFormat="false" ht="23.85" hidden="false" customHeight="false" outlineLevel="0" collapsed="false">
      <c r="A78" s="2" t="s">
        <v>357</v>
      </c>
      <c r="B78" s="2" t="n">
        <v>77</v>
      </c>
      <c r="C78" s="2" t="s">
        <v>1332</v>
      </c>
      <c r="D78" s="2" t="s">
        <v>686</v>
      </c>
      <c r="E78" s="2" t="s">
        <v>810</v>
      </c>
      <c r="F78" s="2" t="s">
        <v>811</v>
      </c>
      <c r="G78" s="2" t="s">
        <v>261</v>
      </c>
      <c r="H78" s="2" t="s">
        <v>832</v>
      </c>
      <c r="I78" s="2" t="s">
        <v>38</v>
      </c>
      <c r="J78" s="2" t="s">
        <v>1242</v>
      </c>
      <c r="K78" s="2" t="s">
        <v>212</v>
      </c>
      <c r="L78" s="2" t="s">
        <v>2457</v>
      </c>
    </row>
    <row r="79" customFormat="false" ht="23.85" hidden="false" customHeight="false" outlineLevel="0" collapsed="false">
      <c r="A79" s="2" t="s">
        <v>358</v>
      </c>
      <c r="B79" s="2" t="n">
        <v>78</v>
      </c>
      <c r="C79" s="2" t="s">
        <v>1538</v>
      </c>
      <c r="D79" s="2" t="s">
        <v>686</v>
      </c>
      <c r="E79" s="2" t="s">
        <v>810</v>
      </c>
      <c r="F79" s="2" t="s">
        <v>811</v>
      </c>
      <c r="G79" s="2" t="s">
        <v>359</v>
      </c>
      <c r="H79" s="2" t="s">
        <v>834</v>
      </c>
      <c r="I79" s="2" t="s">
        <v>75</v>
      </c>
      <c r="J79" s="2" t="s">
        <v>1242</v>
      </c>
      <c r="K79" s="2" t="s">
        <v>212</v>
      </c>
      <c r="L79" s="2" t="s">
        <v>2457</v>
      </c>
    </row>
    <row r="80" customFormat="false" ht="23.85" hidden="false" customHeight="false" outlineLevel="0" collapsed="false">
      <c r="A80" s="2" t="s">
        <v>360</v>
      </c>
      <c r="B80" s="2" t="n">
        <v>79</v>
      </c>
      <c r="C80" s="2" t="s">
        <v>1542</v>
      </c>
      <c r="D80" s="2" t="s">
        <v>686</v>
      </c>
      <c r="E80" s="2" t="s">
        <v>810</v>
      </c>
      <c r="F80" s="2" t="s">
        <v>811</v>
      </c>
      <c r="G80" s="2" t="s">
        <v>361</v>
      </c>
      <c r="H80" s="2" t="s">
        <v>835</v>
      </c>
      <c r="I80" s="2" t="s">
        <v>71</v>
      </c>
      <c r="J80" s="2" t="s">
        <v>1242</v>
      </c>
      <c r="K80" s="2" t="s">
        <v>212</v>
      </c>
      <c r="L80" s="2" t="s">
        <v>2457</v>
      </c>
    </row>
    <row r="81" customFormat="false" ht="23.85" hidden="false" customHeight="false" outlineLevel="0" collapsed="false">
      <c r="A81" s="2" t="s">
        <v>362</v>
      </c>
      <c r="B81" s="2" t="n">
        <v>80</v>
      </c>
      <c r="C81" s="2" t="s">
        <v>1546</v>
      </c>
      <c r="D81" s="2" t="s">
        <v>686</v>
      </c>
      <c r="E81" s="2" t="s">
        <v>810</v>
      </c>
      <c r="F81" s="2" t="s">
        <v>811</v>
      </c>
      <c r="G81" s="2" t="s">
        <v>363</v>
      </c>
      <c r="H81" s="2" t="s">
        <v>837</v>
      </c>
      <c r="I81" s="2" t="s">
        <v>69</v>
      </c>
      <c r="J81" s="2" t="s">
        <v>1242</v>
      </c>
      <c r="K81" s="2" t="s">
        <v>212</v>
      </c>
      <c r="L81" s="2" t="s">
        <v>2457</v>
      </c>
    </row>
    <row r="82" customFormat="false" ht="23.85" hidden="false" customHeight="false" outlineLevel="0" collapsed="false">
      <c r="A82" s="2" t="s">
        <v>364</v>
      </c>
      <c r="B82" s="2" t="n">
        <v>81</v>
      </c>
      <c r="C82" s="2" t="s">
        <v>1550</v>
      </c>
      <c r="D82" s="2" t="s">
        <v>686</v>
      </c>
      <c r="E82" s="2" t="s">
        <v>810</v>
      </c>
      <c r="F82" s="2" t="s">
        <v>811</v>
      </c>
      <c r="G82" s="2" t="s">
        <v>365</v>
      </c>
      <c r="H82" s="2" t="s">
        <v>840</v>
      </c>
      <c r="I82" s="2" t="s">
        <v>75</v>
      </c>
      <c r="J82" s="2" t="s">
        <v>1242</v>
      </c>
      <c r="K82" s="2" t="s">
        <v>212</v>
      </c>
      <c r="L82" s="2" t="s">
        <v>2457</v>
      </c>
    </row>
    <row r="83" customFormat="false" ht="23.85" hidden="false" customHeight="false" outlineLevel="0" collapsed="false">
      <c r="A83" s="2" t="s">
        <v>366</v>
      </c>
      <c r="B83" s="2" t="n">
        <v>82</v>
      </c>
      <c r="C83" s="2" t="s">
        <v>1344</v>
      </c>
      <c r="D83" s="2" t="s">
        <v>686</v>
      </c>
      <c r="E83" s="2" t="s">
        <v>810</v>
      </c>
      <c r="F83" s="2" t="s">
        <v>811</v>
      </c>
      <c r="G83" s="2" t="s">
        <v>267</v>
      </c>
      <c r="H83" s="2" t="s">
        <v>841</v>
      </c>
      <c r="I83" s="2" t="s">
        <v>75</v>
      </c>
      <c r="J83" s="2" t="s">
        <v>1242</v>
      </c>
      <c r="K83" s="2" t="s">
        <v>212</v>
      </c>
      <c r="L83" s="2" t="s">
        <v>2457</v>
      </c>
    </row>
    <row r="84" customFormat="false" ht="23.85" hidden="false" customHeight="false" outlineLevel="0" collapsed="false">
      <c r="A84" s="2" t="s">
        <v>367</v>
      </c>
      <c r="B84" s="2" t="n">
        <v>83</v>
      </c>
      <c r="C84" s="2" t="s">
        <v>1557</v>
      </c>
      <c r="D84" s="2" t="s">
        <v>686</v>
      </c>
      <c r="E84" s="2" t="s">
        <v>810</v>
      </c>
      <c r="F84" s="2" t="s">
        <v>811</v>
      </c>
      <c r="G84" s="2" t="s">
        <v>368</v>
      </c>
      <c r="H84" s="2" t="s">
        <v>842</v>
      </c>
      <c r="I84" s="2" t="s">
        <v>66</v>
      </c>
      <c r="J84" s="2" t="s">
        <v>1242</v>
      </c>
      <c r="K84" s="2" t="s">
        <v>212</v>
      </c>
      <c r="L84" s="2" t="s">
        <v>2457</v>
      </c>
    </row>
    <row r="85" customFormat="false" ht="23.85" hidden="false" customHeight="false" outlineLevel="0" collapsed="false">
      <c r="A85" s="2" t="s">
        <v>369</v>
      </c>
      <c r="B85" s="2" t="n">
        <v>84</v>
      </c>
      <c r="C85" s="2" t="s">
        <v>1356</v>
      </c>
      <c r="D85" s="2" t="s">
        <v>686</v>
      </c>
      <c r="E85" s="2" t="s">
        <v>810</v>
      </c>
      <c r="F85" s="2" t="s">
        <v>811</v>
      </c>
      <c r="G85" s="2" t="s">
        <v>273</v>
      </c>
      <c r="H85" s="2" t="s">
        <v>844</v>
      </c>
      <c r="I85" s="2" t="s">
        <v>58</v>
      </c>
      <c r="J85" s="2" t="s">
        <v>1242</v>
      </c>
      <c r="K85" s="2" t="s">
        <v>212</v>
      </c>
      <c r="L85" s="2" t="s">
        <v>2457</v>
      </c>
    </row>
    <row r="86" customFormat="false" ht="23.85" hidden="false" customHeight="false" outlineLevel="0" collapsed="false">
      <c r="A86" s="2" t="s">
        <v>370</v>
      </c>
      <c r="B86" s="2" t="n">
        <v>85</v>
      </c>
      <c r="C86" s="2" t="s">
        <v>1564</v>
      </c>
      <c r="D86" s="2" t="s">
        <v>686</v>
      </c>
      <c r="E86" s="2" t="s">
        <v>810</v>
      </c>
      <c r="F86" s="2" t="s">
        <v>811</v>
      </c>
      <c r="G86" s="2" t="s">
        <v>275</v>
      </c>
      <c r="H86" s="2" t="s">
        <v>845</v>
      </c>
      <c r="I86" s="2" t="s">
        <v>69</v>
      </c>
      <c r="J86" s="2" t="s">
        <v>1242</v>
      </c>
      <c r="K86" s="2" t="s">
        <v>212</v>
      </c>
      <c r="L86" s="2" t="s">
        <v>2457</v>
      </c>
    </row>
    <row r="87" customFormat="false" ht="23.85" hidden="false" customHeight="false" outlineLevel="0" collapsed="false">
      <c r="A87" s="2" t="s">
        <v>371</v>
      </c>
      <c r="B87" s="2" t="n">
        <v>86</v>
      </c>
      <c r="C87" s="2" t="s">
        <v>1568</v>
      </c>
      <c r="D87" s="2" t="s">
        <v>686</v>
      </c>
      <c r="E87" s="2" t="s">
        <v>810</v>
      </c>
      <c r="F87" s="2" t="s">
        <v>811</v>
      </c>
      <c r="G87" s="2" t="s">
        <v>372</v>
      </c>
      <c r="H87" s="2" t="s">
        <v>847</v>
      </c>
      <c r="I87" s="2" t="s">
        <v>71</v>
      </c>
      <c r="J87" s="2" t="s">
        <v>1242</v>
      </c>
      <c r="K87" s="2" t="s">
        <v>212</v>
      </c>
      <c r="L87" s="2" t="s">
        <v>2457</v>
      </c>
    </row>
    <row r="88" customFormat="false" ht="23.85" hidden="false" customHeight="false" outlineLevel="0" collapsed="false">
      <c r="A88" s="2" t="s">
        <v>373</v>
      </c>
      <c r="B88" s="2" t="n">
        <v>87</v>
      </c>
      <c r="C88" s="2" t="s">
        <v>1572</v>
      </c>
      <c r="D88" s="2" t="s">
        <v>686</v>
      </c>
      <c r="E88" s="2" t="s">
        <v>810</v>
      </c>
      <c r="F88" s="2" t="s">
        <v>811</v>
      </c>
      <c r="G88" s="2" t="s">
        <v>374</v>
      </c>
      <c r="H88" s="2" t="s">
        <v>849</v>
      </c>
      <c r="I88" s="2" t="s">
        <v>69</v>
      </c>
      <c r="J88" s="2" t="s">
        <v>1242</v>
      </c>
      <c r="K88" s="2" t="s">
        <v>212</v>
      </c>
      <c r="L88" s="2" t="s">
        <v>2457</v>
      </c>
    </row>
    <row r="89" customFormat="false" ht="23.85" hidden="false" customHeight="false" outlineLevel="0" collapsed="false">
      <c r="A89" s="2" t="s">
        <v>375</v>
      </c>
      <c r="B89" s="2" t="n">
        <v>88</v>
      </c>
      <c r="C89" s="2" t="s">
        <v>1372</v>
      </c>
      <c r="D89" s="2" t="s">
        <v>686</v>
      </c>
      <c r="E89" s="2" t="s">
        <v>810</v>
      </c>
      <c r="F89" s="2" t="s">
        <v>811</v>
      </c>
      <c r="G89" s="2" t="s">
        <v>281</v>
      </c>
      <c r="H89" s="2" t="s">
        <v>850</v>
      </c>
      <c r="I89" s="2" t="s">
        <v>38</v>
      </c>
      <c r="J89" s="2" t="s">
        <v>1242</v>
      </c>
      <c r="K89" s="2" t="s">
        <v>212</v>
      </c>
      <c r="L89" s="2" t="s">
        <v>2457</v>
      </c>
    </row>
    <row r="90" customFormat="false" ht="23.85" hidden="false" customHeight="false" outlineLevel="0" collapsed="false">
      <c r="A90" s="2" t="s">
        <v>376</v>
      </c>
      <c r="B90" s="2" t="n">
        <v>89</v>
      </c>
      <c r="C90" s="2" t="s">
        <v>1579</v>
      </c>
      <c r="D90" s="2" t="s">
        <v>686</v>
      </c>
      <c r="E90" s="2" t="s">
        <v>810</v>
      </c>
      <c r="F90" s="2" t="s">
        <v>811</v>
      </c>
      <c r="G90" s="2" t="s">
        <v>377</v>
      </c>
      <c r="H90" s="2" t="s">
        <v>851</v>
      </c>
      <c r="I90" s="2" t="s">
        <v>69</v>
      </c>
      <c r="J90" s="2" t="s">
        <v>1242</v>
      </c>
      <c r="K90" s="2" t="s">
        <v>212</v>
      </c>
      <c r="L90" s="2" t="s">
        <v>2457</v>
      </c>
    </row>
    <row r="91" customFormat="false" ht="23.85" hidden="false" customHeight="false" outlineLevel="0" collapsed="false">
      <c r="A91" s="2" t="s">
        <v>378</v>
      </c>
      <c r="B91" s="2" t="n">
        <v>90</v>
      </c>
      <c r="C91" s="2" t="s">
        <v>1583</v>
      </c>
      <c r="D91" s="2" t="s">
        <v>686</v>
      </c>
      <c r="E91" s="2" t="s">
        <v>810</v>
      </c>
      <c r="F91" s="2" t="s">
        <v>811</v>
      </c>
      <c r="G91" s="2" t="s">
        <v>379</v>
      </c>
      <c r="H91" s="2" t="s">
        <v>853</v>
      </c>
      <c r="I91" s="2" t="s">
        <v>75</v>
      </c>
      <c r="J91" s="2" t="s">
        <v>1242</v>
      </c>
      <c r="K91" s="2" t="s">
        <v>212</v>
      </c>
      <c r="L91" s="2" t="s">
        <v>2457</v>
      </c>
    </row>
    <row r="92" customFormat="false" ht="23.85" hidden="false" customHeight="false" outlineLevel="0" collapsed="false">
      <c r="A92" s="2" t="s">
        <v>380</v>
      </c>
      <c r="B92" s="2" t="n">
        <v>91</v>
      </c>
      <c r="C92" s="2" t="s">
        <v>1587</v>
      </c>
      <c r="D92" s="2" t="s">
        <v>686</v>
      </c>
      <c r="E92" s="2" t="s">
        <v>810</v>
      </c>
      <c r="F92" s="2" t="s">
        <v>811</v>
      </c>
      <c r="G92" s="2" t="s">
        <v>381</v>
      </c>
      <c r="H92" s="2" t="s">
        <v>854</v>
      </c>
      <c r="I92" s="2" t="s">
        <v>73</v>
      </c>
      <c r="J92" s="2" t="s">
        <v>1242</v>
      </c>
      <c r="K92" s="2" t="s">
        <v>212</v>
      </c>
      <c r="L92" s="2" t="s">
        <v>2457</v>
      </c>
    </row>
    <row r="93" customFormat="false" ht="23.85" hidden="false" customHeight="false" outlineLevel="0" collapsed="false">
      <c r="A93" s="2" t="s">
        <v>382</v>
      </c>
      <c r="B93" s="2" t="n">
        <v>92</v>
      </c>
      <c r="C93" s="2" t="s">
        <v>1591</v>
      </c>
      <c r="D93" s="2" t="s">
        <v>686</v>
      </c>
      <c r="E93" s="2" t="s">
        <v>810</v>
      </c>
      <c r="F93" s="2" t="s">
        <v>811</v>
      </c>
      <c r="G93" s="2" t="s">
        <v>383</v>
      </c>
      <c r="H93" s="2" t="s">
        <v>855</v>
      </c>
      <c r="I93" s="2" t="s">
        <v>45</v>
      </c>
      <c r="J93" s="2" t="s">
        <v>1242</v>
      </c>
      <c r="K93" s="2" t="s">
        <v>212</v>
      </c>
      <c r="L93" s="2" t="s">
        <v>2457</v>
      </c>
    </row>
    <row r="94" customFormat="false" ht="23.85" hidden="false" customHeight="false" outlineLevel="0" collapsed="false">
      <c r="A94" s="2" t="s">
        <v>384</v>
      </c>
      <c r="B94" s="2" t="n">
        <v>93</v>
      </c>
      <c r="C94" s="2" t="s">
        <v>1595</v>
      </c>
      <c r="D94" s="2" t="s">
        <v>686</v>
      </c>
      <c r="E94" s="2" t="s">
        <v>810</v>
      </c>
      <c r="F94" s="2" t="s">
        <v>811</v>
      </c>
      <c r="G94" s="2" t="s">
        <v>385</v>
      </c>
      <c r="H94" s="2" t="s">
        <v>856</v>
      </c>
      <c r="I94" s="2" t="s">
        <v>69</v>
      </c>
      <c r="J94" s="2" t="s">
        <v>1242</v>
      </c>
      <c r="K94" s="2" t="s">
        <v>212</v>
      </c>
      <c r="L94" s="2" t="s">
        <v>2457</v>
      </c>
    </row>
    <row r="95" customFormat="false" ht="23.85" hidden="false" customHeight="false" outlineLevel="0" collapsed="false">
      <c r="A95" s="2" t="s">
        <v>386</v>
      </c>
      <c r="B95" s="2" t="n">
        <v>94</v>
      </c>
      <c r="C95" s="2" t="s">
        <v>1599</v>
      </c>
      <c r="D95" s="2" t="s">
        <v>686</v>
      </c>
      <c r="E95" s="2" t="s">
        <v>810</v>
      </c>
      <c r="F95" s="2" t="s">
        <v>811</v>
      </c>
      <c r="G95" s="2" t="s">
        <v>387</v>
      </c>
      <c r="H95" s="2" t="s">
        <v>857</v>
      </c>
      <c r="I95" s="2" t="s">
        <v>75</v>
      </c>
      <c r="J95" s="2" t="s">
        <v>1242</v>
      </c>
      <c r="K95" s="2" t="s">
        <v>212</v>
      </c>
      <c r="L95" s="2" t="s">
        <v>2457</v>
      </c>
    </row>
    <row r="96" customFormat="false" ht="23.85" hidden="false" customHeight="false" outlineLevel="0" collapsed="false">
      <c r="A96" s="2" t="s">
        <v>388</v>
      </c>
      <c r="B96" s="2" t="n">
        <v>95</v>
      </c>
      <c r="C96" s="2" t="s">
        <v>1376</v>
      </c>
      <c r="D96" s="2" t="s">
        <v>686</v>
      </c>
      <c r="E96" s="2" t="s">
        <v>810</v>
      </c>
      <c r="F96" s="2" t="s">
        <v>811</v>
      </c>
      <c r="G96" s="2" t="s">
        <v>283</v>
      </c>
      <c r="H96" s="2" t="s">
        <v>858</v>
      </c>
      <c r="I96" s="2" t="s">
        <v>45</v>
      </c>
      <c r="J96" s="2" t="s">
        <v>1242</v>
      </c>
      <c r="K96" s="2" t="s">
        <v>212</v>
      </c>
      <c r="L96" s="2" t="s">
        <v>2457</v>
      </c>
    </row>
    <row r="97" customFormat="false" ht="23.85" hidden="false" customHeight="false" outlineLevel="0" collapsed="false">
      <c r="A97" s="2" t="s">
        <v>389</v>
      </c>
      <c r="B97" s="2" t="n">
        <v>96</v>
      </c>
      <c r="C97" s="2" t="s">
        <v>1388</v>
      </c>
      <c r="D97" s="2" t="s">
        <v>686</v>
      </c>
      <c r="E97" s="2" t="s">
        <v>810</v>
      </c>
      <c r="F97" s="2" t="s">
        <v>811</v>
      </c>
      <c r="G97" s="2" t="s">
        <v>289</v>
      </c>
      <c r="H97" s="2" t="s">
        <v>859</v>
      </c>
      <c r="I97" s="2" t="s">
        <v>66</v>
      </c>
      <c r="J97" s="2" t="s">
        <v>1242</v>
      </c>
      <c r="K97" s="2" t="s">
        <v>212</v>
      </c>
      <c r="L97" s="2" t="s">
        <v>2457</v>
      </c>
    </row>
    <row r="98" customFormat="false" ht="23.85" hidden="false" customHeight="false" outlineLevel="0" collapsed="false">
      <c r="A98" s="2" t="s">
        <v>390</v>
      </c>
      <c r="B98" s="2" t="n">
        <v>97</v>
      </c>
      <c r="C98" s="2" t="s">
        <v>1392</v>
      </c>
      <c r="D98" s="2" t="s">
        <v>686</v>
      </c>
      <c r="E98" s="2" t="s">
        <v>810</v>
      </c>
      <c r="F98" s="2" t="s">
        <v>811</v>
      </c>
      <c r="G98" s="2" t="s">
        <v>291</v>
      </c>
      <c r="H98" s="2" t="s">
        <v>860</v>
      </c>
      <c r="I98" s="2" t="s">
        <v>52</v>
      </c>
      <c r="J98" s="2" t="s">
        <v>1242</v>
      </c>
      <c r="K98" s="2" t="s">
        <v>212</v>
      </c>
      <c r="L98" s="2" t="s">
        <v>2457</v>
      </c>
    </row>
    <row r="99" customFormat="false" ht="23.85" hidden="false" customHeight="false" outlineLevel="0" collapsed="false">
      <c r="A99" s="2" t="s">
        <v>391</v>
      </c>
      <c r="B99" s="2" t="n">
        <v>98</v>
      </c>
      <c r="C99" s="2" t="s">
        <v>1611</v>
      </c>
      <c r="D99" s="2" t="s">
        <v>686</v>
      </c>
      <c r="E99" s="2" t="s">
        <v>810</v>
      </c>
      <c r="F99" s="2" t="s">
        <v>811</v>
      </c>
      <c r="G99" s="2" t="s">
        <v>392</v>
      </c>
      <c r="H99" s="2" t="s">
        <v>861</v>
      </c>
      <c r="I99" s="2" t="s">
        <v>75</v>
      </c>
      <c r="J99" s="2" t="s">
        <v>1242</v>
      </c>
      <c r="K99" s="2" t="s">
        <v>212</v>
      </c>
      <c r="L99" s="2" t="s">
        <v>2457</v>
      </c>
    </row>
    <row r="100" customFormat="false" ht="23.85" hidden="false" customHeight="false" outlineLevel="0" collapsed="false">
      <c r="A100" s="2" t="s">
        <v>393</v>
      </c>
      <c r="B100" s="2" t="n">
        <v>99</v>
      </c>
      <c r="C100" s="2" t="s">
        <v>1615</v>
      </c>
      <c r="D100" s="2" t="s">
        <v>686</v>
      </c>
      <c r="E100" s="2" t="s">
        <v>810</v>
      </c>
      <c r="F100" s="2" t="s">
        <v>811</v>
      </c>
      <c r="G100" s="2" t="s">
        <v>394</v>
      </c>
      <c r="H100" s="2" t="s">
        <v>862</v>
      </c>
      <c r="I100" s="2" t="s">
        <v>69</v>
      </c>
      <c r="J100" s="2" t="s">
        <v>1242</v>
      </c>
      <c r="K100" s="2" t="s">
        <v>212</v>
      </c>
      <c r="L100" s="2" t="s">
        <v>2457</v>
      </c>
    </row>
    <row r="101" customFormat="false" ht="23.85" hidden="false" customHeight="false" outlineLevel="0" collapsed="false">
      <c r="A101" s="2" t="s">
        <v>395</v>
      </c>
      <c r="B101" s="2" t="n">
        <v>100</v>
      </c>
      <c r="C101" s="2" t="s">
        <v>1619</v>
      </c>
      <c r="D101" s="2" t="s">
        <v>686</v>
      </c>
      <c r="E101" s="2" t="s">
        <v>810</v>
      </c>
      <c r="F101" s="2" t="s">
        <v>811</v>
      </c>
      <c r="G101" s="2" t="s">
        <v>396</v>
      </c>
      <c r="H101" s="2" t="s">
        <v>863</v>
      </c>
      <c r="I101" s="2" t="s">
        <v>69</v>
      </c>
      <c r="J101" s="2" t="s">
        <v>1242</v>
      </c>
      <c r="K101" s="2" t="s">
        <v>212</v>
      </c>
      <c r="L101" s="2" t="s">
        <v>2457</v>
      </c>
    </row>
    <row r="102" customFormat="false" ht="23.85" hidden="false" customHeight="false" outlineLevel="0" collapsed="false">
      <c r="A102" s="2" t="s">
        <v>397</v>
      </c>
      <c r="B102" s="2" t="n">
        <v>101</v>
      </c>
      <c r="C102" s="2" t="s">
        <v>1623</v>
      </c>
      <c r="D102" s="2" t="s">
        <v>686</v>
      </c>
      <c r="E102" s="2" t="s">
        <v>810</v>
      </c>
      <c r="F102" s="2" t="s">
        <v>811</v>
      </c>
      <c r="G102" s="2" t="s">
        <v>398</v>
      </c>
      <c r="H102" s="2" t="s">
        <v>864</v>
      </c>
      <c r="I102" s="2" t="s">
        <v>71</v>
      </c>
      <c r="J102" s="2" t="s">
        <v>1242</v>
      </c>
      <c r="K102" s="2" t="s">
        <v>212</v>
      </c>
      <c r="L102" s="2" t="s">
        <v>2457</v>
      </c>
    </row>
    <row r="103" customFormat="false" ht="23.85" hidden="false" customHeight="false" outlineLevel="0" collapsed="false">
      <c r="A103" s="2" t="s">
        <v>399</v>
      </c>
      <c r="B103" s="2" t="n">
        <v>102</v>
      </c>
      <c r="C103" s="2" t="s">
        <v>1627</v>
      </c>
      <c r="D103" s="2" t="s">
        <v>686</v>
      </c>
      <c r="E103" s="2" t="s">
        <v>810</v>
      </c>
      <c r="F103" s="2" t="s">
        <v>811</v>
      </c>
      <c r="G103" s="2" t="s">
        <v>400</v>
      </c>
      <c r="H103" s="2" t="s">
        <v>865</v>
      </c>
      <c r="I103" s="2" t="s">
        <v>45</v>
      </c>
      <c r="J103" s="2" t="s">
        <v>1242</v>
      </c>
      <c r="K103" s="2" t="s">
        <v>212</v>
      </c>
      <c r="L103" s="2" t="s">
        <v>2457</v>
      </c>
    </row>
    <row r="104" customFormat="false" ht="23.85" hidden="false" customHeight="false" outlineLevel="0" collapsed="false">
      <c r="A104" s="2" t="s">
        <v>401</v>
      </c>
      <c r="B104" s="2" t="n">
        <v>103</v>
      </c>
      <c r="C104" s="2" t="s">
        <v>1631</v>
      </c>
      <c r="D104" s="2" t="s">
        <v>686</v>
      </c>
      <c r="E104" s="2" t="s">
        <v>810</v>
      </c>
      <c r="F104" s="2" t="s">
        <v>811</v>
      </c>
      <c r="G104" s="2" t="s">
        <v>402</v>
      </c>
      <c r="H104" s="2" t="s">
        <v>866</v>
      </c>
      <c r="I104" s="2" t="s">
        <v>45</v>
      </c>
      <c r="J104" s="2" t="s">
        <v>1242</v>
      </c>
      <c r="K104" s="2" t="s">
        <v>212</v>
      </c>
      <c r="L104" s="2" t="s">
        <v>2457</v>
      </c>
    </row>
    <row r="105" customFormat="false" ht="23.85" hidden="false" customHeight="false" outlineLevel="0" collapsed="false">
      <c r="A105" s="2" t="s">
        <v>403</v>
      </c>
      <c r="B105" s="2" t="n">
        <v>104</v>
      </c>
      <c r="C105" s="2" t="s">
        <v>1440</v>
      </c>
      <c r="D105" s="2" t="s">
        <v>686</v>
      </c>
      <c r="E105" s="2" t="s">
        <v>810</v>
      </c>
      <c r="F105" s="2" t="s">
        <v>811</v>
      </c>
      <c r="G105" s="2" t="s">
        <v>315</v>
      </c>
      <c r="H105" s="2" t="s">
        <v>867</v>
      </c>
      <c r="I105" s="2" t="s">
        <v>58</v>
      </c>
      <c r="J105" s="2" t="s">
        <v>1242</v>
      </c>
      <c r="K105" s="2" t="s">
        <v>212</v>
      </c>
      <c r="L105" s="2" t="s">
        <v>2457</v>
      </c>
    </row>
    <row r="106" customFormat="false" ht="23.85" hidden="false" customHeight="false" outlineLevel="0" collapsed="false">
      <c r="A106" s="2" t="s">
        <v>404</v>
      </c>
      <c r="B106" s="2" t="n">
        <v>105</v>
      </c>
      <c r="C106" s="2" t="s">
        <v>1638</v>
      </c>
      <c r="D106" s="2" t="s">
        <v>686</v>
      </c>
      <c r="E106" s="2" t="s">
        <v>810</v>
      </c>
      <c r="F106" s="2" t="s">
        <v>811</v>
      </c>
      <c r="G106" s="2" t="s">
        <v>405</v>
      </c>
      <c r="H106" s="2" t="s">
        <v>868</v>
      </c>
      <c r="I106" s="2" t="s">
        <v>45</v>
      </c>
      <c r="J106" s="2" t="s">
        <v>1242</v>
      </c>
      <c r="K106" s="2" t="s">
        <v>212</v>
      </c>
      <c r="L106" s="2" t="s">
        <v>2457</v>
      </c>
    </row>
    <row r="107" customFormat="false" ht="23.85" hidden="false" customHeight="false" outlineLevel="0" collapsed="false">
      <c r="A107" s="2" t="s">
        <v>406</v>
      </c>
      <c r="B107" s="2" t="n">
        <v>106</v>
      </c>
      <c r="C107" s="2" t="s">
        <v>1448</v>
      </c>
      <c r="D107" s="2" t="s">
        <v>686</v>
      </c>
      <c r="E107" s="2" t="s">
        <v>810</v>
      </c>
      <c r="F107" s="2" t="s">
        <v>811</v>
      </c>
      <c r="G107" s="2" t="s">
        <v>407</v>
      </c>
      <c r="H107" s="2" t="s">
        <v>869</v>
      </c>
      <c r="I107" s="2" t="s">
        <v>58</v>
      </c>
      <c r="J107" s="2" t="s">
        <v>1242</v>
      </c>
      <c r="K107" s="2" t="s">
        <v>212</v>
      </c>
      <c r="L107" s="2" t="s">
        <v>2457</v>
      </c>
    </row>
    <row r="108" customFormat="false" ht="23.85" hidden="false" customHeight="false" outlineLevel="0" collapsed="false">
      <c r="A108" s="2" t="s">
        <v>408</v>
      </c>
      <c r="B108" s="2" t="n">
        <v>107</v>
      </c>
      <c r="C108" s="2" t="s">
        <v>1476</v>
      </c>
      <c r="D108" s="2" t="s">
        <v>686</v>
      </c>
      <c r="E108" s="2" t="s">
        <v>810</v>
      </c>
      <c r="F108" s="2" t="s">
        <v>811</v>
      </c>
      <c r="G108" s="2" t="s">
        <v>333</v>
      </c>
      <c r="H108" s="2" t="s">
        <v>870</v>
      </c>
      <c r="I108" s="2" t="s">
        <v>71</v>
      </c>
      <c r="J108" s="2" t="s">
        <v>1242</v>
      </c>
      <c r="K108" s="2" t="s">
        <v>212</v>
      </c>
      <c r="L108" s="2" t="s">
        <v>2457</v>
      </c>
    </row>
    <row r="109" customFormat="false" ht="23.85" hidden="false" customHeight="false" outlineLevel="0" collapsed="false">
      <c r="A109" s="2" t="s">
        <v>409</v>
      </c>
      <c r="B109" s="2" t="n">
        <v>108</v>
      </c>
      <c r="C109" s="2" t="s">
        <v>1648</v>
      </c>
      <c r="D109" s="2" t="s">
        <v>686</v>
      </c>
      <c r="E109" s="2" t="s">
        <v>810</v>
      </c>
      <c r="F109" s="2" t="s">
        <v>811</v>
      </c>
      <c r="G109" s="2" t="s">
        <v>410</v>
      </c>
      <c r="H109" s="2" t="s">
        <v>871</v>
      </c>
      <c r="I109" s="2" t="s">
        <v>75</v>
      </c>
      <c r="J109" s="2" t="s">
        <v>1242</v>
      </c>
      <c r="K109" s="2" t="s">
        <v>212</v>
      </c>
      <c r="L109" s="2" t="s">
        <v>2457</v>
      </c>
    </row>
    <row r="110" customFormat="false" ht="23.85" hidden="false" customHeight="false" outlineLevel="0" collapsed="false">
      <c r="A110" s="2" t="s">
        <v>411</v>
      </c>
      <c r="B110" s="2" t="n">
        <v>109</v>
      </c>
      <c r="C110" s="2" t="s">
        <v>1480</v>
      </c>
      <c r="D110" s="2" t="s">
        <v>686</v>
      </c>
      <c r="E110" s="2" t="s">
        <v>810</v>
      </c>
      <c r="F110" s="2" t="s">
        <v>811</v>
      </c>
      <c r="G110" s="2" t="s">
        <v>335</v>
      </c>
      <c r="H110" s="2" t="s">
        <v>872</v>
      </c>
      <c r="I110" s="2" t="s">
        <v>73</v>
      </c>
      <c r="J110" s="2" t="s">
        <v>1242</v>
      </c>
      <c r="K110" s="2" t="s">
        <v>212</v>
      </c>
      <c r="L110" s="2" t="s">
        <v>2457</v>
      </c>
    </row>
    <row r="111" customFormat="false" ht="23.85" hidden="false" customHeight="false" outlineLevel="0" collapsed="false">
      <c r="A111" s="2" t="s">
        <v>412</v>
      </c>
      <c r="B111" s="2" t="n">
        <v>110</v>
      </c>
      <c r="C111" s="2" t="s">
        <v>1655</v>
      </c>
      <c r="D111" s="2" t="s">
        <v>686</v>
      </c>
      <c r="E111" s="2" t="s">
        <v>873</v>
      </c>
      <c r="F111" s="2" t="s">
        <v>874</v>
      </c>
      <c r="G111" s="2" t="s">
        <v>413</v>
      </c>
      <c r="H111" s="2" t="s">
        <v>876</v>
      </c>
      <c r="I111" s="2" t="s">
        <v>73</v>
      </c>
      <c r="J111" s="2" t="s">
        <v>1242</v>
      </c>
      <c r="K111" s="2" t="s">
        <v>212</v>
      </c>
      <c r="L111" s="2" t="s">
        <v>2457</v>
      </c>
    </row>
    <row r="112" customFormat="false" ht="23.85" hidden="false" customHeight="false" outlineLevel="0" collapsed="false">
      <c r="A112" s="2" t="s">
        <v>414</v>
      </c>
      <c r="B112" s="2" t="n">
        <v>111</v>
      </c>
      <c r="C112" s="2" t="s">
        <v>1252</v>
      </c>
      <c r="D112" s="2" t="s">
        <v>686</v>
      </c>
      <c r="E112" s="2" t="s">
        <v>873</v>
      </c>
      <c r="F112" s="2" t="s">
        <v>874</v>
      </c>
      <c r="G112" s="2" t="s">
        <v>219</v>
      </c>
      <c r="H112" s="2" t="s">
        <v>877</v>
      </c>
      <c r="I112" s="2" t="s">
        <v>66</v>
      </c>
      <c r="J112" s="2" t="s">
        <v>1242</v>
      </c>
      <c r="K112" s="2" t="s">
        <v>212</v>
      </c>
      <c r="L112" s="2" t="s">
        <v>2457</v>
      </c>
    </row>
    <row r="113" customFormat="false" ht="23.85" hidden="false" customHeight="false" outlineLevel="0" collapsed="false">
      <c r="A113" s="2" t="s">
        <v>415</v>
      </c>
      <c r="B113" s="2" t="n">
        <v>112</v>
      </c>
      <c r="C113" s="2" t="s">
        <v>1490</v>
      </c>
      <c r="D113" s="2" t="s">
        <v>686</v>
      </c>
      <c r="E113" s="2" t="s">
        <v>873</v>
      </c>
      <c r="F113" s="2" t="s">
        <v>874</v>
      </c>
      <c r="G113" s="2" t="s">
        <v>339</v>
      </c>
      <c r="H113" s="2" t="s">
        <v>878</v>
      </c>
      <c r="I113" s="2" t="s">
        <v>52</v>
      </c>
      <c r="J113" s="2" t="s">
        <v>1242</v>
      </c>
      <c r="K113" s="2" t="s">
        <v>212</v>
      </c>
      <c r="L113" s="2" t="s">
        <v>2457</v>
      </c>
    </row>
    <row r="114" customFormat="false" ht="23.85" hidden="false" customHeight="false" outlineLevel="0" collapsed="false">
      <c r="A114" s="2" t="s">
        <v>416</v>
      </c>
      <c r="B114" s="2" t="n">
        <v>113</v>
      </c>
      <c r="C114" s="2" t="s">
        <v>1665</v>
      </c>
      <c r="D114" s="2" t="s">
        <v>686</v>
      </c>
      <c r="E114" s="2" t="s">
        <v>873</v>
      </c>
      <c r="F114" s="2" t="s">
        <v>874</v>
      </c>
      <c r="G114" s="2" t="s">
        <v>417</v>
      </c>
      <c r="H114" s="2" t="s">
        <v>879</v>
      </c>
      <c r="I114" s="2" t="s">
        <v>69</v>
      </c>
      <c r="J114" s="2" t="s">
        <v>1242</v>
      </c>
      <c r="K114" s="2" t="s">
        <v>212</v>
      </c>
      <c r="L114" s="2" t="s">
        <v>2457</v>
      </c>
    </row>
    <row r="115" customFormat="false" ht="23.85" hidden="false" customHeight="false" outlineLevel="0" collapsed="false">
      <c r="A115" s="2" t="s">
        <v>418</v>
      </c>
      <c r="B115" s="2" t="n">
        <v>114</v>
      </c>
      <c r="C115" s="2" t="s">
        <v>1669</v>
      </c>
      <c r="D115" s="2" t="s">
        <v>686</v>
      </c>
      <c r="E115" s="2" t="s">
        <v>873</v>
      </c>
      <c r="F115" s="2" t="s">
        <v>874</v>
      </c>
      <c r="G115" s="2" t="s">
        <v>419</v>
      </c>
      <c r="H115" s="2" t="s">
        <v>881</v>
      </c>
      <c r="I115" s="2" t="s">
        <v>75</v>
      </c>
      <c r="J115" s="2" t="s">
        <v>1242</v>
      </c>
      <c r="K115" s="2" t="s">
        <v>212</v>
      </c>
      <c r="L115" s="2" t="s">
        <v>2457</v>
      </c>
    </row>
    <row r="116" customFormat="false" ht="23.85" hidden="false" customHeight="false" outlineLevel="0" collapsed="false">
      <c r="A116" s="2" t="s">
        <v>420</v>
      </c>
      <c r="B116" s="2" t="n">
        <v>115</v>
      </c>
      <c r="C116" s="2" t="s">
        <v>1673</v>
      </c>
      <c r="D116" s="2" t="s">
        <v>686</v>
      </c>
      <c r="E116" s="2" t="s">
        <v>873</v>
      </c>
      <c r="F116" s="2" t="s">
        <v>874</v>
      </c>
      <c r="G116" s="2" t="s">
        <v>421</v>
      </c>
      <c r="H116" s="2" t="s">
        <v>882</v>
      </c>
      <c r="I116" s="2" t="s">
        <v>75</v>
      </c>
      <c r="J116" s="2" t="s">
        <v>1242</v>
      </c>
      <c r="K116" s="2" t="s">
        <v>212</v>
      </c>
      <c r="L116" s="2" t="s">
        <v>2457</v>
      </c>
    </row>
    <row r="117" customFormat="false" ht="23.85" hidden="false" customHeight="false" outlineLevel="0" collapsed="false">
      <c r="A117" s="2" t="s">
        <v>422</v>
      </c>
      <c r="B117" s="2" t="n">
        <v>116</v>
      </c>
      <c r="C117" s="2" t="s">
        <v>1276</v>
      </c>
      <c r="D117" s="2" t="s">
        <v>686</v>
      </c>
      <c r="E117" s="2" t="s">
        <v>873</v>
      </c>
      <c r="F117" s="2" t="s">
        <v>874</v>
      </c>
      <c r="G117" s="2" t="s">
        <v>232</v>
      </c>
      <c r="H117" s="2" t="s">
        <v>885</v>
      </c>
      <c r="I117" s="2" t="s">
        <v>45</v>
      </c>
      <c r="J117" s="2" t="s">
        <v>1242</v>
      </c>
      <c r="K117" s="2" t="s">
        <v>212</v>
      </c>
      <c r="L117" s="2" t="s">
        <v>2457</v>
      </c>
    </row>
    <row r="118" customFormat="false" ht="23.85" hidden="false" customHeight="false" outlineLevel="0" collapsed="false">
      <c r="A118" s="2" t="s">
        <v>424</v>
      </c>
      <c r="B118" s="2" t="n">
        <v>117</v>
      </c>
      <c r="C118" s="2" t="s">
        <v>1681</v>
      </c>
      <c r="D118" s="2" t="s">
        <v>686</v>
      </c>
      <c r="E118" s="2" t="s">
        <v>873</v>
      </c>
      <c r="F118" s="2" t="s">
        <v>874</v>
      </c>
      <c r="G118" s="2" t="s">
        <v>425</v>
      </c>
      <c r="H118" s="2" t="s">
        <v>887</v>
      </c>
      <c r="I118" s="2" t="s">
        <v>69</v>
      </c>
      <c r="J118" s="2" t="s">
        <v>1242</v>
      </c>
      <c r="K118" s="2" t="s">
        <v>212</v>
      </c>
      <c r="L118" s="2" t="s">
        <v>2457</v>
      </c>
    </row>
    <row r="119" customFormat="false" ht="23.85" hidden="false" customHeight="false" outlineLevel="0" collapsed="false">
      <c r="A119" s="2" t="s">
        <v>426</v>
      </c>
      <c r="B119" s="2" t="n">
        <v>118</v>
      </c>
      <c r="C119" s="2" t="s">
        <v>1312</v>
      </c>
      <c r="D119" s="2" t="s">
        <v>686</v>
      </c>
      <c r="E119" s="2" t="s">
        <v>873</v>
      </c>
      <c r="F119" s="2" t="s">
        <v>874</v>
      </c>
      <c r="G119" s="2" t="s">
        <v>251</v>
      </c>
      <c r="H119" s="2" t="s">
        <v>888</v>
      </c>
      <c r="I119" s="2" t="s">
        <v>75</v>
      </c>
      <c r="J119" s="2" t="s">
        <v>1242</v>
      </c>
      <c r="K119" s="2" t="s">
        <v>212</v>
      </c>
      <c r="L119" s="2" t="s">
        <v>2457</v>
      </c>
    </row>
    <row r="120" customFormat="false" ht="23.85" hidden="false" customHeight="false" outlineLevel="0" collapsed="false">
      <c r="A120" s="2" t="s">
        <v>427</v>
      </c>
      <c r="B120" s="2" t="n">
        <v>119</v>
      </c>
      <c r="C120" s="2" t="s">
        <v>1688</v>
      </c>
      <c r="D120" s="2" t="s">
        <v>686</v>
      </c>
      <c r="E120" s="2" t="s">
        <v>873</v>
      </c>
      <c r="F120" s="2" t="s">
        <v>874</v>
      </c>
      <c r="G120" s="2" t="s">
        <v>428</v>
      </c>
      <c r="H120" s="2" t="s">
        <v>889</v>
      </c>
      <c r="I120" s="2" t="s">
        <v>58</v>
      </c>
      <c r="J120" s="2" t="s">
        <v>1242</v>
      </c>
      <c r="K120" s="2" t="s">
        <v>212</v>
      </c>
      <c r="L120" s="2" t="s">
        <v>2457</v>
      </c>
    </row>
    <row r="121" customFormat="false" ht="23.85" hidden="false" customHeight="false" outlineLevel="0" collapsed="false">
      <c r="A121" s="2" t="s">
        <v>429</v>
      </c>
      <c r="B121" s="2" t="n">
        <v>120</v>
      </c>
      <c r="C121" s="2" t="s">
        <v>1328</v>
      </c>
      <c r="D121" s="2" t="s">
        <v>686</v>
      </c>
      <c r="E121" s="2" t="s">
        <v>873</v>
      </c>
      <c r="F121" s="2" t="s">
        <v>874</v>
      </c>
      <c r="G121" s="2" t="s">
        <v>259</v>
      </c>
      <c r="H121" s="2" t="s">
        <v>890</v>
      </c>
      <c r="I121" s="2" t="s">
        <v>38</v>
      </c>
      <c r="J121" s="2" t="s">
        <v>1242</v>
      </c>
      <c r="K121" s="2" t="s">
        <v>212</v>
      </c>
      <c r="L121" s="2" t="s">
        <v>2457</v>
      </c>
    </row>
    <row r="122" customFormat="false" ht="23.85" hidden="false" customHeight="false" outlineLevel="0" collapsed="false">
      <c r="A122" s="2" t="s">
        <v>430</v>
      </c>
      <c r="B122" s="2" t="n">
        <v>121</v>
      </c>
      <c r="C122" s="2" t="s">
        <v>1332</v>
      </c>
      <c r="D122" s="2" t="s">
        <v>686</v>
      </c>
      <c r="E122" s="2" t="s">
        <v>873</v>
      </c>
      <c r="F122" s="2" t="s">
        <v>874</v>
      </c>
      <c r="G122" s="2" t="s">
        <v>261</v>
      </c>
      <c r="H122" s="2" t="s">
        <v>891</v>
      </c>
      <c r="I122" s="2" t="s">
        <v>38</v>
      </c>
      <c r="J122" s="2" t="s">
        <v>1242</v>
      </c>
      <c r="K122" s="2" t="s">
        <v>212</v>
      </c>
      <c r="L122" s="2" t="s">
        <v>2457</v>
      </c>
    </row>
    <row r="123" customFormat="false" ht="23.85" hidden="false" customHeight="false" outlineLevel="0" collapsed="false">
      <c r="A123" s="2" t="s">
        <v>431</v>
      </c>
      <c r="B123" s="2" t="n">
        <v>122</v>
      </c>
      <c r="C123" s="2" t="s">
        <v>1698</v>
      </c>
      <c r="D123" s="2" t="s">
        <v>686</v>
      </c>
      <c r="E123" s="2" t="s">
        <v>873</v>
      </c>
      <c r="F123" s="2" t="s">
        <v>874</v>
      </c>
      <c r="G123" s="2" t="s">
        <v>359</v>
      </c>
      <c r="H123" s="2" t="s">
        <v>892</v>
      </c>
      <c r="I123" s="2" t="s">
        <v>75</v>
      </c>
      <c r="J123" s="2" t="s">
        <v>1242</v>
      </c>
      <c r="K123" s="2" t="s">
        <v>212</v>
      </c>
      <c r="L123" s="2" t="s">
        <v>2457</v>
      </c>
    </row>
    <row r="124" customFormat="false" ht="23.85" hidden="false" customHeight="false" outlineLevel="0" collapsed="false">
      <c r="A124" s="2" t="s">
        <v>432</v>
      </c>
      <c r="B124" s="2" t="n">
        <v>123</v>
      </c>
      <c r="C124" s="2" t="s">
        <v>1702</v>
      </c>
      <c r="D124" s="2" t="s">
        <v>686</v>
      </c>
      <c r="E124" s="2" t="s">
        <v>873</v>
      </c>
      <c r="F124" s="2" t="s">
        <v>874</v>
      </c>
      <c r="G124" s="2" t="s">
        <v>433</v>
      </c>
      <c r="H124" s="2" t="s">
        <v>893</v>
      </c>
      <c r="I124" s="2" t="s">
        <v>73</v>
      </c>
      <c r="J124" s="2" t="s">
        <v>1242</v>
      </c>
      <c r="K124" s="2" t="s">
        <v>212</v>
      </c>
      <c r="L124" s="2" t="s">
        <v>2457</v>
      </c>
    </row>
    <row r="125" customFormat="false" ht="23.85" hidden="false" customHeight="false" outlineLevel="0" collapsed="false">
      <c r="A125" s="2" t="s">
        <v>434</v>
      </c>
      <c r="B125" s="2" t="n">
        <v>124</v>
      </c>
      <c r="C125" s="2" t="s">
        <v>1706</v>
      </c>
      <c r="D125" s="2" t="s">
        <v>686</v>
      </c>
      <c r="E125" s="2" t="s">
        <v>873</v>
      </c>
      <c r="F125" s="2" t="s">
        <v>874</v>
      </c>
      <c r="G125" s="2" t="s">
        <v>277</v>
      </c>
      <c r="H125" s="2" t="s">
        <v>894</v>
      </c>
      <c r="I125" s="2" t="s">
        <v>69</v>
      </c>
      <c r="J125" s="2" t="s">
        <v>1242</v>
      </c>
      <c r="K125" s="2" t="s">
        <v>212</v>
      </c>
      <c r="L125" s="2" t="s">
        <v>2457</v>
      </c>
    </row>
    <row r="126" customFormat="false" ht="23.85" hidden="false" customHeight="false" outlineLevel="0" collapsed="false">
      <c r="A126" s="2" t="s">
        <v>435</v>
      </c>
      <c r="B126" s="2" t="n">
        <v>125</v>
      </c>
      <c r="C126" s="2" t="s">
        <v>1710</v>
      </c>
      <c r="D126" s="2" t="s">
        <v>686</v>
      </c>
      <c r="E126" s="2" t="s">
        <v>873</v>
      </c>
      <c r="F126" s="2" t="s">
        <v>874</v>
      </c>
      <c r="G126" s="2" t="s">
        <v>436</v>
      </c>
      <c r="H126" s="2" t="s">
        <v>895</v>
      </c>
      <c r="I126" s="2" t="s">
        <v>58</v>
      </c>
      <c r="J126" s="2" t="s">
        <v>1242</v>
      </c>
      <c r="K126" s="2" t="s">
        <v>212</v>
      </c>
      <c r="L126" s="2" t="s">
        <v>2457</v>
      </c>
    </row>
    <row r="127" customFormat="false" ht="23.85" hidden="false" customHeight="false" outlineLevel="0" collapsed="false">
      <c r="A127" s="2" t="s">
        <v>437</v>
      </c>
      <c r="B127" s="2" t="n">
        <v>126</v>
      </c>
      <c r="C127" s="2" t="s">
        <v>1714</v>
      </c>
      <c r="D127" s="2" t="s">
        <v>686</v>
      </c>
      <c r="E127" s="2" t="s">
        <v>873</v>
      </c>
      <c r="F127" s="2" t="s">
        <v>874</v>
      </c>
      <c r="G127" s="2" t="s">
        <v>438</v>
      </c>
      <c r="H127" s="2" t="s">
        <v>896</v>
      </c>
      <c r="I127" s="2" t="s">
        <v>69</v>
      </c>
      <c r="J127" s="2" t="s">
        <v>1242</v>
      </c>
      <c r="K127" s="2" t="s">
        <v>212</v>
      </c>
      <c r="L127" s="2" t="s">
        <v>2457</v>
      </c>
    </row>
    <row r="128" customFormat="false" ht="23.85" hidden="false" customHeight="false" outlineLevel="0" collapsed="false">
      <c r="A128" s="2" t="s">
        <v>439</v>
      </c>
      <c r="B128" s="2" t="n">
        <v>127</v>
      </c>
      <c r="C128" s="2" t="s">
        <v>1718</v>
      </c>
      <c r="D128" s="2" t="s">
        <v>686</v>
      </c>
      <c r="E128" s="2" t="s">
        <v>873</v>
      </c>
      <c r="F128" s="2" t="s">
        <v>874</v>
      </c>
      <c r="G128" s="2" t="s">
        <v>440</v>
      </c>
      <c r="H128" s="2" t="s">
        <v>897</v>
      </c>
      <c r="I128" s="2" t="s">
        <v>45</v>
      </c>
      <c r="J128" s="2" t="s">
        <v>1242</v>
      </c>
      <c r="K128" s="2" t="s">
        <v>212</v>
      </c>
      <c r="L128" s="2" t="s">
        <v>2457</v>
      </c>
    </row>
    <row r="129" customFormat="false" ht="23.85" hidden="false" customHeight="false" outlineLevel="0" collapsed="false">
      <c r="A129" s="2" t="s">
        <v>441</v>
      </c>
      <c r="B129" s="2" t="n">
        <v>128</v>
      </c>
      <c r="C129" s="2" t="s">
        <v>1722</v>
      </c>
      <c r="D129" s="2" t="s">
        <v>686</v>
      </c>
      <c r="E129" s="2" t="s">
        <v>873</v>
      </c>
      <c r="F129" s="2" t="s">
        <v>874</v>
      </c>
      <c r="G129" s="2" t="s">
        <v>442</v>
      </c>
      <c r="H129" s="2" t="s">
        <v>899</v>
      </c>
      <c r="I129" s="2" t="s">
        <v>75</v>
      </c>
      <c r="J129" s="2" t="s">
        <v>1242</v>
      </c>
      <c r="K129" s="2" t="s">
        <v>212</v>
      </c>
      <c r="L129" s="2" t="s">
        <v>2457</v>
      </c>
    </row>
    <row r="130" customFormat="false" ht="23.85" hidden="false" customHeight="false" outlineLevel="0" collapsed="false">
      <c r="A130" s="2" t="s">
        <v>443</v>
      </c>
      <c r="B130" s="2" t="n">
        <v>129</v>
      </c>
      <c r="C130" s="2" t="s">
        <v>1726</v>
      </c>
      <c r="D130" s="2" t="s">
        <v>686</v>
      </c>
      <c r="E130" s="2" t="s">
        <v>873</v>
      </c>
      <c r="F130" s="2" t="s">
        <v>874</v>
      </c>
      <c r="G130" s="2" t="s">
        <v>444</v>
      </c>
      <c r="H130" s="2" t="s">
        <v>900</v>
      </c>
      <c r="I130" s="2" t="s">
        <v>45</v>
      </c>
      <c r="J130" s="2" t="s">
        <v>1242</v>
      </c>
      <c r="K130" s="2" t="s">
        <v>212</v>
      </c>
      <c r="L130" s="2" t="s">
        <v>2457</v>
      </c>
    </row>
    <row r="131" customFormat="false" ht="23.85" hidden="false" customHeight="false" outlineLevel="0" collapsed="false">
      <c r="A131" s="2" t="s">
        <v>445</v>
      </c>
      <c r="B131" s="2" t="n">
        <v>130</v>
      </c>
      <c r="C131" s="2" t="s">
        <v>1388</v>
      </c>
      <c r="D131" s="2" t="s">
        <v>686</v>
      </c>
      <c r="E131" s="2" t="s">
        <v>873</v>
      </c>
      <c r="F131" s="2" t="s">
        <v>874</v>
      </c>
      <c r="G131" s="2" t="s">
        <v>289</v>
      </c>
      <c r="H131" s="2" t="s">
        <v>901</v>
      </c>
      <c r="I131" s="2" t="s">
        <v>66</v>
      </c>
      <c r="J131" s="2" t="s">
        <v>1242</v>
      </c>
      <c r="K131" s="2" t="s">
        <v>212</v>
      </c>
      <c r="L131" s="2" t="s">
        <v>2457</v>
      </c>
    </row>
    <row r="132" customFormat="false" ht="23.85" hidden="false" customHeight="false" outlineLevel="0" collapsed="false">
      <c r="A132" s="2" t="s">
        <v>446</v>
      </c>
      <c r="B132" s="2" t="n">
        <v>131</v>
      </c>
      <c r="C132" s="2" t="s">
        <v>1392</v>
      </c>
      <c r="D132" s="2" t="s">
        <v>686</v>
      </c>
      <c r="E132" s="2" t="s">
        <v>873</v>
      </c>
      <c r="F132" s="2" t="s">
        <v>874</v>
      </c>
      <c r="G132" s="2" t="s">
        <v>291</v>
      </c>
      <c r="H132" s="2" t="s">
        <v>902</v>
      </c>
      <c r="I132" s="2" t="s">
        <v>52</v>
      </c>
      <c r="J132" s="2" t="s">
        <v>1242</v>
      </c>
      <c r="K132" s="2" t="s">
        <v>212</v>
      </c>
      <c r="L132" s="2" t="s">
        <v>2457</v>
      </c>
    </row>
    <row r="133" customFormat="false" ht="23.85" hidden="false" customHeight="false" outlineLevel="0" collapsed="false">
      <c r="A133" s="2" t="s">
        <v>447</v>
      </c>
      <c r="B133" s="2" t="n">
        <v>132</v>
      </c>
      <c r="C133" s="2" t="s">
        <v>1611</v>
      </c>
      <c r="D133" s="2" t="s">
        <v>686</v>
      </c>
      <c r="E133" s="2" t="s">
        <v>873</v>
      </c>
      <c r="F133" s="2" t="s">
        <v>874</v>
      </c>
      <c r="G133" s="2" t="s">
        <v>392</v>
      </c>
      <c r="H133" s="2" t="s">
        <v>903</v>
      </c>
      <c r="I133" s="2" t="s">
        <v>75</v>
      </c>
      <c r="J133" s="2" t="s">
        <v>1242</v>
      </c>
      <c r="K133" s="2" t="s">
        <v>212</v>
      </c>
      <c r="L133" s="2" t="s">
        <v>2457</v>
      </c>
    </row>
    <row r="134" customFormat="false" ht="23.85" hidden="false" customHeight="false" outlineLevel="0" collapsed="false">
      <c r="A134" s="2" t="s">
        <v>449</v>
      </c>
      <c r="B134" s="2" t="n">
        <v>133</v>
      </c>
      <c r="C134" s="2" t="s">
        <v>1739</v>
      </c>
      <c r="D134" s="2" t="s">
        <v>686</v>
      </c>
      <c r="E134" s="2" t="s">
        <v>873</v>
      </c>
      <c r="F134" s="2" t="s">
        <v>874</v>
      </c>
      <c r="G134" s="2" t="s">
        <v>450</v>
      </c>
      <c r="H134" s="2" t="s">
        <v>904</v>
      </c>
      <c r="I134" s="2" t="s">
        <v>58</v>
      </c>
      <c r="J134" s="2" t="s">
        <v>1242</v>
      </c>
      <c r="K134" s="2" t="s">
        <v>212</v>
      </c>
      <c r="L134" s="2" t="s">
        <v>2457</v>
      </c>
    </row>
    <row r="135" customFormat="false" ht="23.85" hidden="false" customHeight="false" outlineLevel="0" collapsed="false">
      <c r="A135" s="2" t="s">
        <v>451</v>
      </c>
      <c r="B135" s="2" t="n">
        <v>134</v>
      </c>
      <c r="C135" s="2" t="s">
        <v>1412</v>
      </c>
      <c r="D135" s="2" t="s">
        <v>686</v>
      </c>
      <c r="E135" s="2" t="s">
        <v>873</v>
      </c>
      <c r="F135" s="2" t="s">
        <v>874</v>
      </c>
      <c r="G135" s="2" t="s">
        <v>301</v>
      </c>
      <c r="H135" s="2" t="s">
        <v>906</v>
      </c>
      <c r="I135" s="2" t="s">
        <v>73</v>
      </c>
      <c r="J135" s="2" t="s">
        <v>1242</v>
      </c>
      <c r="K135" s="2" t="s">
        <v>212</v>
      </c>
      <c r="L135" s="2" t="s">
        <v>2457</v>
      </c>
    </row>
    <row r="136" customFormat="false" ht="23.85" hidden="false" customHeight="false" outlineLevel="0" collapsed="false">
      <c r="A136" s="2" t="s">
        <v>452</v>
      </c>
      <c r="B136" s="2" t="n">
        <v>135</v>
      </c>
      <c r="C136" s="2" t="s">
        <v>1420</v>
      </c>
      <c r="D136" s="2" t="s">
        <v>686</v>
      </c>
      <c r="E136" s="2" t="s">
        <v>873</v>
      </c>
      <c r="F136" s="2" t="s">
        <v>874</v>
      </c>
      <c r="G136" s="2" t="s">
        <v>305</v>
      </c>
      <c r="H136" s="2" t="s">
        <v>907</v>
      </c>
      <c r="I136" s="2" t="s">
        <v>75</v>
      </c>
      <c r="J136" s="2" t="s">
        <v>1242</v>
      </c>
      <c r="K136" s="2" t="s">
        <v>212</v>
      </c>
      <c r="L136" s="2" t="s">
        <v>2457</v>
      </c>
    </row>
    <row r="137" customFormat="false" ht="23.85" hidden="false" customHeight="false" outlineLevel="0" collapsed="false">
      <c r="A137" s="2" t="s">
        <v>453</v>
      </c>
      <c r="B137" s="2" t="n">
        <v>136</v>
      </c>
      <c r="C137" s="2" t="s">
        <v>1627</v>
      </c>
      <c r="D137" s="2" t="s">
        <v>686</v>
      </c>
      <c r="E137" s="2" t="s">
        <v>873</v>
      </c>
      <c r="F137" s="2" t="s">
        <v>874</v>
      </c>
      <c r="G137" s="2" t="s">
        <v>400</v>
      </c>
      <c r="H137" s="2" t="s">
        <v>908</v>
      </c>
      <c r="I137" s="2" t="s">
        <v>45</v>
      </c>
      <c r="J137" s="2" t="s">
        <v>1242</v>
      </c>
      <c r="K137" s="2" t="s">
        <v>212</v>
      </c>
      <c r="L137" s="2" t="s">
        <v>2457</v>
      </c>
    </row>
    <row r="138" customFormat="false" ht="23.85" hidden="false" customHeight="false" outlineLevel="0" collapsed="false">
      <c r="A138" s="2" t="s">
        <v>454</v>
      </c>
      <c r="B138" s="2" t="n">
        <v>137</v>
      </c>
      <c r="C138" s="2" t="s">
        <v>1752</v>
      </c>
      <c r="D138" s="2" t="s">
        <v>686</v>
      </c>
      <c r="E138" s="2" t="s">
        <v>873</v>
      </c>
      <c r="F138" s="2" t="s">
        <v>874</v>
      </c>
      <c r="G138" s="2" t="s">
        <v>455</v>
      </c>
      <c r="H138" s="2" t="s">
        <v>909</v>
      </c>
      <c r="I138" s="2" t="s">
        <v>69</v>
      </c>
      <c r="J138" s="2" t="s">
        <v>1242</v>
      </c>
      <c r="K138" s="2" t="s">
        <v>212</v>
      </c>
      <c r="L138" s="2" t="s">
        <v>2457</v>
      </c>
    </row>
    <row r="139" customFormat="false" ht="23.85" hidden="false" customHeight="false" outlineLevel="0" collapsed="false">
      <c r="A139" s="2" t="s">
        <v>456</v>
      </c>
      <c r="B139" s="2" t="n">
        <v>138</v>
      </c>
      <c r="C139" s="2" t="s">
        <v>1756</v>
      </c>
      <c r="D139" s="2" t="s">
        <v>686</v>
      </c>
      <c r="E139" s="2" t="s">
        <v>873</v>
      </c>
      <c r="F139" s="2" t="s">
        <v>874</v>
      </c>
      <c r="G139" s="2" t="s">
        <v>457</v>
      </c>
      <c r="H139" s="2" t="s">
        <v>910</v>
      </c>
      <c r="I139" s="2" t="s">
        <v>71</v>
      </c>
      <c r="J139" s="2" t="s">
        <v>1242</v>
      </c>
      <c r="K139" s="2" t="s">
        <v>212</v>
      </c>
      <c r="L139" s="2" t="s">
        <v>2457</v>
      </c>
    </row>
    <row r="140" customFormat="false" ht="23.85" hidden="false" customHeight="false" outlineLevel="0" collapsed="false">
      <c r="A140" s="2" t="s">
        <v>458</v>
      </c>
      <c r="B140" s="2" t="n">
        <v>139</v>
      </c>
      <c r="C140" s="2" t="s">
        <v>1648</v>
      </c>
      <c r="D140" s="2" t="s">
        <v>686</v>
      </c>
      <c r="E140" s="2" t="s">
        <v>873</v>
      </c>
      <c r="F140" s="2" t="s">
        <v>874</v>
      </c>
      <c r="G140" s="2" t="s">
        <v>410</v>
      </c>
      <c r="H140" s="2" t="s">
        <v>911</v>
      </c>
      <c r="I140" s="2" t="s">
        <v>75</v>
      </c>
      <c r="J140" s="2" t="s">
        <v>1242</v>
      </c>
      <c r="K140" s="2" t="s">
        <v>212</v>
      </c>
      <c r="L140" s="2" t="s">
        <v>2457</v>
      </c>
    </row>
    <row r="141" customFormat="false" ht="23.85" hidden="false" customHeight="false" outlineLevel="0" collapsed="false">
      <c r="A141" s="2" t="s">
        <v>459</v>
      </c>
      <c r="B141" s="2" t="n">
        <v>140</v>
      </c>
      <c r="C141" s="2" t="s">
        <v>1763</v>
      </c>
      <c r="D141" s="2" t="s">
        <v>686</v>
      </c>
      <c r="E141" s="2" t="s">
        <v>873</v>
      </c>
      <c r="F141" s="2" t="s">
        <v>912</v>
      </c>
      <c r="G141" s="2" t="s">
        <v>460</v>
      </c>
      <c r="H141" s="2" t="s">
        <v>914</v>
      </c>
      <c r="I141" s="2" t="s">
        <v>75</v>
      </c>
      <c r="J141" s="2" t="s">
        <v>1242</v>
      </c>
      <c r="K141" s="2" t="s">
        <v>212</v>
      </c>
      <c r="L141" s="2" t="s">
        <v>2457</v>
      </c>
    </row>
    <row r="142" customFormat="false" ht="23.85" hidden="false" customHeight="false" outlineLevel="0" collapsed="false">
      <c r="A142" s="2" t="s">
        <v>463</v>
      </c>
      <c r="B142" s="2" t="n">
        <v>141</v>
      </c>
      <c r="C142" s="2" t="s">
        <v>1244</v>
      </c>
      <c r="D142" s="2" t="s">
        <v>686</v>
      </c>
      <c r="E142" s="2" t="s">
        <v>873</v>
      </c>
      <c r="F142" s="2" t="s">
        <v>912</v>
      </c>
      <c r="G142" s="2" t="s">
        <v>214</v>
      </c>
      <c r="H142" s="2" t="s">
        <v>916</v>
      </c>
      <c r="I142" s="2" t="s">
        <v>75</v>
      </c>
      <c r="J142" s="2" t="s">
        <v>1242</v>
      </c>
      <c r="K142" s="2" t="s">
        <v>212</v>
      </c>
      <c r="L142" s="2" t="s">
        <v>2457</v>
      </c>
    </row>
    <row r="143" customFormat="false" ht="23.85" hidden="false" customHeight="false" outlineLevel="0" collapsed="false">
      <c r="A143" s="2" t="s">
        <v>464</v>
      </c>
      <c r="B143" s="2" t="n">
        <v>142</v>
      </c>
      <c r="C143" s="2" t="s">
        <v>1773</v>
      </c>
      <c r="D143" s="2" t="s">
        <v>686</v>
      </c>
      <c r="E143" s="2" t="s">
        <v>873</v>
      </c>
      <c r="F143" s="2" t="s">
        <v>912</v>
      </c>
      <c r="G143" s="2" t="s">
        <v>465</v>
      </c>
      <c r="H143" s="2" t="s">
        <v>917</v>
      </c>
      <c r="I143" s="2" t="s">
        <v>75</v>
      </c>
      <c r="J143" s="2" t="s">
        <v>1242</v>
      </c>
      <c r="K143" s="2" t="s">
        <v>212</v>
      </c>
      <c r="L143" s="2" t="s">
        <v>2457</v>
      </c>
    </row>
    <row r="144" customFormat="false" ht="23.85" hidden="false" customHeight="false" outlineLevel="0" collapsed="false">
      <c r="A144" s="2" t="s">
        <v>466</v>
      </c>
      <c r="B144" s="2" t="n">
        <v>143</v>
      </c>
      <c r="C144" s="2" t="s">
        <v>1655</v>
      </c>
      <c r="D144" s="2" t="s">
        <v>686</v>
      </c>
      <c r="E144" s="2" t="s">
        <v>873</v>
      </c>
      <c r="F144" s="2" t="s">
        <v>912</v>
      </c>
      <c r="G144" s="2" t="s">
        <v>413</v>
      </c>
      <c r="H144" s="2" t="s">
        <v>918</v>
      </c>
      <c r="I144" s="2" t="s">
        <v>73</v>
      </c>
      <c r="J144" s="2" t="s">
        <v>1242</v>
      </c>
      <c r="K144" s="2" t="s">
        <v>212</v>
      </c>
      <c r="L144" s="2" t="s">
        <v>2457</v>
      </c>
    </row>
    <row r="145" customFormat="false" ht="23.85" hidden="false" customHeight="false" outlineLevel="0" collapsed="false">
      <c r="A145" s="2" t="s">
        <v>467</v>
      </c>
      <c r="B145" s="2" t="n">
        <v>144</v>
      </c>
      <c r="C145" s="2" t="s">
        <v>1252</v>
      </c>
      <c r="D145" s="2" t="s">
        <v>686</v>
      </c>
      <c r="E145" s="2" t="s">
        <v>873</v>
      </c>
      <c r="F145" s="2" t="s">
        <v>912</v>
      </c>
      <c r="G145" s="2" t="s">
        <v>219</v>
      </c>
      <c r="H145" s="2" t="s">
        <v>919</v>
      </c>
      <c r="I145" s="2" t="s">
        <v>66</v>
      </c>
      <c r="J145" s="2" t="s">
        <v>1242</v>
      </c>
      <c r="K145" s="2" t="s">
        <v>212</v>
      </c>
      <c r="L145" s="2" t="s">
        <v>2457</v>
      </c>
    </row>
    <row r="146" customFormat="false" ht="23.85" hidden="false" customHeight="false" outlineLevel="0" collapsed="false">
      <c r="A146" s="2" t="s">
        <v>468</v>
      </c>
      <c r="B146" s="2" t="n">
        <v>145</v>
      </c>
      <c r="C146" s="2" t="s">
        <v>1490</v>
      </c>
      <c r="D146" s="2" t="s">
        <v>686</v>
      </c>
      <c r="E146" s="2" t="s">
        <v>873</v>
      </c>
      <c r="F146" s="2" t="s">
        <v>912</v>
      </c>
      <c r="G146" s="2" t="s">
        <v>339</v>
      </c>
      <c r="H146" s="2" t="s">
        <v>920</v>
      </c>
      <c r="I146" s="2" t="s">
        <v>52</v>
      </c>
      <c r="J146" s="2" t="s">
        <v>1242</v>
      </c>
      <c r="K146" s="2" t="s">
        <v>212</v>
      </c>
      <c r="L146" s="2" t="s">
        <v>2457</v>
      </c>
    </row>
    <row r="147" customFormat="false" ht="23.85" hidden="false" customHeight="false" outlineLevel="0" collapsed="false">
      <c r="A147" s="2" t="s">
        <v>469</v>
      </c>
      <c r="B147" s="2" t="n">
        <v>146</v>
      </c>
      <c r="C147" s="2" t="s">
        <v>1256</v>
      </c>
      <c r="D147" s="2" t="s">
        <v>686</v>
      </c>
      <c r="E147" s="2" t="s">
        <v>873</v>
      </c>
      <c r="F147" s="2" t="s">
        <v>912</v>
      </c>
      <c r="G147" s="2" t="s">
        <v>221</v>
      </c>
      <c r="H147" s="2" t="s">
        <v>921</v>
      </c>
      <c r="I147" s="2" t="s">
        <v>75</v>
      </c>
      <c r="J147" s="2" t="s">
        <v>1242</v>
      </c>
      <c r="K147" s="2" t="s">
        <v>212</v>
      </c>
      <c r="L147" s="2" t="s">
        <v>2457</v>
      </c>
    </row>
    <row r="148" customFormat="false" ht="23.85" hidden="false" customHeight="false" outlineLevel="0" collapsed="false">
      <c r="A148" s="2" t="s">
        <v>470</v>
      </c>
      <c r="B148" s="2" t="n">
        <v>147</v>
      </c>
      <c r="C148" s="2" t="s">
        <v>1497</v>
      </c>
      <c r="D148" s="2" t="s">
        <v>686</v>
      </c>
      <c r="E148" s="2" t="s">
        <v>873</v>
      </c>
      <c r="F148" s="2" t="s">
        <v>912</v>
      </c>
      <c r="G148" s="2" t="s">
        <v>342</v>
      </c>
      <c r="H148" s="2" t="s">
        <v>922</v>
      </c>
      <c r="I148" s="2" t="s">
        <v>66</v>
      </c>
      <c r="J148" s="2" t="s">
        <v>1242</v>
      </c>
      <c r="K148" s="2" t="s">
        <v>212</v>
      </c>
      <c r="L148" s="2" t="s">
        <v>2457</v>
      </c>
    </row>
    <row r="149" customFormat="false" ht="23.85" hidden="false" customHeight="false" outlineLevel="0" collapsed="false">
      <c r="A149" s="2" t="s">
        <v>471</v>
      </c>
      <c r="B149" s="2" t="n">
        <v>148</v>
      </c>
      <c r="C149" s="2" t="s">
        <v>1793</v>
      </c>
      <c r="D149" s="2" t="s">
        <v>686</v>
      </c>
      <c r="E149" s="2" t="s">
        <v>873</v>
      </c>
      <c r="F149" s="2" t="s">
        <v>912</v>
      </c>
      <c r="G149" s="2" t="s">
        <v>472</v>
      </c>
      <c r="H149" s="2" t="s">
        <v>923</v>
      </c>
      <c r="I149" s="2" t="s">
        <v>69</v>
      </c>
      <c r="J149" s="2" t="s">
        <v>1242</v>
      </c>
      <c r="K149" s="2" t="s">
        <v>212</v>
      </c>
      <c r="L149" s="2" t="s">
        <v>2457</v>
      </c>
    </row>
    <row r="150" customFormat="false" ht="23.85" hidden="false" customHeight="false" outlineLevel="0" collapsed="false">
      <c r="A150" s="2" t="s">
        <v>473</v>
      </c>
      <c r="B150" s="2" t="n">
        <v>149</v>
      </c>
      <c r="C150" s="2" t="s">
        <v>1797</v>
      </c>
      <c r="D150" s="2" t="s">
        <v>686</v>
      </c>
      <c r="E150" s="2" t="s">
        <v>873</v>
      </c>
      <c r="F150" s="2" t="s">
        <v>912</v>
      </c>
      <c r="G150" s="2" t="s">
        <v>474</v>
      </c>
      <c r="H150" s="2" t="s">
        <v>924</v>
      </c>
      <c r="I150" s="2" t="s">
        <v>69</v>
      </c>
      <c r="J150" s="2" t="s">
        <v>1242</v>
      </c>
      <c r="K150" s="2" t="s">
        <v>212</v>
      </c>
      <c r="L150" s="2" t="s">
        <v>2457</v>
      </c>
    </row>
    <row r="151" customFormat="false" ht="23.85" hidden="false" customHeight="false" outlineLevel="0" collapsed="false">
      <c r="A151" s="2" t="s">
        <v>475</v>
      </c>
      <c r="B151" s="2" t="n">
        <v>150</v>
      </c>
      <c r="C151" s="2" t="s">
        <v>1802</v>
      </c>
      <c r="D151" s="2" t="s">
        <v>686</v>
      </c>
      <c r="E151" s="2" t="s">
        <v>873</v>
      </c>
      <c r="F151" s="2" t="s">
        <v>912</v>
      </c>
      <c r="G151" s="2" t="s">
        <v>476</v>
      </c>
      <c r="H151" s="2" t="s">
        <v>925</v>
      </c>
      <c r="I151" s="2" t="s">
        <v>69</v>
      </c>
      <c r="J151" s="2" t="s">
        <v>1242</v>
      </c>
      <c r="K151" s="2" t="s">
        <v>212</v>
      </c>
      <c r="L151" s="2" t="s">
        <v>2457</v>
      </c>
    </row>
    <row r="152" customFormat="false" ht="23.85" hidden="false" customHeight="false" outlineLevel="0" collapsed="false">
      <c r="A152" s="2" t="s">
        <v>477</v>
      </c>
      <c r="B152" s="2" t="n">
        <v>151</v>
      </c>
      <c r="C152" s="2" t="s">
        <v>1268</v>
      </c>
      <c r="D152" s="2" t="s">
        <v>686</v>
      </c>
      <c r="E152" s="2" t="s">
        <v>873</v>
      </c>
      <c r="F152" s="2" t="s">
        <v>912</v>
      </c>
      <c r="G152" s="2" t="s">
        <v>227</v>
      </c>
      <c r="H152" s="2" t="s">
        <v>926</v>
      </c>
      <c r="I152" s="2" t="s">
        <v>75</v>
      </c>
      <c r="J152" s="2" t="s">
        <v>1242</v>
      </c>
      <c r="K152" s="2" t="s">
        <v>212</v>
      </c>
      <c r="L152" s="2" t="s">
        <v>2457</v>
      </c>
    </row>
    <row r="153" customFormat="false" ht="23.85" hidden="false" customHeight="false" outlineLevel="0" collapsed="false">
      <c r="A153" s="2" t="s">
        <v>478</v>
      </c>
      <c r="B153" s="2" t="n">
        <v>152</v>
      </c>
      <c r="C153" s="2" t="s">
        <v>1810</v>
      </c>
      <c r="D153" s="2" t="s">
        <v>686</v>
      </c>
      <c r="E153" s="2" t="s">
        <v>873</v>
      </c>
      <c r="F153" s="2" t="s">
        <v>912</v>
      </c>
      <c r="G153" s="2" t="s">
        <v>479</v>
      </c>
      <c r="H153" s="2" t="s">
        <v>927</v>
      </c>
      <c r="I153" s="2" t="s">
        <v>75</v>
      </c>
      <c r="J153" s="2" t="s">
        <v>1242</v>
      </c>
      <c r="K153" s="2" t="s">
        <v>212</v>
      </c>
      <c r="L153" s="2" t="s">
        <v>2457</v>
      </c>
    </row>
    <row r="154" customFormat="false" ht="23.85" hidden="false" customHeight="false" outlineLevel="0" collapsed="false">
      <c r="A154" s="2" t="s">
        <v>480</v>
      </c>
      <c r="B154" s="2" t="n">
        <v>153</v>
      </c>
      <c r="C154" s="2" t="s">
        <v>1814</v>
      </c>
      <c r="D154" s="2" t="s">
        <v>686</v>
      </c>
      <c r="E154" s="2" t="s">
        <v>873</v>
      </c>
      <c r="F154" s="2" t="s">
        <v>912</v>
      </c>
      <c r="G154" s="2" t="s">
        <v>481</v>
      </c>
      <c r="H154" s="2" t="s">
        <v>928</v>
      </c>
      <c r="I154" s="2" t="s">
        <v>45</v>
      </c>
      <c r="J154" s="2" t="s">
        <v>1242</v>
      </c>
      <c r="K154" s="2" t="s">
        <v>212</v>
      </c>
      <c r="L154" s="2" t="s">
        <v>2457</v>
      </c>
    </row>
    <row r="155" customFormat="false" ht="23.85" hidden="false" customHeight="false" outlineLevel="0" collapsed="false">
      <c r="A155" s="2" t="s">
        <v>482</v>
      </c>
      <c r="B155" s="2" t="n">
        <v>154</v>
      </c>
      <c r="C155" s="2" t="s">
        <v>1272</v>
      </c>
      <c r="D155" s="2" t="s">
        <v>686</v>
      </c>
      <c r="E155" s="2" t="s">
        <v>873</v>
      </c>
      <c r="F155" s="2" t="s">
        <v>912</v>
      </c>
      <c r="G155" s="2" t="s">
        <v>229</v>
      </c>
      <c r="H155" s="2" t="s">
        <v>929</v>
      </c>
      <c r="I155" s="2" t="s">
        <v>45</v>
      </c>
      <c r="J155" s="2" t="s">
        <v>1242</v>
      </c>
      <c r="K155" s="2" t="s">
        <v>212</v>
      </c>
      <c r="L155" s="2" t="s">
        <v>2457</v>
      </c>
    </row>
    <row r="156" customFormat="false" ht="23.85" hidden="false" customHeight="false" outlineLevel="0" collapsed="false">
      <c r="A156" s="2" t="s">
        <v>483</v>
      </c>
      <c r="B156" s="2" t="n">
        <v>155</v>
      </c>
      <c r="C156" s="2" t="s">
        <v>1821</v>
      </c>
      <c r="D156" s="2" t="s">
        <v>686</v>
      </c>
      <c r="E156" s="2" t="s">
        <v>873</v>
      </c>
      <c r="F156" s="2" t="s">
        <v>912</v>
      </c>
      <c r="G156" s="2" t="s">
        <v>484</v>
      </c>
      <c r="H156" s="2" t="s">
        <v>930</v>
      </c>
      <c r="I156" s="2" t="s">
        <v>58</v>
      </c>
      <c r="J156" s="2" t="s">
        <v>1242</v>
      </c>
      <c r="K156" s="2" t="s">
        <v>212</v>
      </c>
      <c r="L156" s="2" t="s">
        <v>2457</v>
      </c>
    </row>
    <row r="157" customFormat="false" ht="23.85" hidden="false" customHeight="false" outlineLevel="0" collapsed="false">
      <c r="A157" s="2" t="s">
        <v>485</v>
      </c>
      <c r="B157" s="2" t="n">
        <v>156</v>
      </c>
      <c r="C157" s="2" t="s">
        <v>1276</v>
      </c>
      <c r="D157" s="2" t="s">
        <v>686</v>
      </c>
      <c r="E157" s="2" t="s">
        <v>873</v>
      </c>
      <c r="F157" s="2" t="s">
        <v>912</v>
      </c>
      <c r="G157" s="2" t="s">
        <v>232</v>
      </c>
      <c r="H157" s="2" t="s">
        <v>931</v>
      </c>
      <c r="I157" s="2" t="s">
        <v>45</v>
      </c>
      <c r="J157" s="2" t="s">
        <v>1242</v>
      </c>
      <c r="K157" s="2" t="s">
        <v>212</v>
      </c>
      <c r="L157" s="2" t="s">
        <v>2457</v>
      </c>
    </row>
    <row r="158" customFormat="false" ht="23.85" hidden="false" customHeight="false" outlineLevel="0" collapsed="false">
      <c r="A158" s="2" t="s">
        <v>486</v>
      </c>
      <c r="B158" s="2" t="n">
        <v>157</v>
      </c>
      <c r="C158" s="2" t="s">
        <v>1280</v>
      </c>
      <c r="D158" s="2" t="s">
        <v>686</v>
      </c>
      <c r="E158" s="2" t="s">
        <v>873</v>
      </c>
      <c r="F158" s="2" t="s">
        <v>912</v>
      </c>
      <c r="G158" s="2" t="s">
        <v>235</v>
      </c>
      <c r="H158" s="2" t="s">
        <v>932</v>
      </c>
      <c r="I158" s="2" t="s">
        <v>45</v>
      </c>
      <c r="J158" s="2" t="s">
        <v>1242</v>
      </c>
      <c r="K158" s="2" t="s">
        <v>212</v>
      </c>
      <c r="L158" s="2" t="s">
        <v>2457</v>
      </c>
    </row>
    <row r="159" customFormat="false" ht="23.85" hidden="false" customHeight="false" outlineLevel="0" collapsed="false">
      <c r="A159" s="2" t="s">
        <v>487</v>
      </c>
      <c r="B159" s="2" t="n">
        <v>158</v>
      </c>
      <c r="C159" s="2" t="s">
        <v>1288</v>
      </c>
      <c r="D159" s="2" t="s">
        <v>686</v>
      </c>
      <c r="E159" s="2" t="s">
        <v>873</v>
      </c>
      <c r="F159" s="2" t="s">
        <v>912</v>
      </c>
      <c r="G159" s="2" t="s">
        <v>239</v>
      </c>
      <c r="H159" s="2" t="s">
        <v>934</v>
      </c>
      <c r="I159" s="2" t="s">
        <v>45</v>
      </c>
      <c r="J159" s="2" t="s">
        <v>1242</v>
      </c>
      <c r="K159" s="2" t="s">
        <v>212</v>
      </c>
      <c r="L159" s="2" t="s">
        <v>2457</v>
      </c>
    </row>
    <row r="160" customFormat="false" ht="23.85" hidden="false" customHeight="false" outlineLevel="0" collapsed="false">
      <c r="A160" s="2" t="s">
        <v>488</v>
      </c>
      <c r="B160" s="2" t="n">
        <v>159</v>
      </c>
      <c r="C160" s="2" t="s">
        <v>1834</v>
      </c>
      <c r="D160" s="2" t="s">
        <v>686</v>
      </c>
      <c r="E160" s="2" t="s">
        <v>873</v>
      </c>
      <c r="F160" s="2" t="s">
        <v>912</v>
      </c>
      <c r="G160" s="2" t="s">
        <v>489</v>
      </c>
      <c r="H160" s="2" t="s">
        <v>935</v>
      </c>
      <c r="I160" s="2" t="s">
        <v>45</v>
      </c>
      <c r="J160" s="2" t="s">
        <v>1242</v>
      </c>
      <c r="K160" s="2" t="s">
        <v>212</v>
      </c>
      <c r="L160" s="2" t="s">
        <v>2457</v>
      </c>
    </row>
    <row r="161" customFormat="false" ht="23.85" hidden="false" customHeight="false" outlineLevel="0" collapsed="false">
      <c r="A161" s="2" t="s">
        <v>490</v>
      </c>
      <c r="B161" s="2" t="n">
        <v>160</v>
      </c>
      <c r="C161" s="2" t="s">
        <v>1296</v>
      </c>
      <c r="D161" s="2" t="s">
        <v>686</v>
      </c>
      <c r="E161" s="2" t="s">
        <v>873</v>
      </c>
      <c r="F161" s="2" t="s">
        <v>912</v>
      </c>
      <c r="G161" s="2" t="s">
        <v>243</v>
      </c>
      <c r="H161" s="2" t="s">
        <v>936</v>
      </c>
      <c r="I161" s="2" t="s">
        <v>45</v>
      </c>
      <c r="J161" s="2" t="s">
        <v>1242</v>
      </c>
      <c r="K161" s="2" t="s">
        <v>212</v>
      </c>
      <c r="L161" s="2" t="s">
        <v>2457</v>
      </c>
    </row>
    <row r="162" customFormat="false" ht="23.85" hidden="false" customHeight="false" outlineLevel="0" collapsed="false">
      <c r="A162" s="2" t="s">
        <v>491</v>
      </c>
      <c r="B162" s="2" t="n">
        <v>161</v>
      </c>
      <c r="C162" s="2" t="s">
        <v>1841</v>
      </c>
      <c r="D162" s="2" t="s">
        <v>686</v>
      </c>
      <c r="E162" s="2" t="s">
        <v>873</v>
      </c>
      <c r="F162" s="2" t="s">
        <v>912</v>
      </c>
      <c r="G162" s="2" t="s">
        <v>492</v>
      </c>
      <c r="H162" s="2" t="s">
        <v>937</v>
      </c>
      <c r="I162" s="2" t="s">
        <v>38</v>
      </c>
      <c r="J162" s="2" t="s">
        <v>1242</v>
      </c>
      <c r="K162" s="2" t="s">
        <v>212</v>
      </c>
      <c r="L162" s="2" t="s">
        <v>2457</v>
      </c>
    </row>
    <row r="163" customFormat="false" ht="23.85" hidden="false" customHeight="false" outlineLevel="0" collapsed="false">
      <c r="A163" s="2" t="s">
        <v>493</v>
      </c>
      <c r="B163" s="2" t="n">
        <v>162</v>
      </c>
      <c r="C163" s="2" t="s">
        <v>1846</v>
      </c>
      <c r="D163" s="2" t="s">
        <v>686</v>
      </c>
      <c r="E163" s="2" t="s">
        <v>873</v>
      </c>
      <c r="F163" s="2" t="s">
        <v>912</v>
      </c>
      <c r="G163" s="2" t="s">
        <v>494</v>
      </c>
      <c r="H163" s="2" t="s">
        <v>939</v>
      </c>
      <c r="I163" s="2" t="s">
        <v>71</v>
      </c>
      <c r="J163" s="2" t="s">
        <v>1242</v>
      </c>
      <c r="K163" s="2" t="s">
        <v>212</v>
      </c>
      <c r="L163" s="2" t="s">
        <v>2457</v>
      </c>
    </row>
    <row r="164" customFormat="false" ht="23.85" hidden="false" customHeight="false" outlineLevel="0" collapsed="false">
      <c r="A164" s="2" t="s">
        <v>496</v>
      </c>
      <c r="B164" s="2" t="n">
        <v>163</v>
      </c>
      <c r="C164" s="2" t="s">
        <v>1312</v>
      </c>
      <c r="D164" s="2" t="s">
        <v>686</v>
      </c>
      <c r="E164" s="2" t="s">
        <v>873</v>
      </c>
      <c r="F164" s="2" t="s">
        <v>912</v>
      </c>
      <c r="G164" s="2" t="s">
        <v>251</v>
      </c>
      <c r="H164" s="2" t="s">
        <v>940</v>
      </c>
      <c r="I164" s="2" t="s">
        <v>75</v>
      </c>
      <c r="J164" s="2" t="s">
        <v>1242</v>
      </c>
      <c r="K164" s="2" t="s">
        <v>212</v>
      </c>
      <c r="L164" s="2" t="s">
        <v>2457</v>
      </c>
    </row>
    <row r="165" customFormat="false" ht="23.85" hidden="false" customHeight="false" outlineLevel="0" collapsed="false">
      <c r="A165" s="2" t="s">
        <v>497</v>
      </c>
      <c r="B165" s="2" t="n">
        <v>164</v>
      </c>
      <c r="C165" s="2" t="s">
        <v>1688</v>
      </c>
      <c r="D165" s="2" t="s">
        <v>686</v>
      </c>
      <c r="E165" s="2" t="s">
        <v>873</v>
      </c>
      <c r="F165" s="2" t="s">
        <v>912</v>
      </c>
      <c r="G165" s="2" t="s">
        <v>428</v>
      </c>
      <c r="H165" s="2" t="s">
        <v>941</v>
      </c>
      <c r="I165" s="2" t="s">
        <v>58</v>
      </c>
      <c r="J165" s="2" t="s">
        <v>1242</v>
      </c>
      <c r="K165" s="2" t="s">
        <v>212</v>
      </c>
      <c r="L165" s="2" t="s">
        <v>2457</v>
      </c>
    </row>
    <row r="166" customFormat="false" ht="23.85" hidden="false" customHeight="false" outlineLevel="0" collapsed="false">
      <c r="A166" s="2" t="s">
        <v>498</v>
      </c>
      <c r="B166" s="2" t="n">
        <v>165</v>
      </c>
      <c r="C166" s="2" t="s">
        <v>1324</v>
      </c>
      <c r="D166" s="2" t="s">
        <v>686</v>
      </c>
      <c r="E166" s="2" t="s">
        <v>873</v>
      </c>
      <c r="F166" s="2" t="s">
        <v>912</v>
      </c>
      <c r="G166" s="2" t="s">
        <v>257</v>
      </c>
      <c r="H166" s="2" t="s">
        <v>942</v>
      </c>
      <c r="I166" s="2" t="s">
        <v>45</v>
      </c>
      <c r="J166" s="2" t="s">
        <v>1242</v>
      </c>
      <c r="K166" s="2" t="s">
        <v>212</v>
      </c>
      <c r="L166" s="2" t="s">
        <v>2457</v>
      </c>
    </row>
    <row r="167" customFormat="false" ht="23.85" hidden="false" customHeight="false" outlineLevel="0" collapsed="false">
      <c r="A167" s="2" t="s">
        <v>499</v>
      </c>
      <c r="B167" s="2" t="n">
        <v>166</v>
      </c>
      <c r="C167" s="2" t="s">
        <v>1328</v>
      </c>
      <c r="D167" s="2" t="s">
        <v>686</v>
      </c>
      <c r="E167" s="2" t="s">
        <v>873</v>
      </c>
      <c r="F167" s="2" t="s">
        <v>912</v>
      </c>
      <c r="G167" s="2" t="s">
        <v>259</v>
      </c>
      <c r="H167" s="2" t="s">
        <v>943</v>
      </c>
      <c r="I167" s="2" t="s">
        <v>38</v>
      </c>
      <c r="J167" s="2" t="s">
        <v>1242</v>
      </c>
      <c r="K167" s="2" t="s">
        <v>212</v>
      </c>
      <c r="L167" s="2" t="s">
        <v>2457</v>
      </c>
    </row>
    <row r="168" customFormat="false" ht="23.85" hidden="false" customHeight="false" outlineLevel="0" collapsed="false">
      <c r="A168" s="2" t="s">
        <v>500</v>
      </c>
      <c r="B168" s="2" t="n">
        <v>167</v>
      </c>
      <c r="C168" s="2" t="s">
        <v>1698</v>
      </c>
      <c r="D168" s="2" t="s">
        <v>686</v>
      </c>
      <c r="E168" s="2" t="s">
        <v>873</v>
      </c>
      <c r="F168" s="2" t="s">
        <v>912</v>
      </c>
      <c r="G168" s="2" t="s">
        <v>359</v>
      </c>
      <c r="H168" s="2" t="s">
        <v>944</v>
      </c>
      <c r="I168" s="2" t="s">
        <v>75</v>
      </c>
      <c r="J168" s="2" t="s">
        <v>1242</v>
      </c>
      <c r="K168" s="2" t="s">
        <v>212</v>
      </c>
      <c r="L168" s="2" t="s">
        <v>2457</v>
      </c>
    </row>
    <row r="169" customFormat="false" ht="23.85" hidden="false" customHeight="false" outlineLevel="0" collapsed="false">
      <c r="A169" s="2" t="s">
        <v>501</v>
      </c>
      <c r="B169" s="2" t="n">
        <v>168</v>
      </c>
      <c r="C169" s="2" t="s">
        <v>1866</v>
      </c>
      <c r="D169" s="2" t="s">
        <v>686</v>
      </c>
      <c r="E169" s="2" t="s">
        <v>873</v>
      </c>
      <c r="F169" s="2" t="s">
        <v>912</v>
      </c>
      <c r="G169" s="2" t="s">
        <v>502</v>
      </c>
      <c r="H169" s="2" t="s">
        <v>945</v>
      </c>
      <c r="I169" s="2" t="s">
        <v>69</v>
      </c>
      <c r="J169" s="2" t="s">
        <v>1242</v>
      </c>
      <c r="K169" s="2" t="s">
        <v>212</v>
      </c>
      <c r="L169" s="2" t="s">
        <v>2457</v>
      </c>
    </row>
    <row r="170" customFormat="false" ht="23.85" hidden="false" customHeight="false" outlineLevel="0" collapsed="false">
      <c r="A170" s="2" t="s">
        <v>503</v>
      </c>
      <c r="B170" s="2" t="n">
        <v>169</v>
      </c>
      <c r="C170" s="2" t="s">
        <v>1340</v>
      </c>
      <c r="D170" s="2" t="s">
        <v>686</v>
      </c>
      <c r="E170" s="2" t="s">
        <v>873</v>
      </c>
      <c r="F170" s="2" t="s">
        <v>912</v>
      </c>
      <c r="G170" s="2" t="s">
        <v>265</v>
      </c>
      <c r="H170" s="2" t="s">
        <v>946</v>
      </c>
      <c r="I170" s="2" t="s">
        <v>38</v>
      </c>
      <c r="J170" s="2" t="s">
        <v>1242</v>
      </c>
      <c r="K170" s="2" t="s">
        <v>212</v>
      </c>
      <c r="L170" s="2" t="s">
        <v>2457</v>
      </c>
    </row>
    <row r="171" customFormat="false" ht="23.85" hidden="false" customHeight="false" outlineLevel="0" collapsed="false">
      <c r="A171" s="2" t="s">
        <v>504</v>
      </c>
      <c r="B171" s="2" t="n">
        <v>170</v>
      </c>
      <c r="C171" s="2" t="s">
        <v>1873</v>
      </c>
      <c r="D171" s="2" t="s">
        <v>686</v>
      </c>
      <c r="E171" s="2" t="s">
        <v>873</v>
      </c>
      <c r="F171" s="2" t="s">
        <v>912</v>
      </c>
      <c r="G171" s="2" t="s">
        <v>505</v>
      </c>
      <c r="H171" s="2" t="s">
        <v>947</v>
      </c>
      <c r="I171" s="2" t="s">
        <v>69</v>
      </c>
      <c r="J171" s="2" t="s">
        <v>1242</v>
      </c>
      <c r="K171" s="2" t="s">
        <v>212</v>
      </c>
      <c r="L171" s="2" t="s">
        <v>2457</v>
      </c>
    </row>
    <row r="172" customFormat="false" ht="23.85" hidden="false" customHeight="false" outlineLevel="0" collapsed="false">
      <c r="A172" s="2" t="s">
        <v>506</v>
      </c>
      <c r="B172" s="2" t="n">
        <v>171</v>
      </c>
      <c r="C172" s="2" t="s">
        <v>1877</v>
      </c>
      <c r="D172" s="2" t="s">
        <v>686</v>
      </c>
      <c r="E172" s="2" t="s">
        <v>873</v>
      </c>
      <c r="F172" s="2" t="s">
        <v>912</v>
      </c>
      <c r="G172" s="2" t="s">
        <v>507</v>
      </c>
      <c r="H172" s="2" t="s">
        <v>948</v>
      </c>
      <c r="I172" s="2" t="s">
        <v>69</v>
      </c>
      <c r="J172" s="2" t="s">
        <v>1242</v>
      </c>
      <c r="K172" s="2" t="s">
        <v>212</v>
      </c>
      <c r="L172" s="2" t="s">
        <v>2457</v>
      </c>
    </row>
    <row r="173" customFormat="false" ht="23.85" hidden="false" customHeight="false" outlineLevel="0" collapsed="false">
      <c r="A173" s="2" t="s">
        <v>508</v>
      </c>
      <c r="B173" s="2" t="n">
        <v>172</v>
      </c>
      <c r="C173" s="2" t="s">
        <v>1344</v>
      </c>
      <c r="D173" s="2" t="s">
        <v>686</v>
      </c>
      <c r="E173" s="2" t="s">
        <v>873</v>
      </c>
      <c r="F173" s="2" t="s">
        <v>912</v>
      </c>
      <c r="G173" s="2" t="s">
        <v>267</v>
      </c>
      <c r="H173" s="2" t="s">
        <v>949</v>
      </c>
      <c r="I173" s="2" t="s">
        <v>75</v>
      </c>
      <c r="J173" s="2" t="s">
        <v>1242</v>
      </c>
      <c r="K173" s="2" t="s">
        <v>212</v>
      </c>
      <c r="L173" s="2" t="s">
        <v>2457</v>
      </c>
    </row>
    <row r="174" customFormat="false" ht="23.85" hidden="false" customHeight="false" outlineLevel="0" collapsed="false">
      <c r="A174" s="2" t="s">
        <v>509</v>
      </c>
      <c r="B174" s="2" t="n">
        <v>173</v>
      </c>
      <c r="C174" s="2" t="s">
        <v>1884</v>
      </c>
      <c r="D174" s="2" t="s">
        <v>686</v>
      </c>
      <c r="E174" s="2" t="s">
        <v>873</v>
      </c>
      <c r="F174" s="2" t="s">
        <v>912</v>
      </c>
      <c r="G174" s="2" t="s">
        <v>510</v>
      </c>
      <c r="H174" s="2" t="s">
        <v>950</v>
      </c>
      <c r="I174" s="2" t="s">
        <v>75</v>
      </c>
      <c r="J174" s="2" t="s">
        <v>1242</v>
      </c>
      <c r="K174" s="2" t="s">
        <v>212</v>
      </c>
      <c r="L174" s="2" t="s">
        <v>2457</v>
      </c>
    </row>
    <row r="175" customFormat="false" ht="23.85" hidden="false" customHeight="false" outlineLevel="0" collapsed="false">
      <c r="A175" s="2" t="s">
        <v>511</v>
      </c>
      <c r="B175" s="2" t="n">
        <v>174</v>
      </c>
      <c r="C175" s="2" t="s">
        <v>1352</v>
      </c>
      <c r="D175" s="2" t="s">
        <v>686</v>
      </c>
      <c r="E175" s="2" t="s">
        <v>873</v>
      </c>
      <c r="F175" s="2" t="s">
        <v>912</v>
      </c>
      <c r="G175" s="2" t="s">
        <v>271</v>
      </c>
      <c r="H175" s="2" t="s">
        <v>951</v>
      </c>
      <c r="I175" s="2" t="s">
        <v>58</v>
      </c>
      <c r="J175" s="2" t="s">
        <v>1242</v>
      </c>
      <c r="K175" s="2" t="s">
        <v>212</v>
      </c>
      <c r="L175" s="2" t="s">
        <v>2457</v>
      </c>
    </row>
    <row r="176" customFormat="false" ht="23.85" hidden="false" customHeight="false" outlineLevel="0" collapsed="false">
      <c r="A176" s="2" t="s">
        <v>512</v>
      </c>
      <c r="B176" s="2" t="n">
        <v>175</v>
      </c>
      <c r="C176" s="2" t="s">
        <v>1892</v>
      </c>
      <c r="D176" s="2" t="s">
        <v>686</v>
      </c>
      <c r="E176" s="2" t="s">
        <v>873</v>
      </c>
      <c r="F176" s="2" t="s">
        <v>912</v>
      </c>
      <c r="G176" s="2" t="s">
        <v>513</v>
      </c>
      <c r="H176" s="2" t="s">
        <v>952</v>
      </c>
      <c r="I176" s="2" t="s">
        <v>58</v>
      </c>
      <c r="J176" s="2" t="s">
        <v>1242</v>
      </c>
      <c r="K176" s="2" t="s">
        <v>212</v>
      </c>
      <c r="L176" s="2" t="s">
        <v>2457</v>
      </c>
    </row>
    <row r="177" customFormat="false" ht="23.85" hidden="false" customHeight="false" outlineLevel="0" collapsed="false">
      <c r="A177" s="2" t="s">
        <v>514</v>
      </c>
      <c r="B177" s="2" t="n">
        <v>176</v>
      </c>
      <c r="C177" s="2" t="s">
        <v>1896</v>
      </c>
      <c r="D177" s="2" t="s">
        <v>686</v>
      </c>
      <c r="E177" s="2" t="s">
        <v>873</v>
      </c>
      <c r="F177" s="2" t="s">
        <v>912</v>
      </c>
      <c r="G177" s="2" t="s">
        <v>515</v>
      </c>
      <c r="H177" s="2" t="s">
        <v>953</v>
      </c>
      <c r="I177" s="2" t="s">
        <v>69</v>
      </c>
      <c r="J177" s="2" t="s">
        <v>1242</v>
      </c>
      <c r="K177" s="2" t="s">
        <v>212</v>
      </c>
      <c r="L177" s="2" t="s">
        <v>2457</v>
      </c>
    </row>
    <row r="178" customFormat="false" ht="23.85" hidden="false" customHeight="false" outlineLevel="0" collapsed="false">
      <c r="A178" s="2" t="s">
        <v>516</v>
      </c>
      <c r="B178" s="2" t="n">
        <v>177</v>
      </c>
      <c r="C178" s="2" t="s">
        <v>1564</v>
      </c>
      <c r="D178" s="2" t="s">
        <v>686</v>
      </c>
      <c r="E178" s="2" t="s">
        <v>873</v>
      </c>
      <c r="F178" s="2" t="s">
        <v>912</v>
      </c>
      <c r="G178" s="2" t="s">
        <v>275</v>
      </c>
      <c r="H178" s="2" t="s">
        <v>954</v>
      </c>
      <c r="I178" s="2" t="s">
        <v>69</v>
      </c>
      <c r="J178" s="2" t="s">
        <v>1242</v>
      </c>
      <c r="K178" s="2" t="s">
        <v>212</v>
      </c>
      <c r="L178" s="2" t="s">
        <v>2457</v>
      </c>
    </row>
    <row r="179" customFormat="false" ht="23.85" hidden="false" customHeight="false" outlineLevel="0" collapsed="false">
      <c r="A179" s="2" t="s">
        <v>517</v>
      </c>
      <c r="B179" s="2" t="n">
        <v>178</v>
      </c>
      <c r="C179" s="2" t="s">
        <v>1568</v>
      </c>
      <c r="D179" s="2" t="s">
        <v>686</v>
      </c>
      <c r="E179" s="2" t="s">
        <v>873</v>
      </c>
      <c r="F179" s="2" t="s">
        <v>912</v>
      </c>
      <c r="G179" s="2" t="s">
        <v>372</v>
      </c>
      <c r="H179" s="2" t="s">
        <v>955</v>
      </c>
      <c r="I179" s="2" t="s">
        <v>71</v>
      </c>
      <c r="J179" s="2" t="s">
        <v>1242</v>
      </c>
      <c r="K179" s="2" t="s">
        <v>212</v>
      </c>
      <c r="L179" s="2" t="s">
        <v>2457</v>
      </c>
    </row>
    <row r="180" customFormat="false" ht="23.85" hidden="false" customHeight="false" outlineLevel="0" collapsed="false">
      <c r="A180" s="2" t="s">
        <v>518</v>
      </c>
      <c r="B180" s="2" t="n">
        <v>179</v>
      </c>
      <c r="C180" s="2" t="s">
        <v>1907</v>
      </c>
      <c r="D180" s="2" t="s">
        <v>686</v>
      </c>
      <c r="E180" s="2" t="s">
        <v>873</v>
      </c>
      <c r="F180" s="2" t="s">
        <v>912</v>
      </c>
      <c r="G180" s="2" t="s">
        <v>519</v>
      </c>
      <c r="H180" s="2" t="s">
        <v>956</v>
      </c>
      <c r="I180" s="2" t="s">
        <v>58</v>
      </c>
      <c r="J180" s="2" t="s">
        <v>1242</v>
      </c>
      <c r="K180" s="2" t="s">
        <v>212</v>
      </c>
      <c r="L180" s="2" t="s">
        <v>2457</v>
      </c>
    </row>
    <row r="181" customFormat="false" ht="23.85" hidden="false" customHeight="false" outlineLevel="0" collapsed="false">
      <c r="A181" s="2" t="s">
        <v>520</v>
      </c>
      <c r="B181" s="2" t="n">
        <v>180</v>
      </c>
      <c r="C181" s="2" t="s">
        <v>1579</v>
      </c>
      <c r="D181" s="2" t="s">
        <v>686</v>
      </c>
      <c r="E181" s="2" t="s">
        <v>873</v>
      </c>
      <c r="F181" s="2" t="s">
        <v>912</v>
      </c>
      <c r="G181" s="2" t="s">
        <v>377</v>
      </c>
      <c r="H181" s="2" t="s">
        <v>957</v>
      </c>
      <c r="I181" s="2" t="s">
        <v>69</v>
      </c>
      <c r="J181" s="2" t="s">
        <v>1242</v>
      </c>
      <c r="K181" s="2" t="s">
        <v>212</v>
      </c>
      <c r="L181" s="2" t="s">
        <v>2457</v>
      </c>
    </row>
    <row r="182" customFormat="false" ht="23.85" hidden="false" customHeight="false" outlineLevel="0" collapsed="false">
      <c r="A182" s="2" t="s">
        <v>521</v>
      </c>
      <c r="B182" s="2" t="n">
        <v>181</v>
      </c>
      <c r="C182" s="2" t="s">
        <v>1915</v>
      </c>
      <c r="D182" s="2" t="s">
        <v>686</v>
      </c>
      <c r="E182" s="2" t="s">
        <v>873</v>
      </c>
      <c r="F182" s="2" t="s">
        <v>912</v>
      </c>
      <c r="G182" s="2" t="s">
        <v>522</v>
      </c>
      <c r="H182" s="2" t="s">
        <v>958</v>
      </c>
      <c r="I182" s="2" t="s">
        <v>69</v>
      </c>
      <c r="J182" s="2" t="s">
        <v>1242</v>
      </c>
      <c r="K182" s="2" t="s">
        <v>212</v>
      </c>
      <c r="L182" s="2" t="s">
        <v>2457</v>
      </c>
    </row>
    <row r="183" customFormat="false" ht="23.85" hidden="false" customHeight="false" outlineLevel="0" collapsed="false">
      <c r="A183" s="2" t="s">
        <v>523</v>
      </c>
      <c r="B183" s="2" t="n">
        <v>182</v>
      </c>
      <c r="C183" s="2" t="s">
        <v>1919</v>
      </c>
      <c r="D183" s="2" t="s">
        <v>686</v>
      </c>
      <c r="E183" s="2" t="s">
        <v>873</v>
      </c>
      <c r="F183" s="2" t="s">
        <v>912</v>
      </c>
      <c r="G183" s="2" t="s">
        <v>524</v>
      </c>
      <c r="H183" s="2" t="s">
        <v>960</v>
      </c>
      <c r="I183" s="2" t="s">
        <v>45</v>
      </c>
      <c r="J183" s="2" t="s">
        <v>1242</v>
      </c>
      <c r="K183" s="2" t="s">
        <v>212</v>
      </c>
      <c r="L183" s="2" t="s">
        <v>2457</v>
      </c>
    </row>
    <row r="184" customFormat="false" ht="23.85" hidden="false" customHeight="false" outlineLevel="0" collapsed="false">
      <c r="A184" s="2" t="s">
        <v>525</v>
      </c>
      <c r="B184" s="2" t="n">
        <v>183</v>
      </c>
      <c r="C184" s="2" t="s">
        <v>1923</v>
      </c>
      <c r="D184" s="2" t="s">
        <v>686</v>
      </c>
      <c r="E184" s="2" t="s">
        <v>873</v>
      </c>
      <c r="F184" s="2" t="s">
        <v>912</v>
      </c>
      <c r="G184" s="2" t="s">
        <v>526</v>
      </c>
      <c r="H184" s="2" t="s">
        <v>961</v>
      </c>
      <c r="I184" s="2" t="s">
        <v>66</v>
      </c>
      <c r="J184" s="2" t="s">
        <v>1242</v>
      </c>
      <c r="K184" s="2" t="s">
        <v>212</v>
      </c>
      <c r="L184" s="2" t="s">
        <v>2457</v>
      </c>
    </row>
    <row r="185" customFormat="false" ht="23.85" hidden="false" customHeight="false" outlineLevel="0" collapsed="false">
      <c r="A185" s="2" t="s">
        <v>527</v>
      </c>
      <c r="B185" s="2" t="n">
        <v>184</v>
      </c>
      <c r="C185" s="2" t="s">
        <v>1927</v>
      </c>
      <c r="D185" s="2" t="s">
        <v>686</v>
      </c>
      <c r="E185" s="2" t="s">
        <v>873</v>
      </c>
      <c r="F185" s="2" t="s">
        <v>912</v>
      </c>
      <c r="G185" s="2" t="s">
        <v>528</v>
      </c>
      <c r="H185" s="2" t="s">
        <v>962</v>
      </c>
      <c r="I185" s="2" t="s">
        <v>75</v>
      </c>
      <c r="J185" s="2" t="s">
        <v>1242</v>
      </c>
      <c r="K185" s="2" t="s">
        <v>212</v>
      </c>
      <c r="L185" s="2" t="s">
        <v>2457</v>
      </c>
    </row>
    <row r="186" customFormat="false" ht="23.85" hidden="false" customHeight="false" outlineLevel="0" collapsed="false">
      <c r="A186" s="2" t="s">
        <v>529</v>
      </c>
      <c r="B186" s="2" t="n">
        <v>185</v>
      </c>
      <c r="C186" s="2" t="s">
        <v>1710</v>
      </c>
      <c r="D186" s="2" t="s">
        <v>686</v>
      </c>
      <c r="E186" s="2" t="s">
        <v>873</v>
      </c>
      <c r="F186" s="2" t="s">
        <v>912</v>
      </c>
      <c r="G186" s="2" t="s">
        <v>530</v>
      </c>
      <c r="H186" s="2" t="s">
        <v>963</v>
      </c>
      <c r="I186" s="2" t="s">
        <v>45</v>
      </c>
      <c r="J186" s="2" t="s">
        <v>1242</v>
      </c>
      <c r="K186" s="2" t="s">
        <v>212</v>
      </c>
      <c r="L186" s="2" t="s">
        <v>2457</v>
      </c>
    </row>
    <row r="187" customFormat="false" ht="23.85" hidden="false" customHeight="false" outlineLevel="0" collapsed="false">
      <c r="A187" s="2" t="s">
        <v>531</v>
      </c>
      <c r="B187" s="2" t="n">
        <v>186</v>
      </c>
      <c r="C187" s="2" t="s">
        <v>1934</v>
      </c>
      <c r="D187" s="2" t="s">
        <v>686</v>
      </c>
      <c r="E187" s="2" t="s">
        <v>873</v>
      </c>
      <c r="F187" s="2" t="s">
        <v>912</v>
      </c>
      <c r="G187" s="2" t="s">
        <v>532</v>
      </c>
      <c r="H187" s="2" t="s">
        <v>964</v>
      </c>
      <c r="I187" s="2" t="s">
        <v>45</v>
      </c>
      <c r="J187" s="2" t="s">
        <v>1242</v>
      </c>
      <c r="K187" s="2" t="s">
        <v>212</v>
      </c>
      <c r="L187" s="2" t="s">
        <v>2457</v>
      </c>
    </row>
    <row r="188" customFormat="false" ht="23.85" hidden="false" customHeight="false" outlineLevel="0" collapsed="false">
      <c r="A188" s="2" t="s">
        <v>533</v>
      </c>
      <c r="B188" s="2" t="n">
        <v>187</v>
      </c>
      <c r="C188" s="2" t="s">
        <v>1938</v>
      </c>
      <c r="D188" s="2" t="s">
        <v>686</v>
      </c>
      <c r="E188" s="2" t="s">
        <v>873</v>
      </c>
      <c r="F188" s="2" t="s">
        <v>912</v>
      </c>
      <c r="G188" s="2" t="s">
        <v>534</v>
      </c>
      <c r="H188" s="2" t="s">
        <v>966</v>
      </c>
      <c r="I188" s="2" t="s">
        <v>69</v>
      </c>
      <c r="J188" s="2" t="s">
        <v>1242</v>
      </c>
      <c r="K188" s="2" t="s">
        <v>212</v>
      </c>
      <c r="L188" s="2" t="s">
        <v>2457</v>
      </c>
    </row>
    <row r="189" customFormat="false" ht="23.85" hidden="false" customHeight="false" outlineLevel="0" collapsed="false">
      <c r="A189" s="2" t="s">
        <v>535</v>
      </c>
      <c r="B189" s="2" t="n">
        <v>188</v>
      </c>
      <c r="C189" s="2" t="s">
        <v>1942</v>
      </c>
      <c r="D189" s="2" t="s">
        <v>686</v>
      </c>
      <c r="E189" s="2" t="s">
        <v>873</v>
      </c>
      <c r="F189" s="2" t="s">
        <v>912</v>
      </c>
      <c r="G189" s="2" t="s">
        <v>536</v>
      </c>
      <c r="H189" s="2" t="s">
        <v>968</v>
      </c>
      <c r="I189" s="2" t="s">
        <v>69</v>
      </c>
      <c r="J189" s="2" t="s">
        <v>1242</v>
      </c>
      <c r="K189" s="2" t="s">
        <v>212</v>
      </c>
      <c r="L189" s="2" t="s">
        <v>2457</v>
      </c>
    </row>
    <row r="190" customFormat="false" ht="23.85" hidden="false" customHeight="false" outlineLevel="0" collapsed="false">
      <c r="A190" s="2" t="s">
        <v>537</v>
      </c>
      <c r="B190" s="2" t="n">
        <v>189</v>
      </c>
      <c r="C190" s="2" t="s">
        <v>1722</v>
      </c>
      <c r="D190" s="2" t="s">
        <v>686</v>
      </c>
      <c r="E190" s="2" t="s">
        <v>873</v>
      </c>
      <c r="F190" s="2" t="s">
        <v>912</v>
      </c>
      <c r="G190" s="2" t="s">
        <v>538</v>
      </c>
      <c r="H190" s="2" t="s">
        <v>969</v>
      </c>
      <c r="I190" s="2" t="s">
        <v>69</v>
      </c>
      <c r="J190" s="2" t="s">
        <v>1242</v>
      </c>
      <c r="K190" s="2" t="s">
        <v>212</v>
      </c>
      <c r="L190" s="2" t="s">
        <v>2457</v>
      </c>
    </row>
    <row r="191" customFormat="false" ht="23.85" hidden="false" customHeight="false" outlineLevel="0" collapsed="false">
      <c r="A191" s="2" t="s">
        <v>539</v>
      </c>
      <c r="B191" s="2" t="n">
        <v>190</v>
      </c>
      <c r="C191" s="2" t="s">
        <v>1380</v>
      </c>
      <c r="D191" s="2" t="s">
        <v>686</v>
      </c>
      <c r="E191" s="2" t="s">
        <v>873</v>
      </c>
      <c r="F191" s="2" t="s">
        <v>912</v>
      </c>
      <c r="G191" s="2" t="s">
        <v>285</v>
      </c>
      <c r="H191" s="2" t="s">
        <v>971</v>
      </c>
      <c r="I191" s="2" t="s">
        <v>69</v>
      </c>
      <c r="J191" s="2" t="s">
        <v>1242</v>
      </c>
      <c r="K191" s="2" t="s">
        <v>212</v>
      </c>
      <c r="L191" s="2" t="s">
        <v>2457</v>
      </c>
    </row>
    <row r="192" customFormat="false" ht="23.85" hidden="false" customHeight="false" outlineLevel="0" collapsed="false">
      <c r="A192" s="2" t="s">
        <v>540</v>
      </c>
      <c r="B192" s="2" t="n">
        <v>191</v>
      </c>
      <c r="C192" s="2" t="s">
        <v>1384</v>
      </c>
      <c r="D192" s="2" t="s">
        <v>686</v>
      </c>
      <c r="E192" s="2" t="s">
        <v>873</v>
      </c>
      <c r="F192" s="2" t="s">
        <v>912</v>
      </c>
      <c r="G192" s="2" t="s">
        <v>287</v>
      </c>
      <c r="H192" s="2" t="s">
        <v>972</v>
      </c>
      <c r="I192" s="2" t="s">
        <v>69</v>
      </c>
      <c r="J192" s="2" t="s">
        <v>1242</v>
      </c>
      <c r="K192" s="2" t="s">
        <v>212</v>
      </c>
      <c r="L192" s="2" t="s">
        <v>2457</v>
      </c>
    </row>
    <row r="193" customFormat="false" ht="23.85" hidden="false" customHeight="false" outlineLevel="0" collapsed="false">
      <c r="A193" s="2" t="s">
        <v>541</v>
      </c>
      <c r="B193" s="2" t="n">
        <v>192</v>
      </c>
      <c r="C193" s="2" t="s">
        <v>1955</v>
      </c>
      <c r="D193" s="2" t="s">
        <v>686</v>
      </c>
      <c r="E193" s="2" t="s">
        <v>873</v>
      </c>
      <c r="F193" s="2" t="s">
        <v>912</v>
      </c>
      <c r="G193" s="2" t="s">
        <v>542</v>
      </c>
      <c r="H193" s="2" t="s">
        <v>973</v>
      </c>
      <c r="I193" s="2" t="s">
        <v>66</v>
      </c>
      <c r="J193" s="2" t="s">
        <v>1242</v>
      </c>
      <c r="K193" s="2" t="s">
        <v>212</v>
      </c>
      <c r="L193" s="2" t="s">
        <v>2457</v>
      </c>
    </row>
    <row r="194" customFormat="false" ht="23.85" hidden="false" customHeight="false" outlineLevel="0" collapsed="false">
      <c r="A194" s="2" t="s">
        <v>543</v>
      </c>
      <c r="B194" s="2" t="n">
        <v>193</v>
      </c>
      <c r="C194" s="2" t="s">
        <v>1959</v>
      </c>
      <c r="D194" s="2" t="s">
        <v>686</v>
      </c>
      <c r="E194" s="2" t="s">
        <v>873</v>
      </c>
      <c r="F194" s="2" t="s">
        <v>912</v>
      </c>
      <c r="G194" s="2" t="s">
        <v>544</v>
      </c>
      <c r="H194" s="2" t="s">
        <v>974</v>
      </c>
      <c r="I194" s="2" t="s">
        <v>71</v>
      </c>
      <c r="J194" s="2" t="s">
        <v>1242</v>
      </c>
      <c r="K194" s="2" t="s">
        <v>212</v>
      </c>
      <c r="L194" s="2" t="s">
        <v>2457</v>
      </c>
    </row>
    <row r="195" customFormat="false" ht="23.85" hidden="false" customHeight="false" outlineLevel="0" collapsed="false">
      <c r="A195" s="2" t="s">
        <v>545</v>
      </c>
      <c r="B195" s="2" t="n">
        <v>194</v>
      </c>
      <c r="C195" s="2" t="s">
        <v>1388</v>
      </c>
      <c r="D195" s="2" t="s">
        <v>686</v>
      </c>
      <c r="E195" s="2" t="s">
        <v>873</v>
      </c>
      <c r="F195" s="2" t="s">
        <v>912</v>
      </c>
      <c r="G195" s="2" t="s">
        <v>289</v>
      </c>
      <c r="H195" s="2" t="s">
        <v>975</v>
      </c>
      <c r="I195" s="2" t="s">
        <v>66</v>
      </c>
      <c r="J195" s="2" t="s">
        <v>1242</v>
      </c>
      <c r="K195" s="2" t="s">
        <v>212</v>
      </c>
      <c r="L195" s="2" t="s">
        <v>2457</v>
      </c>
    </row>
    <row r="196" customFormat="false" ht="23.85" hidden="false" customHeight="false" outlineLevel="0" collapsed="false">
      <c r="A196" s="2" t="s">
        <v>546</v>
      </c>
      <c r="B196" s="2" t="n">
        <v>195</v>
      </c>
      <c r="C196" s="2" t="s">
        <v>1392</v>
      </c>
      <c r="D196" s="2" t="s">
        <v>686</v>
      </c>
      <c r="E196" s="2" t="s">
        <v>873</v>
      </c>
      <c r="F196" s="2" t="s">
        <v>912</v>
      </c>
      <c r="G196" s="2" t="s">
        <v>291</v>
      </c>
      <c r="H196" s="2" t="s">
        <v>976</v>
      </c>
      <c r="I196" s="2" t="s">
        <v>52</v>
      </c>
      <c r="J196" s="2" t="s">
        <v>1242</v>
      </c>
      <c r="K196" s="2" t="s">
        <v>212</v>
      </c>
      <c r="L196" s="2" t="s">
        <v>2457</v>
      </c>
    </row>
    <row r="197" customFormat="false" ht="23.85" hidden="false" customHeight="false" outlineLevel="0" collapsed="false">
      <c r="A197" s="2" t="s">
        <v>547</v>
      </c>
      <c r="B197" s="2" t="n">
        <v>196</v>
      </c>
      <c r="C197" s="2" t="s">
        <v>1412</v>
      </c>
      <c r="D197" s="2" t="s">
        <v>686</v>
      </c>
      <c r="E197" s="2" t="s">
        <v>873</v>
      </c>
      <c r="F197" s="2" t="s">
        <v>912</v>
      </c>
      <c r="G197" s="2" t="s">
        <v>301</v>
      </c>
      <c r="H197" s="2" t="s">
        <v>977</v>
      </c>
      <c r="I197" s="2" t="s">
        <v>73</v>
      </c>
      <c r="J197" s="2" t="s">
        <v>1242</v>
      </c>
      <c r="K197" s="2" t="s">
        <v>212</v>
      </c>
      <c r="L197" s="2" t="s">
        <v>2457</v>
      </c>
    </row>
    <row r="198" customFormat="false" ht="23.85" hidden="false" customHeight="false" outlineLevel="0" collapsed="false">
      <c r="A198" s="2" t="s">
        <v>548</v>
      </c>
      <c r="B198" s="2" t="n">
        <v>197</v>
      </c>
      <c r="C198" s="2" t="s">
        <v>1973</v>
      </c>
      <c r="D198" s="2" t="s">
        <v>686</v>
      </c>
      <c r="E198" s="2" t="s">
        <v>873</v>
      </c>
      <c r="F198" s="2" t="s">
        <v>912</v>
      </c>
      <c r="G198" s="2" t="s">
        <v>549</v>
      </c>
      <c r="H198" s="2" t="s">
        <v>978</v>
      </c>
      <c r="I198" s="2" t="s">
        <v>45</v>
      </c>
      <c r="J198" s="2" t="s">
        <v>1242</v>
      </c>
      <c r="K198" s="2" t="s">
        <v>212</v>
      </c>
      <c r="L198" s="2" t="s">
        <v>2457</v>
      </c>
    </row>
    <row r="199" customFormat="false" ht="23.85" hidden="false" customHeight="false" outlineLevel="0" collapsed="false">
      <c r="A199" s="2" t="s">
        <v>550</v>
      </c>
      <c r="B199" s="2" t="n">
        <v>198</v>
      </c>
      <c r="C199" s="2" t="s">
        <v>1428</v>
      </c>
      <c r="D199" s="2" t="s">
        <v>686</v>
      </c>
      <c r="E199" s="2" t="s">
        <v>873</v>
      </c>
      <c r="F199" s="2" t="s">
        <v>912</v>
      </c>
      <c r="G199" s="2" t="s">
        <v>309</v>
      </c>
      <c r="H199" s="2" t="s">
        <v>979</v>
      </c>
      <c r="I199" s="2" t="s">
        <v>71</v>
      </c>
      <c r="J199" s="2" t="s">
        <v>1242</v>
      </c>
      <c r="K199" s="2" t="s">
        <v>212</v>
      </c>
      <c r="L199" s="2" t="s">
        <v>2457</v>
      </c>
    </row>
    <row r="200" customFormat="false" ht="23.85" hidden="false" customHeight="false" outlineLevel="0" collapsed="false">
      <c r="A200" s="2" t="s">
        <v>551</v>
      </c>
      <c r="B200" s="2" t="n">
        <v>199</v>
      </c>
      <c r="C200" s="2" t="s">
        <v>1648</v>
      </c>
      <c r="D200" s="2" t="s">
        <v>686</v>
      </c>
      <c r="E200" s="2" t="s">
        <v>873</v>
      </c>
      <c r="F200" s="2" t="s">
        <v>912</v>
      </c>
      <c r="G200" s="2" t="s">
        <v>410</v>
      </c>
      <c r="H200" s="2" t="s">
        <v>980</v>
      </c>
      <c r="I200" s="2" t="s">
        <v>75</v>
      </c>
      <c r="J200" s="2" t="s">
        <v>1242</v>
      </c>
      <c r="K200" s="2" t="s">
        <v>212</v>
      </c>
      <c r="L200" s="2" t="s">
        <v>2457</v>
      </c>
    </row>
    <row r="201" customFormat="false" ht="35.05" hidden="false" customHeight="false" outlineLevel="0" collapsed="false">
      <c r="A201" s="2" t="s">
        <v>552</v>
      </c>
      <c r="B201" s="2" t="n">
        <v>200</v>
      </c>
      <c r="C201" s="2" t="s">
        <v>1983</v>
      </c>
      <c r="D201" s="2" t="s">
        <v>686</v>
      </c>
      <c r="E201" s="2" t="s">
        <v>873</v>
      </c>
      <c r="F201" s="2" t="s">
        <v>912</v>
      </c>
      <c r="G201" s="2" t="s">
        <v>433</v>
      </c>
      <c r="H201" s="2" t="s">
        <v>981</v>
      </c>
      <c r="I201" s="2" t="s">
        <v>73</v>
      </c>
      <c r="J201" s="2" t="s">
        <v>1988</v>
      </c>
      <c r="K201" s="2" t="s">
        <v>2458</v>
      </c>
      <c r="L201" s="2" t="s">
        <v>2459</v>
      </c>
    </row>
    <row r="202" customFormat="false" ht="35.05" hidden="false" customHeight="false" outlineLevel="0" collapsed="false">
      <c r="A202" s="2" t="s">
        <v>553</v>
      </c>
      <c r="B202" s="2" t="n">
        <v>201</v>
      </c>
      <c r="C202" s="2" t="s">
        <v>1990</v>
      </c>
      <c r="D202" s="2" t="s">
        <v>686</v>
      </c>
      <c r="E202" s="2" t="s">
        <v>873</v>
      </c>
      <c r="F202" s="2" t="s">
        <v>912</v>
      </c>
      <c r="G202" s="2" t="s">
        <v>301</v>
      </c>
      <c r="H202" s="2" t="s">
        <v>977</v>
      </c>
      <c r="I202" s="2" t="s">
        <v>73</v>
      </c>
      <c r="J202" s="2" t="s">
        <v>1988</v>
      </c>
      <c r="K202" s="2" t="s">
        <v>2458</v>
      </c>
      <c r="L202" s="2" t="s">
        <v>2460</v>
      </c>
    </row>
    <row r="203" customFormat="false" ht="35.05" hidden="false" customHeight="false" outlineLevel="0" collapsed="false">
      <c r="A203" s="2" t="s">
        <v>554</v>
      </c>
      <c r="B203" s="2" t="n">
        <v>202</v>
      </c>
      <c r="C203" s="2" t="s">
        <v>1993</v>
      </c>
      <c r="D203" s="2" t="s">
        <v>686</v>
      </c>
      <c r="E203" s="2" t="s">
        <v>873</v>
      </c>
      <c r="F203" s="2" t="s">
        <v>912</v>
      </c>
      <c r="G203" s="2" t="s">
        <v>555</v>
      </c>
      <c r="H203" s="2" t="s">
        <v>982</v>
      </c>
      <c r="I203" s="2" t="s">
        <v>73</v>
      </c>
      <c r="J203" s="2" t="s">
        <v>1988</v>
      </c>
      <c r="K203" s="2" t="s">
        <v>2458</v>
      </c>
      <c r="L203" s="2" t="s">
        <v>2461</v>
      </c>
    </row>
    <row r="204" customFormat="false" ht="35.05" hidden="false" customHeight="false" outlineLevel="0" collapsed="false">
      <c r="A204" s="2" t="s">
        <v>556</v>
      </c>
      <c r="B204" s="2" t="n">
        <v>203</v>
      </c>
      <c r="C204" s="2" t="s">
        <v>1997</v>
      </c>
      <c r="D204" s="2" t="s">
        <v>686</v>
      </c>
      <c r="E204" s="2" t="s">
        <v>873</v>
      </c>
      <c r="F204" s="2" t="s">
        <v>912</v>
      </c>
      <c r="G204" s="2" t="s">
        <v>557</v>
      </c>
      <c r="H204" s="2" t="s">
        <v>983</v>
      </c>
      <c r="I204" s="2" t="s">
        <v>63</v>
      </c>
      <c r="J204" s="2" t="s">
        <v>1988</v>
      </c>
      <c r="K204" s="2" t="s">
        <v>2458</v>
      </c>
      <c r="L204" s="2" t="s">
        <v>2462</v>
      </c>
    </row>
    <row r="205" customFormat="false" ht="35.05" hidden="false" customHeight="false" outlineLevel="0" collapsed="false">
      <c r="A205" s="2" t="s">
        <v>558</v>
      </c>
      <c r="B205" s="2" t="n">
        <v>204</v>
      </c>
      <c r="C205" s="2" t="s">
        <v>2001</v>
      </c>
      <c r="D205" s="2" t="s">
        <v>686</v>
      </c>
      <c r="E205" s="2" t="s">
        <v>873</v>
      </c>
      <c r="F205" s="2" t="s">
        <v>912</v>
      </c>
      <c r="G205" s="2" t="s">
        <v>559</v>
      </c>
      <c r="H205" s="2" t="s">
        <v>984</v>
      </c>
      <c r="I205" s="2" t="s">
        <v>63</v>
      </c>
      <c r="J205" s="2" t="s">
        <v>1988</v>
      </c>
      <c r="K205" s="2" t="s">
        <v>2458</v>
      </c>
      <c r="L205" s="2" t="s">
        <v>2463</v>
      </c>
    </row>
    <row r="206" customFormat="false" ht="35.05" hidden="false" customHeight="false" outlineLevel="0" collapsed="false">
      <c r="A206" s="2" t="s">
        <v>560</v>
      </c>
      <c r="B206" s="2" t="n">
        <v>205</v>
      </c>
      <c r="C206" s="2" t="s">
        <v>2005</v>
      </c>
      <c r="D206" s="2" t="s">
        <v>686</v>
      </c>
      <c r="E206" s="2" t="s">
        <v>873</v>
      </c>
      <c r="F206" s="2" t="s">
        <v>912</v>
      </c>
      <c r="G206" s="2" t="s">
        <v>561</v>
      </c>
      <c r="H206" s="2" t="s">
        <v>985</v>
      </c>
      <c r="I206" s="2" t="s">
        <v>75</v>
      </c>
      <c r="J206" s="2" t="s">
        <v>1988</v>
      </c>
      <c r="K206" s="2" t="s">
        <v>2458</v>
      </c>
      <c r="L206" s="2" t="s">
        <v>2464</v>
      </c>
    </row>
    <row r="207" customFormat="false" ht="35.05" hidden="false" customHeight="false" outlineLevel="0" collapsed="false">
      <c r="A207" s="2" t="s">
        <v>562</v>
      </c>
      <c r="B207" s="2" t="n">
        <v>206</v>
      </c>
      <c r="C207" s="2" t="s">
        <v>2009</v>
      </c>
      <c r="D207" s="2" t="s">
        <v>686</v>
      </c>
      <c r="E207" s="2" t="s">
        <v>873</v>
      </c>
      <c r="F207" s="2" t="s">
        <v>912</v>
      </c>
      <c r="G207" s="2" t="s">
        <v>563</v>
      </c>
      <c r="H207" s="2" t="s">
        <v>986</v>
      </c>
      <c r="I207" s="2" t="s">
        <v>75</v>
      </c>
      <c r="J207" s="2" t="s">
        <v>1988</v>
      </c>
      <c r="K207" s="2" t="s">
        <v>2458</v>
      </c>
      <c r="L207" s="2" t="s">
        <v>2465</v>
      </c>
    </row>
    <row r="208" customFormat="false" ht="35.05" hidden="false" customHeight="false" outlineLevel="0" collapsed="false">
      <c r="A208" s="2" t="s">
        <v>564</v>
      </c>
      <c r="B208" s="2" t="n">
        <v>207</v>
      </c>
      <c r="C208" s="2" t="s">
        <v>2013</v>
      </c>
      <c r="D208" s="2" t="s">
        <v>686</v>
      </c>
      <c r="E208" s="2" t="s">
        <v>873</v>
      </c>
      <c r="F208" s="2" t="s">
        <v>912</v>
      </c>
      <c r="G208" s="2" t="s">
        <v>565</v>
      </c>
      <c r="H208" s="2" t="s">
        <v>987</v>
      </c>
      <c r="I208" s="2" t="s">
        <v>75</v>
      </c>
      <c r="J208" s="2" t="s">
        <v>1988</v>
      </c>
      <c r="K208" s="2" t="s">
        <v>2458</v>
      </c>
      <c r="L208" s="2" t="s">
        <v>2466</v>
      </c>
    </row>
    <row r="209" customFormat="false" ht="35.05" hidden="false" customHeight="false" outlineLevel="0" collapsed="false">
      <c r="A209" s="2" t="s">
        <v>566</v>
      </c>
      <c r="B209" s="2" t="n">
        <v>208</v>
      </c>
      <c r="C209" s="2" t="s">
        <v>2017</v>
      </c>
      <c r="D209" s="2" t="s">
        <v>686</v>
      </c>
      <c r="E209" s="2" t="s">
        <v>873</v>
      </c>
      <c r="F209" s="2" t="s">
        <v>912</v>
      </c>
      <c r="G209" s="2" t="s">
        <v>271</v>
      </c>
      <c r="H209" s="2" t="s">
        <v>951</v>
      </c>
      <c r="I209" s="2" t="s">
        <v>58</v>
      </c>
      <c r="J209" s="2" t="s">
        <v>1988</v>
      </c>
      <c r="K209" s="2" t="s">
        <v>2458</v>
      </c>
      <c r="L209" s="2" t="s">
        <v>2467</v>
      </c>
    </row>
    <row r="210" customFormat="false" ht="35.05" hidden="false" customHeight="false" outlineLevel="0" collapsed="false">
      <c r="A210" s="2" t="s">
        <v>567</v>
      </c>
      <c r="B210" s="2" t="n">
        <v>209</v>
      </c>
      <c r="C210" s="2" t="s">
        <v>2020</v>
      </c>
      <c r="D210" s="2" t="s">
        <v>686</v>
      </c>
      <c r="E210" s="2" t="s">
        <v>873</v>
      </c>
      <c r="F210" s="2" t="s">
        <v>912</v>
      </c>
      <c r="G210" s="2" t="s">
        <v>251</v>
      </c>
      <c r="H210" s="2" t="s">
        <v>940</v>
      </c>
      <c r="I210" s="2" t="s">
        <v>75</v>
      </c>
      <c r="J210" s="2" t="s">
        <v>1988</v>
      </c>
      <c r="K210" s="2" t="s">
        <v>2458</v>
      </c>
      <c r="L210" s="2" t="s">
        <v>2468</v>
      </c>
    </row>
    <row r="211" customFormat="false" ht="35.05" hidden="false" customHeight="false" outlineLevel="0" collapsed="false">
      <c r="A211" s="2" t="s">
        <v>568</v>
      </c>
      <c r="B211" s="2" t="n">
        <v>210</v>
      </c>
      <c r="C211" s="2" t="s">
        <v>2023</v>
      </c>
      <c r="D211" s="2" t="s">
        <v>686</v>
      </c>
      <c r="E211" s="2" t="s">
        <v>873</v>
      </c>
      <c r="F211" s="2" t="s">
        <v>912</v>
      </c>
      <c r="G211" s="2" t="s">
        <v>413</v>
      </c>
      <c r="H211" s="2" t="s">
        <v>918</v>
      </c>
      <c r="I211" s="2" t="s">
        <v>52</v>
      </c>
      <c r="J211" s="2" t="s">
        <v>1988</v>
      </c>
      <c r="K211" s="2" t="s">
        <v>2458</v>
      </c>
      <c r="L211" s="2" t="s">
        <v>2469</v>
      </c>
    </row>
    <row r="212" customFormat="false" ht="35.05" hidden="false" customHeight="false" outlineLevel="0" collapsed="false">
      <c r="A212" s="2" t="s">
        <v>569</v>
      </c>
      <c r="B212" s="2" t="n">
        <v>211</v>
      </c>
      <c r="C212" s="2" t="s">
        <v>2027</v>
      </c>
      <c r="D212" s="2" t="s">
        <v>686</v>
      </c>
      <c r="E212" s="2" t="s">
        <v>873</v>
      </c>
      <c r="F212" s="2" t="s">
        <v>912</v>
      </c>
      <c r="G212" s="2" t="s">
        <v>570</v>
      </c>
      <c r="H212" s="2" t="s">
        <v>988</v>
      </c>
      <c r="I212" s="2" t="s">
        <v>75</v>
      </c>
      <c r="J212" s="2" t="s">
        <v>1988</v>
      </c>
      <c r="K212" s="2" t="s">
        <v>2458</v>
      </c>
      <c r="L212" s="2" t="s">
        <v>2470</v>
      </c>
    </row>
    <row r="213" customFormat="false" ht="35.05" hidden="false" customHeight="false" outlineLevel="0" collapsed="false">
      <c r="A213" s="2" t="s">
        <v>571</v>
      </c>
      <c r="B213" s="2" t="n">
        <v>212</v>
      </c>
      <c r="C213" s="2" t="s">
        <v>2032</v>
      </c>
      <c r="D213" s="2" t="s">
        <v>686</v>
      </c>
      <c r="E213" s="2" t="s">
        <v>873</v>
      </c>
      <c r="F213" s="2" t="s">
        <v>912</v>
      </c>
      <c r="G213" s="2" t="s">
        <v>267</v>
      </c>
      <c r="H213" s="2" t="s">
        <v>949</v>
      </c>
      <c r="I213" s="2" t="s">
        <v>75</v>
      </c>
      <c r="J213" s="2" t="s">
        <v>1988</v>
      </c>
      <c r="K213" s="2" t="s">
        <v>2458</v>
      </c>
      <c r="L213" s="2" t="s">
        <v>2471</v>
      </c>
    </row>
    <row r="214" customFormat="false" ht="35.05" hidden="false" customHeight="false" outlineLevel="0" collapsed="false">
      <c r="A214" s="2" t="s">
        <v>572</v>
      </c>
      <c r="B214" s="2" t="n">
        <v>213</v>
      </c>
      <c r="C214" s="2" t="s">
        <v>2035</v>
      </c>
      <c r="D214" s="2" t="s">
        <v>686</v>
      </c>
      <c r="E214" s="2" t="s">
        <v>873</v>
      </c>
      <c r="F214" s="2" t="s">
        <v>912</v>
      </c>
      <c r="G214" s="2" t="s">
        <v>410</v>
      </c>
      <c r="H214" s="2" t="s">
        <v>980</v>
      </c>
      <c r="I214" s="2" t="s">
        <v>75</v>
      </c>
      <c r="J214" s="2" t="s">
        <v>1988</v>
      </c>
      <c r="K214" s="2" t="s">
        <v>2458</v>
      </c>
      <c r="L214" s="2" t="s">
        <v>2472</v>
      </c>
    </row>
    <row r="215" customFormat="false" ht="35.05" hidden="false" customHeight="false" outlineLevel="0" collapsed="false">
      <c r="A215" s="2" t="s">
        <v>573</v>
      </c>
      <c r="B215" s="2" t="n">
        <v>214</v>
      </c>
      <c r="C215" s="2" t="s">
        <v>2038</v>
      </c>
      <c r="D215" s="2" t="s">
        <v>686</v>
      </c>
      <c r="E215" s="2" t="s">
        <v>873</v>
      </c>
      <c r="F215" s="2" t="s">
        <v>912</v>
      </c>
      <c r="G215" s="2" t="s">
        <v>574</v>
      </c>
      <c r="H215" s="2" t="s">
        <v>989</v>
      </c>
      <c r="I215" s="2" t="s">
        <v>75</v>
      </c>
      <c r="J215" s="2" t="s">
        <v>1988</v>
      </c>
      <c r="K215" s="2" t="s">
        <v>2458</v>
      </c>
      <c r="L215" s="2" t="s">
        <v>2473</v>
      </c>
    </row>
    <row r="216" customFormat="false" ht="35.05" hidden="false" customHeight="false" outlineLevel="0" collapsed="false">
      <c r="A216" s="2" t="s">
        <v>575</v>
      </c>
      <c r="B216" s="2" t="n">
        <v>215</v>
      </c>
      <c r="C216" s="2" t="s">
        <v>2042</v>
      </c>
      <c r="D216" s="2" t="s">
        <v>686</v>
      </c>
      <c r="E216" s="2" t="s">
        <v>873</v>
      </c>
      <c r="F216" s="2" t="s">
        <v>912</v>
      </c>
      <c r="G216" s="2" t="s">
        <v>249</v>
      </c>
      <c r="H216" s="2" t="s">
        <v>990</v>
      </c>
      <c r="I216" s="2" t="s">
        <v>75</v>
      </c>
      <c r="J216" s="2" t="s">
        <v>1988</v>
      </c>
      <c r="K216" s="2" t="s">
        <v>2458</v>
      </c>
      <c r="L216" s="2" t="s">
        <v>2474</v>
      </c>
    </row>
    <row r="217" customFormat="false" ht="35.05" hidden="false" customHeight="false" outlineLevel="0" collapsed="false">
      <c r="A217" s="2" t="s">
        <v>576</v>
      </c>
      <c r="B217" s="2" t="n">
        <v>216</v>
      </c>
      <c r="C217" s="2" t="s">
        <v>2045</v>
      </c>
      <c r="D217" s="2" t="s">
        <v>686</v>
      </c>
      <c r="E217" s="2" t="s">
        <v>873</v>
      </c>
      <c r="F217" s="2" t="s">
        <v>912</v>
      </c>
      <c r="G217" s="2" t="s">
        <v>577</v>
      </c>
      <c r="H217" s="2" t="s">
        <v>991</v>
      </c>
      <c r="I217" s="2" t="s">
        <v>75</v>
      </c>
      <c r="J217" s="2" t="s">
        <v>1988</v>
      </c>
      <c r="K217" s="2" t="s">
        <v>2458</v>
      </c>
      <c r="L217" s="2" t="s">
        <v>2475</v>
      </c>
    </row>
    <row r="218" customFormat="false" ht="35.05" hidden="false" customHeight="false" outlineLevel="0" collapsed="false">
      <c r="A218" s="2" t="s">
        <v>578</v>
      </c>
      <c r="B218" s="2" t="n">
        <v>217</v>
      </c>
      <c r="C218" s="2" t="s">
        <v>2050</v>
      </c>
      <c r="D218" s="2" t="s">
        <v>686</v>
      </c>
      <c r="E218" s="2" t="s">
        <v>873</v>
      </c>
      <c r="F218" s="2" t="s">
        <v>912</v>
      </c>
      <c r="G218" s="2" t="s">
        <v>289</v>
      </c>
      <c r="H218" s="2" t="s">
        <v>975</v>
      </c>
      <c r="I218" s="2" t="s">
        <v>52</v>
      </c>
      <c r="J218" s="2" t="s">
        <v>1988</v>
      </c>
      <c r="K218" s="2" t="s">
        <v>2458</v>
      </c>
      <c r="L218" s="2" t="s">
        <v>2476</v>
      </c>
    </row>
    <row r="219" customFormat="false" ht="35.05" hidden="false" customHeight="false" outlineLevel="0" collapsed="false">
      <c r="A219" s="2" t="s">
        <v>579</v>
      </c>
      <c r="B219" s="2" t="n">
        <v>218</v>
      </c>
      <c r="C219" s="2" t="s">
        <v>2053</v>
      </c>
      <c r="D219" s="2" t="s">
        <v>686</v>
      </c>
      <c r="E219" s="2" t="s">
        <v>873</v>
      </c>
      <c r="F219" s="2" t="s">
        <v>912</v>
      </c>
      <c r="G219" s="2" t="s">
        <v>219</v>
      </c>
      <c r="H219" s="2" t="s">
        <v>919</v>
      </c>
      <c r="I219" s="2" t="s">
        <v>52</v>
      </c>
      <c r="J219" s="2" t="s">
        <v>1988</v>
      </c>
      <c r="K219" s="2" t="s">
        <v>2458</v>
      </c>
      <c r="L219" s="2" t="s">
        <v>2477</v>
      </c>
    </row>
    <row r="220" customFormat="false" ht="35.05" hidden="false" customHeight="false" outlineLevel="0" collapsed="false">
      <c r="A220" s="2" t="s">
        <v>580</v>
      </c>
      <c r="B220" s="2" t="n">
        <v>219</v>
      </c>
      <c r="C220" s="2" t="s">
        <v>2057</v>
      </c>
      <c r="D220" s="2" t="s">
        <v>686</v>
      </c>
      <c r="E220" s="2" t="s">
        <v>873</v>
      </c>
      <c r="F220" s="2" t="s">
        <v>912</v>
      </c>
      <c r="G220" s="2" t="s">
        <v>581</v>
      </c>
      <c r="H220" s="2" t="s">
        <v>993</v>
      </c>
      <c r="I220" s="2" t="s">
        <v>69</v>
      </c>
      <c r="J220" s="2" t="s">
        <v>1988</v>
      </c>
      <c r="K220" s="2" t="s">
        <v>2458</v>
      </c>
      <c r="L220" s="2" t="s">
        <v>2478</v>
      </c>
    </row>
    <row r="221" customFormat="false" ht="35.05" hidden="false" customHeight="false" outlineLevel="0" collapsed="false">
      <c r="A221" s="2" t="s">
        <v>582</v>
      </c>
      <c r="B221" s="2" t="n">
        <v>220</v>
      </c>
      <c r="C221" s="2" t="s">
        <v>2060</v>
      </c>
      <c r="D221" s="2" t="s">
        <v>686</v>
      </c>
      <c r="E221" s="2" t="s">
        <v>873</v>
      </c>
      <c r="F221" s="2" t="s">
        <v>912</v>
      </c>
      <c r="G221" s="2" t="s">
        <v>285</v>
      </c>
      <c r="H221" s="2" t="s">
        <v>971</v>
      </c>
      <c r="I221" s="2" t="s">
        <v>69</v>
      </c>
      <c r="J221" s="2" t="s">
        <v>1988</v>
      </c>
      <c r="K221" s="2" t="s">
        <v>2458</v>
      </c>
      <c r="L221" s="2" t="s">
        <v>2479</v>
      </c>
    </row>
    <row r="222" customFormat="false" ht="35.05" hidden="false" customHeight="false" outlineLevel="0" collapsed="false">
      <c r="A222" s="2" t="s">
        <v>583</v>
      </c>
      <c r="B222" s="2" t="n">
        <v>221</v>
      </c>
      <c r="C222" s="2" t="s">
        <v>2063</v>
      </c>
      <c r="D222" s="2" t="s">
        <v>686</v>
      </c>
      <c r="E222" s="2" t="s">
        <v>873</v>
      </c>
      <c r="F222" s="2" t="s">
        <v>912</v>
      </c>
      <c r="G222" s="2" t="s">
        <v>372</v>
      </c>
      <c r="H222" s="2" t="s">
        <v>955</v>
      </c>
      <c r="I222" s="2" t="s">
        <v>71</v>
      </c>
      <c r="J222" s="2" t="s">
        <v>1988</v>
      </c>
      <c r="K222" s="2" t="s">
        <v>2458</v>
      </c>
      <c r="L222" s="2" t="s">
        <v>2480</v>
      </c>
    </row>
    <row r="223" customFormat="false" ht="35.05" hidden="false" customHeight="false" outlineLevel="0" collapsed="false">
      <c r="A223" s="2" t="s">
        <v>584</v>
      </c>
      <c r="B223" s="2" t="n">
        <v>222</v>
      </c>
      <c r="C223" s="2" t="s">
        <v>2066</v>
      </c>
      <c r="D223" s="2" t="s">
        <v>686</v>
      </c>
      <c r="E223" s="2" t="s">
        <v>873</v>
      </c>
      <c r="F223" s="2" t="s">
        <v>912</v>
      </c>
      <c r="G223" s="2" t="s">
        <v>494</v>
      </c>
      <c r="H223" s="2" t="s">
        <v>939</v>
      </c>
      <c r="I223" s="2" t="s">
        <v>71</v>
      </c>
      <c r="J223" s="2" t="s">
        <v>1988</v>
      </c>
      <c r="K223" s="2" t="s">
        <v>2458</v>
      </c>
      <c r="L223" s="2" t="s">
        <v>2481</v>
      </c>
    </row>
    <row r="224" customFormat="false" ht="35.05" hidden="false" customHeight="false" outlineLevel="0" collapsed="false">
      <c r="A224" s="2" t="s">
        <v>585</v>
      </c>
      <c r="B224" s="2" t="n">
        <v>223</v>
      </c>
      <c r="C224" s="2" t="s">
        <v>2069</v>
      </c>
      <c r="D224" s="2" t="s">
        <v>686</v>
      </c>
      <c r="E224" s="2" t="s">
        <v>873</v>
      </c>
      <c r="F224" s="2" t="s">
        <v>912</v>
      </c>
      <c r="G224" s="2" t="s">
        <v>309</v>
      </c>
      <c r="H224" s="2" t="s">
        <v>979</v>
      </c>
      <c r="I224" s="2" t="s">
        <v>71</v>
      </c>
      <c r="J224" s="2" t="s">
        <v>1988</v>
      </c>
      <c r="K224" s="2" t="s">
        <v>2458</v>
      </c>
      <c r="L224" s="2" t="s">
        <v>2482</v>
      </c>
    </row>
    <row r="225" customFormat="false" ht="35.05" hidden="false" customHeight="false" outlineLevel="0" collapsed="false">
      <c r="A225" s="2" t="s">
        <v>586</v>
      </c>
      <c r="B225" s="2" t="n">
        <v>224</v>
      </c>
      <c r="C225" s="2" t="s">
        <v>2072</v>
      </c>
      <c r="D225" s="2" t="s">
        <v>686</v>
      </c>
      <c r="E225" s="2" t="s">
        <v>873</v>
      </c>
      <c r="F225" s="2" t="s">
        <v>912</v>
      </c>
      <c r="G225" s="2" t="s">
        <v>257</v>
      </c>
      <c r="H225" s="2" t="s">
        <v>942</v>
      </c>
      <c r="I225" s="2" t="s">
        <v>45</v>
      </c>
      <c r="J225" s="2" t="s">
        <v>1988</v>
      </c>
      <c r="K225" s="2" t="s">
        <v>2458</v>
      </c>
      <c r="L225" s="2" t="s">
        <v>2483</v>
      </c>
    </row>
    <row r="226" customFormat="false" ht="35.05" hidden="false" customHeight="false" outlineLevel="0" collapsed="false">
      <c r="A226" s="2" t="s">
        <v>587</v>
      </c>
      <c r="B226" s="2" t="n">
        <v>225</v>
      </c>
      <c r="C226" s="2" t="s">
        <v>2075</v>
      </c>
      <c r="D226" s="2" t="s">
        <v>686</v>
      </c>
      <c r="E226" s="2" t="s">
        <v>873</v>
      </c>
      <c r="F226" s="2" t="s">
        <v>912</v>
      </c>
      <c r="G226" s="2" t="s">
        <v>549</v>
      </c>
      <c r="H226" s="2" t="s">
        <v>978</v>
      </c>
      <c r="I226" s="2" t="s">
        <v>45</v>
      </c>
      <c r="J226" s="2" t="s">
        <v>1988</v>
      </c>
      <c r="K226" s="2" t="s">
        <v>2458</v>
      </c>
      <c r="L226" s="2" t="s">
        <v>2484</v>
      </c>
    </row>
    <row r="227" customFormat="false" ht="35.05" hidden="false" customHeight="false" outlineLevel="0" collapsed="false">
      <c r="A227" s="2" t="s">
        <v>588</v>
      </c>
      <c r="B227" s="2" t="n">
        <v>226</v>
      </c>
      <c r="C227" s="2" t="s">
        <v>2078</v>
      </c>
      <c r="D227" s="2" t="s">
        <v>686</v>
      </c>
      <c r="E227" s="2" t="s">
        <v>873</v>
      </c>
      <c r="F227" s="2" t="s">
        <v>912</v>
      </c>
      <c r="G227" s="2" t="s">
        <v>235</v>
      </c>
      <c r="H227" s="2" t="s">
        <v>932</v>
      </c>
      <c r="I227" s="2" t="s">
        <v>45</v>
      </c>
      <c r="J227" s="2" t="s">
        <v>1988</v>
      </c>
      <c r="K227" s="2" t="s">
        <v>2458</v>
      </c>
      <c r="L227" s="2" t="s">
        <v>2485</v>
      </c>
    </row>
    <row r="228" customFormat="false" ht="35.05" hidden="false" customHeight="false" outlineLevel="0" collapsed="false">
      <c r="A228" s="2" t="s">
        <v>589</v>
      </c>
      <c r="B228" s="2" t="n">
        <v>227</v>
      </c>
      <c r="C228" s="2" t="s">
        <v>2081</v>
      </c>
      <c r="D228" s="2" t="s">
        <v>686</v>
      </c>
      <c r="E228" s="2" t="s">
        <v>873</v>
      </c>
      <c r="F228" s="2" t="s">
        <v>912</v>
      </c>
      <c r="G228" s="2" t="s">
        <v>232</v>
      </c>
      <c r="H228" s="2" t="s">
        <v>931</v>
      </c>
      <c r="I228" s="2" t="s">
        <v>45</v>
      </c>
      <c r="J228" s="2" t="s">
        <v>1988</v>
      </c>
      <c r="K228" s="2" t="s">
        <v>2458</v>
      </c>
      <c r="L228" s="2" t="s">
        <v>2486</v>
      </c>
    </row>
    <row r="229" customFormat="false" ht="35.05" hidden="false" customHeight="false" outlineLevel="0" collapsed="false">
      <c r="A229" s="2" t="s">
        <v>590</v>
      </c>
      <c r="B229" s="2" t="n">
        <v>228</v>
      </c>
      <c r="C229" s="2" t="s">
        <v>2084</v>
      </c>
      <c r="D229" s="2" t="s">
        <v>686</v>
      </c>
      <c r="E229" s="2" t="s">
        <v>873</v>
      </c>
      <c r="F229" s="2" t="s">
        <v>912</v>
      </c>
      <c r="G229" s="2" t="s">
        <v>522</v>
      </c>
      <c r="H229" s="2" t="s">
        <v>994</v>
      </c>
      <c r="I229" s="2" t="s">
        <v>69</v>
      </c>
      <c r="J229" s="2" t="s">
        <v>1988</v>
      </c>
      <c r="K229" s="2" t="s">
        <v>2458</v>
      </c>
      <c r="L229" s="2" t="s">
        <v>2487</v>
      </c>
    </row>
    <row r="230" customFormat="false" ht="35.05" hidden="false" customHeight="false" outlineLevel="0" collapsed="false">
      <c r="A230" s="2" t="s">
        <v>591</v>
      </c>
      <c r="B230" s="2" t="n">
        <v>229</v>
      </c>
      <c r="C230" s="2" t="s">
        <v>2087</v>
      </c>
      <c r="D230" s="2" t="s">
        <v>686</v>
      </c>
      <c r="E230" s="2" t="s">
        <v>873</v>
      </c>
      <c r="F230" s="2" t="s">
        <v>912</v>
      </c>
      <c r="G230" s="2" t="s">
        <v>524</v>
      </c>
      <c r="H230" s="2" t="s">
        <v>995</v>
      </c>
      <c r="I230" s="2" t="s">
        <v>45</v>
      </c>
      <c r="J230" s="2" t="s">
        <v>1988</v>
      </c>
      <c r="K230" s="2" t="s">
        <v>2458</v>
      </c>
      <c r="L230" s="2" t="s">
        <v>2488</v>
      </c>
    </row>
    <row r="231" customFormat="false" ht="35.05" hidden="false" customHeight="false" outlineLevel="0" collapsed="false">
      <c r="A231" s="2" t="s">
        <v>592</v>
      </c>
      <c r="B231" s="2" t="n">
        <v>230</v>
      </c>
      <c r="C231" s="2" t="s">
        <v>2090</v>
      </c>
      <c r="D231" s="2" t="s">
        <v>686</v>
      </c>
      <c r="E231" s="2" t="s">
        <v>873</v>
      </c>
      <c r="F231" s="2" t="s">
        <v>912</v>
      </c>
      <c r="G231" s="2" t="s">
        <v>229</v>
      </c>
      <c r="H231" s="2" t="s">
        <v>929</v>
      </c>
      <c r="I231" s="2" t="s">
        <v>45</v>
      </c>
      <c r="J231" s="2" t="s">
        <v>1988</v>
      </c>
      <c r="K231" s="2" t="s">
        <v>2458</v>
      </c>
      <c r="L231" s="2" t="s">
        <v>2489</v>
      </c>
    </row>
    <row r="232" customFormat="false" ht="35.05" hidden="false" customHeight="false" outlineLevel="0" collapsed="false">
      <c r="A232" s="2" t="s">
        <v>593</v>
      </c>
      <c r="B232" s="2" t="n">
        <v>231</v>
      </c>
      <c r="C232" s="2" t="s">
        <v>2093</v>
      </c>
      <c r="D232" s="2" t="s">
        <v>686</v>
      </c>
      <c r="E232" s="2" t="s">
        <v>873</v>
      </c>
      <c r="F232" s="2" t="s">
        <v>912</v>
      </c>
      <c r="G232" s="2" t="s">
        <v>481</v>
      </c>
      <c r="H232" s="2" t="s">
        <v>928</v>
      </c>
      <c r="I232" s="2" t="s">
        <v>45</v>
      </c>
      <c r="J232" s="2" t="s">
        <v>1988</v>
      </c>
      <c r="K232" s="2" t="s">
        <v>2458</v>
      </c>
      <c r="L232" s="2" t="s">
        <v>2490</v>
      </c>
    </row>
    <row r="233" customFormat="false" ht="35.05" hidden="false" customHeight="false" outlineLevel="0" collapsed="false">
      <c r="A233" s="2" t="s">
        <v>594</v>
      </c>
      <c r="B233" s="2" t="n">
        <v>232</v>
      </c>
      <c r="C233" s="2" t="s">
        <v>2096</v>
      </c>
      <c r="D233" s="2" t="s">
        <v>686</v>
      </c>
      <c r="E233" s="2" t="s">
        <v>873</v>
      </c>
      <c r="F233" s="2" t="s">
        <v>912</v>
      </c>
      <c r="G233" s="2" t="s">
        <v>359</v>
      </c>
      <c r="H233" s="2" t="s">
        <v>944</v>
      </c>
      <c r="I233" s="2" t="s">
        <v>75</v>
      </c>
      <c r="J233" s="2" t="s">
        <v>1988</v>
      </c>
      <c r="K233" s="2" t="s">
        <v>2458</v>
      </c>
      <c r="L233" s="2" t="s">
        <v>2491</v>
      </c>
    </row>
    <row r="234" customFormat="false" ht="35.05" hidden="false" customHeight="false" outlineLevel="0" collapsed="false">
      <c r="A234" s="2" t="s">
        <v>595</v>
      </c>
      <c r="B234" s="2" t="n">
        <v>233</v>
      </c>
      <c r="C234" s="2" t="s">
        <v>2099</v>
      </c>
      <c r="D234" s="2" t="s">
        <v>686</v>
      </c>
      <c r="E234" s="2" t="s">
        <v>873</v>
      </c>
      <c r="F234" s="2" t="s">
        <v>912</v>
      </c>
      <c r="G234" s="2" t="s">
        <v>221</v>
      </c>
      <c r="H234" s="2" t="s">
        <v>921</v>
      </c>
      <c r="I234" s="2" t="s">
        <v>75</v>
      </c>
      <c r="J234" s="2" t="s">
        <v>1988</v>
      </c>
      <c r="K234" s="2" t="s">
        <v>2458</v>
      </c>
      <c r="L234" s="2" t="s">
        <v>2492</v>
      </c>
    </row>
    <row r="235" customFormat="false" ht="35.05" hidden="false" customHeight="false" outlineLevel="0" collapsed="false">
      <c r="A235" s="2" t="s">
        <v>596</v>
      </c>
      <c r="B235" s="2" t="n">
        <v>234</v>
      </c>
      <c r="C235" s="2" t="s">
        <v>2103</v>
      </c>
      <c r="D235" s="2" t="s">
        <v>686</v>
      </c>
      <c r="E235" s="2" t="s">
        <v>873</v>
      </c>
      <c r="F235" s="2" t="s">
        <v>912</v>
      </c>
      <c r="G235" s="2" t="s">
        <v>214</v>
      </c>
      <c r="H235" s="2" t="s">
        <v>916</v>
      </c>
      <c r="I235" s="2" t="s">
        <v>75</v>
      </c>
      <c r="J235" s="2" t="s">
        <v>1988</v>
      </c>
      <c r="K235" s="2" t="s">
        <v>2458</v>
      </c>
      <c r="L235" s="2" t="s">
        <v>2493</v>
      </c>
    </row>
    <row r="236" customFormat="false" ht="35.05" hidden="false" customHeight="false" outlineLevel="0" collapsed="false">
      <c r="A236" s="2" t="s">
        <v>597</v>
      </c>
      <c r="B236" s="2" t="n">
        <v>235</v>
      </c>
      <c r="C236" s="2" t="s">
        <v>2107</v>
      </c>
      <c r="D236" s="2" t="s">
        <v>686</v>
      </c>
      <c r="E236" s="2" t="s">
        <v>873</v>
      </c>
      <c r="F236" s="2" t="s">
        <v>912</v>
      </c>
      <c r="G236" s="2" t="s">
        <v>598</v>
      </c>
      <c r="H236" s="2" t="s">
        <v>996</v>
      </c>
      <c r="I236" s="2" t="s">
        <v>75</v>
      </c>
      <c r="J236" s="2" t="s">
        <v>1988</v>
      </c>
      <c r="K236" s="2" t="s">
        <v>2458</v>
      </c>
      <c r="L236" s="2" t="s">
        <v>2494</v>
      </c>
    </row>
    <row r="237" customFormat="false" ht="35.05" hidden="false" customHeight="false" outlineLevel="0" collapsed="false">
      <c r="A237" s="2" t="s">
        <v>599</v>
      </c>
      <c r="B237" s="2" t="n">
        <v>236</v>
      </c>
      <c r="C237" s="2" t="s">
        <v>2111</v>
      </c>
      <c r="D237" s="2" t="s">
        <v>686</v>
      </c>
      <c r="E237" s="2" t="s">
        <v>873</v>
      </c>
      <c r="F237" s="2" t="s">
        <v>912</v>
      </c>
      <c r="G237" s="2" t="s">
        <v>510</v>
      </c>
      <c r="H237" s="2" t="s">
        <v>950</v>
      </c>
      <c r="I237" s="2" t="s">
        <v>75</v>
      </c>
      <c r="J237" s="2" t="s">
        <v>1988</v>
      </c>
      <c r="K237" s="2" t="s">
        <v>2458</v>
      </c>
      <c r="L237" s="2" t="s">
        <v>2495</v>
      </c>
    </row>
    <row r="238" customFormat="false" ht="35.05" hidden="false" customHeight="false" outlineLevel="0" collapsed="false">
      <c r="A238" s="2" t="s">
        <v>600</v>
      </c>
      <c r="B238" s="2" t="n">
        <v>237</v>
      </c>
      <c r="C238" s="2" t="s">
        <v>2114</v>
      </c>
      <c r="D238" s="2" t="s">
        <v>686</v>
      </c>
      <c r="E238" s="2" t="s">
        <v>873</v>
      </c>
      <c r="F238" s="2" t="s">
        <v>912</v>
      </c>
      <c r="G238" s="2" t="s">
        <v>460</v>
      </c>
      <c r="H238" s="2" t="s">
        <v>914</v>
      </c>
      <c r="I238" s="2" t="s">
        <v>75</v>
      </c>
      <c r="J238" s="2" t="s">
        <v>1988</v>
      </c>
      <c r="K238" s="2" t="s">
        <v>2458</v>
      </c>
      <c r="L238" s="2" t="s">
        <v>2496</v>
      </c>
    </row>
    <row r="239" customFormat="false" ht="35.05" hidden="false" customHeight="false" outlineLevel="0" collapsed="false">
      <c r="A239" s="2" t="s">
        <v>601</v>
      </c>
      <c r="B239" s="2" t="n">
        <v>238</v>
      </c>
      <c r="C239" s="2" t="s">
        <v>2118</v>
      </c>
      <c r="D239" s="2" t="s">
        <v>686</v>
      </c>
      <c r="E239" s="2" t="s">
        <v>873</v>
      </c>
      <c r="F239" s="2" t="s">
        <v>912</v>
      </c>
      <c r="G239" s="2" t="s">
        <v>479</v>
      </c>
      <c r="H239" s="2" t="s">
        <v>927</v>
      </c>
      <c r="I239" s="2" t="s">
        <v>75</v>
      </c>
      <c r="J239" s="2" t="s">
        <v>1988</v>
      </c>
      <c r="K239" s="2" t="s">
        <v>2458</v>
      </c>
      <c r="L239" s="2" t="s">
        <v>2497</v>
      </c>
    </row>
    <row r="240" customFormat="false" ht="35.05" hidden="false" customHeight="false" outlineLevel="0" collapsed="false">
      <c r="A240" s="2" t="s">
        <v>602</v>
      </c>
      <c r="B240" s="2" t="n">
        <v>239</v>
      </c>
      <c r="C240" s="2" t="s">
        <v>2121</v>
      </c>
      <c r="D240" s="2" t="s">
        <v>686</v>
      </c>
      <c r="E240" s="2" t="s">
        <v>873</v>
      </c>
      <c r="F240" s="2" t="s">
        <v>912</v>
      </c>
      <c r="G240" s="2" t="s">
        <v>227</v>
      </c>
      <c r="H240" s="2" t="s">
        <v>926</v>
      </c>
      <c r="I240" s="2" t="s">
        <v>75</v>
      </c>
      <c r="J240" s="2" t="s">
        <v>1988</v>
      </c>
      <c r="K240" s="2" t="s">
        <v>2458</v>
      </c>
      <c r="L240" s="2" t="s">
        <v>2498</v>
      </c>
    </row>
    <row r="241" customFormat="false" ht="35.05" hidden="false" customHeight="false" outlineLevel="0" collapsed="false">
      <c r="A241" s="2" t="s">
        <v>603</v>
      </c>
      <c r="B241" s="2" t="n">
        <v>240</v>
      </c>
      <c r="C241" s="2" t="s">
        <v>2124</v>
      </c>
      <c r="D241" s="2" t="s">
        <v>686</v>
      </c>
      <c r="E241" s="2" t="s">
        <v>873</v>
      </c>
      <c r="F241" s="2" t="s">
        <v>912</v>
      </c>
      <c r="G241" s="2" t="s">
        <v>465</v>
      </c>
      <c r="H241" s="2" t="s">
        <v>917</v>
      </c>
      <c r="I241" s="2" t="s">
        <v>75</v>
      </c>
      <c r="J241" s="2" t="s">
        <v>1988</v>
      </c>
      <c r="K241" s="2" t="s">
        <v>2458</v>
      </c>
      <c r="L241" s="2" t="s">
        <v>2499</v>
      </c>
    </row>
    <row r="242" customFormat="false" ht="35.05" hidden="false" customHeight="false" outlineLevel="0" collapsed="false">
      <c r="A242" s="2" t="s">
        <v>604</v>
      </c>
      <c r="B242" s="2" t="n">
        <v>241</v>
      </c>
      <c r="C242" s="2" t="s">
        <v>2128</v>
      </c>
      <c r="D242" s="2" t="s">
        <v>686</v>
      </c>
      <c r="E242" s="2" t="s">
        <v>873</v>
      </c>
      <c r="F242" s="2" t="s">
        <v>912</v>
      </c>
      <c r="G242" s="2" t="s">
        <v>342</v>
      </c>
      <c r="H242" s="2" t="s">
        <v>922</v>
      </c>
      <c r="I242" s="2" t="s">
        <v>66</v>
      </c>
      <c r="J242" s="2" t="s">
        <v>1988</v>
      </c>
      <c r="K242" s="2" t="s">
        <v>2458</v>
      </c>
      <c r="L242" s="2" t="s">
        <v>2500</v>
      </c>
    </row>
    <row r="243" customFormat="false" ht="35.05" hidden="false" customHeight="false" outlineLevel="0" collapsed="false">
      <c r="A243" s="2" t="s">
        <v>605</v>
      </c>
      <c r="B243" s="2" t="n">
        <v>242</v>
      </c>
      <c r="C243" s="2" t="s">
        <v>2132</v>
      </c>
      <c r="D243" s="2" t="s">
        <v>686</v>
      </c>
      <c r="E243" s="2" t="s">
        <v>873</v>
      </c>
      <c r="F243" s="2" t="s">
        <v>912</v>
      </c>
      <c r="G243" s="2" t="s">
        <v>526</v>
      </c>
      <c r="H243" s="2" t="s">
        <v>961</v>
      </c>
      <c r="I243" s="2" t="s">
        <v>66</v>
      </c>
      <c r="J243" s="2" t="s">
        <v>1988</v>
      </c>
      <c r="K243" s="2" t="s">
        <v>2458</v>
      </c>
      <c r="L243" s="2" t="s">
        <v>2501</v>
      </c>
    </row>
    <row r="244" customFormat="false" ht="35.05" hidden="false" customHeight="false" outlineLevel="0" collapsed="false">
      <c r="A244" s="2" t="s">
        <v>606</v>
      </c>
      <c r="B244" s="2" t="n">
        <v>243</v>
      </c>
      <c r="C244" s="2" t="s">
        <v>2135</v>
      </c>
      <c r="D244" s="2" t="s">
        <v>686</v>
      </c>
      <c r="E244" s="2" t="s">
        <v>873</v>
      </c>
      <c r="F244" s="2" t="s">
        <v>912</v>
      </c>
      <c r="G244" s="2" t="s">
        <v>476</v>
      </c>
      <c r="H244" s="2" t="s">
        <v>925</v>
      </c>
      <c r="I244" s="2" t="s">
        <v>69</v>
      </c>
      <c r="J244" s="2" t="s">
        <v>1988</v>
      </c>
      <c r="K244" s="2" t="s">
        <v>2458</v>
      </c>
      <c r="L244" s="2" t="s">
        <v>2502</v>
      </c>
    </row>
    <row r="245" customFormat="false" ht="35.05" hidden="false" customHeight="false" outlineLevel="0" collapsed="false">
      <c r="A245" s="2" t="s">
        <v>607</v>
      </c>
      <c r="B245" s="2" t="n">
        <v>244</v>
      </c>
      <c r="C245" s="2" t="s">
        <v>2138</v>
      </c>
      <c r="D245" s="2" t="s">
        <v>686</v>
      </c>
      <c r="E245" s="2" t="s">
        <v>873</v>
      </c>
      <c r="F245" s="2" t="s">
        <v>912</v>
      </c>
      <c r="G245" s="2" t="s">
        <v>608</v>
      </c>
      <c r="H245" s="2" t="s">
        <v>997</v>
      </c>
      <c r="I245" s="2" t="s">
        <v>45</v>
      </c>
      <c r="J245" s="2" t="s">
        <v>1988</v>
      </c>
      <c r="K245" s="2" t="s">
        <v>2458</v>
      </c>
      <c r="L245" s="2" t="s">
        <v>2503</v>
      </c>
    </row>
    <row r="246" customFormat="false" ht="35.05" hidden="false" customHeight="false" outlineLevel="0" collapsed="false">
      <c r="A246" s="2" t="s">
        <v>609</v>
      </c>
      <c r="B246" s="2" t="n">
        <v>245</v>
      </c>
      <c r="C246" s="2" t="s">
        <v>2143</v>
      </c>
      <c r="D246" s="2" t="s">
        <v>686</v>
      </c>
      <c r="E246" s="2" t="s">
        <v>873</v>
      </c>
      <c r="F246" s="2" t="s">
        <v>912</v>
      </c>
      <c r="G246" s="2" t="s">
        <v>243</v>
      </c>
      <c r="H246" s="2" t="s">
        <v>936</v>
      </c>
      <c r="I246" s="2" t="s">
        <v>45</v>
      </c>
      <c r="J246" s="2" t="s">
        <v>1988</v>
      </c>
      <c r="K246" s="2" t="s">
        <v>2458</v>
      </c>
      <c r="L246" s="2" t="s">
        <v>2504</v>
      </c>
    </row>
    <row r="247" customFormat="false" ht="35.05" hidden="false" customHeight="false" outlineLevel="0" collapsed="false">
      <c r="A247" s="2" t="s">
        <v>610</v>
      </c>
      <c r="B247" s="2" t="n">
        <v>246</v>
      </c>
      <c r="C247" s="2" t="s">
        <v>2146</v>
      </c>
      <c r="D247" s="2" t="s">
        <v>686</v>
      </c>
      <c r="E247" s="2" t="s">
        <v>873</v>
      </c>
      <c r="F247" s="2" t="s">
        <v>912</v>
      </c>
      <c r="G247" s="2" t="s">
        <v>241</v>
      </c>
      <c r="H247" s="2" t="s">
        <v>998</v>
      </c>
      <c r="I247" s="2" t="s">
        <v>45</v>
      </c>
      <c r="J247" s="2" t="s">
        <v>1988</v>
      </c>
      <c r="K247" s="2" t="s">
        <v>2458</v>
      </c>
      <c r="L247" s="2" t="s">
        <v>2505</v>
      </c>
    </row>
    <row r="248" customFormat="false" ht="35.05" hidden="false" customHeight="false" outlineLevel="0" collapsed="false">
      <c r="A248" s="2" t="s">
        <v>611</v>
      </c>
      <c r="B248" s="2" t="n">
        <v>247</v>
      </c>
      <c r="C248" s="2" t="s">
        <v>2149</v>
      </c>
      <c r="D248" s="2" t="s">
        <v>686</v>
      </c>
      <c r="E248" s="2" t="s">
        <v>873</v>
      </c>
      <c r="F248" s="2" t="s">
        <v>912</v>
      </c>
      <c r="G248" s="2" t="s">
        <v>532</v>
      </c>
      <c r="H248" s="2" t="s">
        <v>964</v>
      </c>
      <c r="I248" s="2" t="s">
        <v>45</v>
      </c>
      <c r="J248" s="2" t="s">
        <v>1988</v>
      </c>
      <c r="K248" s="2" t="s">
        <v>2458</v>
      </c>
      <c r="L248" s="2" t="s">
        <v>2506</v>
      </c>
    </row>
    <row r="249" customFormat="false" ht="35.05" hidden="false" customHeight="false" outlineLevel="0" collapsed="false">
      <c r="A249" s="2" t="s">
        <v>612</v>
      </c>
      <c r="B249" s="2" t="n">
        <v>248</v>
      </c>
      <c r="C249" s="2" t="s">
        <v>2152</v>
      </c>
      <c r="D249" s="2" t="s">
        <v>686</v>
      </c>
      <c r="E249" s="2" t="s">
        <v>873</v>
      </c>
      <c r="F249" s="2" t="s">
        <v>912</v>
      </c>
      <c r="G249" s="2" t="s">
        <v>530</v>
      </c>
      <c r="H249" s="2" t="s">
        <v>999</v>
      </c>
      <c r="I249" s="2" t="s">
        <v>45</v>
      </c>
      <c r="J249" s="2" t="s">
        <v>1988</v>
      </c>
      <c r="K249" s="2" t="s">
        <v>2458</v>
      </c>
      <c r="L249" s="2" t="s">
        <v>2507</v>
      </c>
    </row>
    <row r="250" customFormat="false" ht="35.05" hidden="false" customHeight="false" outlineLevel="0" collapsed="false">
      <c r="A250" s="2" t="s">
        <v>613</v>
      </c>
      <c r="B250" s="2" t="n">
        <v>249</v>
      </c>
      <c r="C250" s="2" t="s">
        <v>2155</v>
      </c>
      <c r="D250" s="2" t="s">
        <v>686</v>
      </c>
      <c r="E250" s="2" t="s">
        <v>873</v>
      </c>
      <c r="F250" s="2" t="s">
        <v>912</v>
      </c>
      <c r="G250" s="2" t="s">
        <v>528</v>
      </c>
      <c r="H250" s="2" t="s">
        <v>1000</v>
      </c>
      <c r="I250" s="2" t="s">
        <v>75</v>
      </c>
      <c r="J250" s="2" t="s">
        <v>1988</v>
      </c>
      <c r="K250" s="2" t="s">
        <v>2458</v>
      </c>
      <c r="L250" s="2" t="s">
        <v>2508</v>
      </c>
    </row>
    <row r="251" customFormat="false" ht="35.05" hidden="false" customHeight="false" outlineLevel="0" collapsed="false">
      <c r="A251" s="2" t="s">
        <v>614</v>
      </c>
      <c r="B251" s="2" t="n">
        <v>250</v>
      </c>
      <c r="C251" s="2" t="s">
        <v>2158</v>
      </c>
      <c r="D251" s="2" t="s">
        <v>686</v>
      </c>
      <c r="E251" s="2" t="s">
        <v>873</v>
      </c>
      <c r="F251" s="2" t="s">
        <v>912</v>
      </c>
      <c r="G251" s="2" t="s">
        <v>239</v>
      </c>
      <c r="H251" s="2" t="s">
        <v>934</v>
      </c>
      <c r="I251" s="2" t="s">
        <v>45</v>
      </c>
      <c r="J251" s="2" t="s">
        <v>1988</v>
      </c>
      <c r="K251" s="2" t="s">
        <v>2458</v>
      </c>
      <c r="L251" s="2" t="s">
        <v>2509</v>
      </c>
    </row>
    <row r="252" customFormat="false" ht="35.05" hidden="false" customHeight="false" outlineLevel="0" collapsed="false">
      <c r="A252" s="2" t="s">
        <v>615</v>
      </c>
      <c r="B252" s="2" t="n">
        <v>251</v>
      </c>
      <c r="C252" s="2" t="s">
        <v>2161</v>
      </c>
      <c r="D252" s="2" t="s">
        <v>686</v>
      </c>
      <c r="E252" s="2" t="s">
        <v>873</v>
      </c>
      <c r="F252" s="2" t="s">
        <v>912</v>
      </c>
      <c r="G252" s="2" t="s">
        <v>489</v>
      </c>
      <c r="H252" s="2" t="s">
        <v>935</v>
      </c>
      <c r="I252" s="2" t="s">
        <v>45</v>
      </c>
      <c r="J252" s="2" t="s">
        <v>1988</v>
      </c>
      <c r="K252" s="2" t="s">
        <v>2458</v>
      </c>
      <c r="L252" s="2" t="s">
        <v>2510</v>
      </c>
    </row>
    <row r="253" customFormat="false" ht="35.05" hidden="false" customHeight="false" outlineLevel="0" collapsed="false">
      <c r="A253" s="2" t="s">
        <v>616</v>
      </c>
      <c r="B253" s="2" t="n">
        <v>252</v>
      </c>
      <c r="C253" s="2" t="s">
        <v>2164</v>
      </c>
      <c r="D253" s="2" t="s">
        <v>686</v>
      </c>
      <c r="E253" s="2" t="s">
        <v>873</v>
      </c>
      <c r="F253" s="2" t="s">
        <v>912</v>
      </c>
      <c r="G253" s="2" t="s">
        <v>484</v>
      </c>
      <c r="H253" s="2" t="s">
        <v>930</v>
      </c>
      <c r="I253" s="2" t="s">
        <v>58</v>
      </c>
      <c r="J253" s="2" t="s">
        <v>1988</v>
      </c>
      <c r="K253" s="2" t="s">
        <v>2458</v>
      </c>
      <c r="L253" s="2" t="s">
        <v>2511</v>
      </c>
    </row>
    <row r="254" customFormat="false" ht="35.05" hidden="false" customHeight="false" outlineLevel="0" collapsed="false">
      <c r="A254" s="2" t="s">
        <v>617</v>
      </c>
      <c r="B254" s="2" t="n">
        <v>253</v>
      </c>
      <c r="C254" s="2" t="s">
        <v>2167</v>
      </c>
      <c r="D254" s="2" t="s">
        <v>686</v>
      </c>
      <c r="E254" s="2" t="s">
        <v>873</v>
      </c>
      <c r="F254" s="2" t="s">
        <v>912</v>
      </c>
      <c r="G254" s="2" t="s">
        <v>618</v>
      </c>
      <c r="H254" s="2" t="s">
        <v>1001</v>
      </c>
      <c r="I254" s="2" t="s">
        <v>58</v>
      </c>
      <c r="J254" s="2" t="s">
        <v>1988</v>
      </c>
      <c r="K254" s="2" t="s">
        <v>2458</v>
      </c>
      <c r="L254" s="2" t="s">
        <v>2512</v>
      </c>
    </row>
    <row r="255" customFormat="false" ht="35.05" hidden="false" customHeight="false" outlineLevel="0" collapsed="false">
      <c r="A255" s="2" t="s">
        <v>619</v>
      </c>
      <c r="B255" s="2" t="n">
        <v>254</v>
      </c>
      <c r="C255" s="2" t="s">
        <v>2170</v>
      </c>
      <c r="D255" s="2" t="s">
        <v>686</v>
      </c>
      <c r="E255" s="2" t="s">
        <v>873</v>
      </c>
      <c r="F255" s="2" t="s">
        <v>912</v>
      </c>
      <c r="G255" s="2" t="s">
        <v>513</v>
      </c>
      <c r="H255" s="2" t="s">
        <v>952</v>
      </c>
      <c r="I255" s="2" t="s">
        <v>58</v>
      </c>
      <c r="J255" s="2" t="s">
        <v>1988</v>
      </c>
      <c r="K255" s="2" t="s">
        <v>2458</v>
      </c>
      <c r="L255" s="2" t="s">
        <v>2513</v>
      </c>
    </row>
    <row r="256" customFormat="false" ht="35.05" hidden="false" customHeight="false" outlineLevel="0" collapsed="false">
      <c r="A256" s="2" t="s">
        <v>620</v>
      </c>
      <c r="B256" s="2" t="n">
        <v>255</v>
      </c>
      <c r="C256" s="2" t="s">
        <v>2173</v>
      </c>
      <c r="D256" s="2" t="s">
        <v>686</v>
      </c>
      <c r="E256" s="2" t="s">
        <v>873</v>
      </c>
      <c r="F256" s="2" t="s">
        <v>912</v>
      </c>
      <c r="G256" s="2" t="s">
        <v>519</v>
      </c>
      <c r="H256" s="2" t="s">
        <v>956</v>
      </c>
      <c r="I256" s="2" t="s">
        <v>58</v>
      </c>
      <c r="J256" s="2" t="s">
        <v>1988</v>
      </c>
      <c r="K256" s="2" t="s">
        <v>2458</v>
      </c>
      <c r="L256" s="2" t="s">
        <v>2514</v>
      </c>
    </row>
    <row r="257" customFormat="false" ht="35.05" hidden="false" customHeight="false" outlineLevel="0" collapsed="false">
      <c r="A257" s="2" t="s">
        <v>621</v>
      </c>
      <c r="B257" s="2" t="n">
        <v>256</v>
      </c>
      <c r="C257" s="2" t="s">
        <v>2176</v>
      </c>
      <c r="D257" s="2" t="s">
        <v>686</v>
      </c>
      <c r="E257" s="2" t="s">
        <v>873</v>
      </c>
      <c r="F257" s="2" t="s">
        <v>912</v>
      </c>
      <c r="G257" s="2" t="s">
        <v>536</v>
      </c>
      <c r="H257" s="2" t="s">
        <v>968</v>
      </c>
      <c r="I257" s="2" t="s">
        <v>69</v>
      </c>
      <c r="J257" s="2" t="s">
        <v>1988</v>
      </c>
      <c r="K257" s="2" t="s">
        <v>2458</v>
      </c>
      <c r="L257" s="2" t="s">
        <v>2515</v>
      </c>
    </row>
    <row r="258" customFormat="false" ht="35.05" hidden="false" customHeight="false" outlineLevel="0" collapsed="false">
      <c r="A258" s="2" t="s">
        <v>622</v>
      </c>
      <c r="B258" s="2" t="n">
        <v>257</v>
      </c>
      <c r="C258" s="2" t="s">
        <v>2179</v>
      </c>
      <c r="D258" s="2" t="s">
        <v>686</v>
      </c>
      <c r="E258" s="2" t="s">
        <v>873</v>
      </c>
      <c r="F258" s="2" t="s">
        <v>912</v>
      </c>
      <c r="G258" s="2" t="s">
        <v>623</v>
      </c>
      <c r="H258" s="2" t="s">
        <v>1002</v>
      </c>
      <c r="I258" s="2" t="s">
        <v>69</v>
      </c>
      <c r="J258" s="2" t="s">
        <v>1988</v>
      </c>
      <c r="K258" s="2" t="s">
        <v>2458</v>
      </c>
      <c r="L258" s="2" t="s">
        <v>2516</v>
      </c>
    </row>
    <row r="259" customFormat="false" ht="35.05" hidden="false" customHeight="false" outlineLevel="0" collapsed="false">
      <c r="A259" s="2" t="s">
        <v>624</v>
      </c>
      <c r="B259" s="2" t="n">
        <v>258</v>
      </c>
      <c r="C259" s="2" t="s">
        <v>2183</v>
      </c>
      <c r="D259" s="2" t="s">
        <v>686</v>
      </c>
      <c r="E259" s="2" t="s">
        <v>873</v>
      </c>
      <c r="F259" s="2" t="s">
        <v>912</v>
      </c>
      <c r="G259" s="2" t="s">
        <v>505</v>
      </c>
      <c r="H259" s="2" t="s">
        <v>947</v>
      </c>
      <c r="I259" s="2" t="s">
        <v>69</v>
      </c>
      <c r="J259" s="2" t="s">
        <v>1988</v>
      </c>
      <c r="K259" s="2" t="s">
        <v>2458</v>
      </c>
      <c r="L259" s="2" t="s">
        <v>2517</v>
      </c>
    </row>
    <row r="260" customFormat="false" ht="35.05" hidden="false" customHeight="false" outlineLevel="0" collapsed="false">
      <c r="A260" s="2" t="s">
        <v>625</v>
      </c>
      <c r="B260" s="2" t="n">
        <v>259</v>
      </c>
      <c r="C260" s="2" t="s">
        <v>2186</v>
      </c>
      <c r="D260" s="2" t="s">
        <v>686</v>
      </c>
      <c r="E260" s="2" t="s">
        <v>873</v>
      </c>
      <c r="F260" s="2" t="s">
        <v>912</v>
      </c>
      <c r="G260" s="2" t="s">
        <v>534</v>
      </c>
      <c r="H260" s="2" t="s">
        <v>966</v>
      </c>
      <c r="I260" s="2" t="s">
        <v>69</v>
      </c>
      <c r="J260" s="2" t="s">
        <v>1988</v>
      </c>
      <c r="K260" s="2" t="s">
        <v>2458</v>
      </c>
      <c r="L260" s="2" t="s">
        <v>2518</v>
      </c>
    </row>
    <row r="261" customFormat="false" ht="35.05" hidden="false" customHeight="false" outlineLevel="0" collapsed="false">
      <c r="A261" s="2" t="s">
        <v>626</v>
      </c>
      <c r="B261" s="2" t="n">
        <v>260</v>
      </c>
      <c r="C261" s="2" t="s">
        <v>2189</v>
      </c>
      <c r="D261" s="2" t="s">
        <v>686</v>
      </c>
      <c r="E261" s="2" t="s">
        <v>873</v>
      </c>
      <c r="F261" s="2" t="s">
        <v>912</v>
      </c>
      <c r="G261" s="2" t="s">
        <v>472</v>
      </c>
      <c r="H261" s="2" t="s">
        <v>923</v>
      </c>
      <c r="I261" s="2" t="s">
        <v>69</v>
      </c>
      <c r="J261" s="2" t="s">
        <v>1988</v>
      </c>
      <c r="K261" s="2" t="s">
        <v>2458</v>
      </c>
      <c r="L261" s="2" t="s">
        <v>2519</v>
      </c>
    </row>
    <row r="262" customFormat="false" ht="35.05" hidden="false" customHeight="false" outlineLevel="0" collapsed="false">
      <c r="A262" s="2" t="s">
        <v>627</v>
      </c>
      <c r="B262" s="2" t="n">
        <v>261</v>
      </c>
      <c r="C262" s="2" t="s">
        <v>2193</v>
      </c>
      <c r="D262" s="2" t="s">
        <v>686</v>
      </c>
      <c r="E262" s="2" t="s">
        <v>873</v>
      </c>
      <c r="F262" s="2" t="s">
        <v>912</v>
      </c>
      <c r="G262" s="2" t="s">
        <v>287</v>
      </c>
      <c r="H262" s="2" t="s">
        <v>972</v>
      </c>
      <c r="I262" s="2" t="s">
        <v>69</v>
      </c>
      <c r="J262" s="2" t="s">
        <v>1988</v>
      </c>
      <c r="K262" s="2" t="s">
        <v>2458</v>
      </c>
      <c r="L262" s="2" t="s">
        <v>2520</v>
      </c>
    </row>
    <row r="263" customFormat="false" ht="35.05" hidden="false" customHeight="false" outlineLevel="0" collapsed="false">
      <c r="A263" s="2" t="s">
        <v>628</v>
      </c>
      <c r="B263" s="2" t="n">
        <v>262</v>
      </c>
      <c r="C263" s="2" t="s">
        <v>2196</v>
      </c>
      <c r="D263" s="2" t="s">
        <v>686</v>
      </c>
      <c r="E263" s="2" t="s">
        <v>873</v>
      </c>
      <c r="F263" s="2" t="s">
        <v>912</v>
      </c>
      <c r="G263" s="2" t="s">
        <v>515</v>
      </c>
      <c r="H263" s="2" t="s">
        <v>953</v>
      </c>
      <c r="I263" s="2" t="s">
        <v>69</v>
      </c>
      <c r="J263" s="2" t="s">
        <v>1988</v>
      </c>
      <c r="K263" s="2" t="s">
        <v>2458</v>
      </c>
      <c r="L263" s="2" t="s">
        <v>2521</v>
      </c>
    </row>
    <row r="264" customFormat="false" ht="35.05" hidden="false" customHeight="false" outlineLevel="0" collapsed="false">
      <c r="A264" s="2" t="s">
        <v>629</v>
      </c>
      <c r="B264" s="2" t="n">
        <v>263</v>
      </c>
      <c r="C264" s="2" t="s">
        <v>2199</v>
      </c>
      <c r="D264" s="2" t="s">
        <v>686</v>
      </c>
      <c r="E264" s="2" t="s">
        <v>873</v>
      </c>
      <c r="F264" s="2" t="s">
        <v>912</v>
      </c>
      <c r="G264" s="2" t="s">
        <v>507</v>
      </c>
      <c r="H264" s="2" t="s">
        <v>948</v>
      </c>
      <c r="I264" s="2" t="s">
        <v>69</v>
      </c>
      <c r="J264" s="2" t="s">
        <v>1988</v>
      </c>
      <c r="K264" s="2" t="s">
        <v>2458</v>
      </c>
      <c r="L264" s="2" t="s">
        <v>2522</v>
      </c>
    </row>
    <row r="265" customFormat="false" ht="35.05" hidden="false" customHeight="false" outlineLevel="0" collapsed="false">
      <c r="A265" s="2" t="s">
        <v>630</v>
      </c>
      <c r="B265" s="2" t="n">
        <v>264</v>
      </c>
      <c r="C265" s="2" t="s">
        <v>2202</v>
      </c>
      <c r="D265" s="2" t="s">
        <v>686</v>
      </c>
      <c r="E265" s="2" t="s">
        <v>873</v>
      </c>
      <c r="F265" s="2" t="s">
        <v>912</v>
      </c>
      <c r="G265" s="2" t="s">
        <v>374</v>
      </c>
      <c r="H265" s="2" t="s">
        <v>1003</v>
      </c>
      <c r="I265" s="2" t="s">
        <v>69</v>
      </c>
      <c r="J265" s="2" t="s">
        <v>1988</v>
      </c>
      <c r="K265" s="2" t="s">
        <v>2458</v>
      </c>
      <c r="L265" s="2" t="s">
        <v>2523</v>
      </c>
    </row>
    <row r="266" customFormat="false" ht="35.05" hidden="false" customHeight="false" outlineLevel="0" collapsed="false">
      <c r="A266" s="2" t="s">
        <v>631</v>
      </c>
      <c r="B266" s="2" t="n">
        <v>265</v>
      </c>
      <c r="C266" s="2" t="s">
        <v>2205</v>
      </c>
      <c r="D266" s="2" t="s">
        <v>686</v>
      </c>
      <c r="E266" s="2" t="s">
        <v>873</v>
      </c>
      <c r="F266" s="2" t="s">
        <v>912</v>
      </c>
      <c r="G266" s="2" t="s">
        <v>275</v>
      </c>
      <c r="H266" s="2" t="s">
        <v>954</v>
      </c>
      <c r="I266" s="2" t="s">
        <v>69</v>
      </c>
      <c r="J266" s="2" t="s">
        <v>1988</v>
      </c>
      <c r="K266" s="2" t="s">
        <v>2458</v>
      </c>
      <c r="L266" s="2" t="s">
        <v>2524</v>
      </c>
    </row>
    <row r="267" customFormat="false" ht="35.05" hidden="false" customHeight="false" outlineLevel="0" collapsed="false">
      <c r="A267" s="2" t="s">
        <v>632</v>
      </c>
      <c r="B267" s="2" t="n">
        <v>266</v>
      </c>
      <c r="C267" s="2" t="s">
        <v>2208</v>
      </c>
      <c r="D267" s="2" t="s">
        <v>686</v>
      </c>
      <c r="E267" s="2" t="s">
        <v>873</v>
      </c>
      <c r="F267" s="2" t="s">
        <v>912</v>
      </c>
      <c r="G267" s="2" t="s">
        <v>377</v>
      </c>
      <c r="H267" s="2" t="s">
        <v>957</v>
      </c>
      <c r="I267" s="2" t="s">
        <v>69</v>
      </c>
      <c r="J267" s="2" t="s">
        <v>1988</v>
      </c>
      <c r="K267" s="2" t="s">
        <v>2458</v>
      </c>
      <c r="L267" s="2" t="s">
        <v>2525</v>
      </c>
    </row>
    <row r="268" customFormat="false" ht="35.05" hidden="false" customHeight="false" outlineLevel="0" collapsed="false">
      <c r="A268" s="2" t="s">
        <v>633</v>
      </c>
      <c r="B268" s="2" t="n">
        <v>267</v>
      </c>
      <c r="C268" s="2" t="s">
        <v>2211</v>
      </c>
      <c r="D268" s="2" t="s">
        <v>686</v>
      </c>
      <c r="E268" s="2" t="s">
        <v>873</v>
      </c>
      <c r="F268" s="2" t="s">
        <v>912</v>
      </c>
      <c r="G268" s="2" t="s">
        <v>544</v>
      </c>
      <c r="H268" s="2" t="s">
        <v>974</v>
      </c>
      <c r="I268" s="2" t="s">
        <v>71</v>
      </c>
      <c r="J268" s="2" t="s">
        <v>1988</v>
      </c>
      <c r="K268" s="2" t="s">
        <v>2458</v>
      </c>
      <c r="L268" s="2" t="s">
        <v>2526</v>
      </c>
    </row>
    <row r="269" customFormat="false" ht="35.05" hidden="false" customHeight="false" outlineLevel="0" collapsed="false">
      <c r="A269" s="2" t="s">
        <v>634</v>
      </c>
      <c r="B269" s="2" t="n">
        <v>268</v>
      </c>
      <c r="C269" s="2" t="s">
        <v>2214</v>
      </c>
      <c r="D269" s="2" t="s">
        <v>686</v>
      </c>
      <c r="E269" s="2" t="s">
        <v>873</v>
      </c>
      <c r="F269" s="2" t="s">
        <v>912</v>
      </c>
      <c r="G269" s="2" t="s">
        <v>502</v>
      </c>
      <c r="H269" s="2" t="s">
        <v>945</v>
      </c>
      <c r="I269" s="2" t="s">
        <v>69</v>
      </c>
      <c r="J269" s="2" t="s">
        <v>1988</v>
      </c>
      <c r="K269" s="2" t="s">
        <v>2458</v>
      </c>
      <c r="L269" s="2" t="s">
        <v>2527</v>
      </c>
    </row>
    <row r="270" customFormat="false" ht="35.05" hidden="false" customHeight="false" outlineLevel="0" collapsed="false">
      <c r="A270" s="2" t="s">
        <v>635</v>
      </c>
      <c r="B270" s="2" t="n">
        <v>269</v>
      </c>
      <c r="C270" s="2" t="s">
        <v>2217</v>
      </c>
      <c r="D270" s="2" t="s">
        <v>686</v>
      </c>
      <c r="E270" s="2" t="s">
        <v>873</v>
      </c>
      <c r="F270" s="2" t="s">
        <v>912</v>
      </c>
      <c r="G270" s="2" t="s">
        <v>636</v>
      </c>
      <c r="H270" s="2" t="s">
        <v>1004</v>
      </c>
      <c r="I270" s="2" t="s">
        <v>69</v>
      </c>
      <c r="J270" s="2" t="s">
        <v>1988</v>
      </c>
      <c r="K270" s="2" t="s">
        <v>2458</v>
      </c>
      <c r="L270" s="2" t="s">
        <v>2528</v>
      </c>
    </row>
    <row r="271" customFormat="false" ht="35.05" hidden="false" customHeight="false" outlineLevel="0" collapsed="false">
      <c r="A271" s="2" t="s">
        <v>637</v>
      </c>
      <c r="B271" s="2" t="n">
        <v>270</v>
      </c>
      <c r="C271" s="2" t="s">
        <v>2221</v>
      </c>
      <c r="D271" s="2" t="s">
        <v>686</v>
      </c>
      <c r="E271" s="2" t="s">
        <v>873</v>
      </c>
      <c r="F271" s="2" t="s">
        <v>912</v>
      </c>
      <c r="G271" s="2" t="s">
        <v>542</v>
      </c>
      <c r="H271" s="2" t="s">
        <v>973</v>
      </c>
      <c r="I271" s="2" t="s">
        <v>66</v>
      </c>
      <c r="J271" s="2" t="s">
        <v>1988</v>
      </c>
      <c r="K271" s="2" t="s">
        <v>2458</v>
      </c>
      <c r="L271" s="2" t="s">
        <v>2529</v>
      </c>
    </row>
    <row r="272" customFormat="false" ht="35.05" hidden="false" customHeight="false" outlineLevel="0" collapsed="false">
      <c r="A272" s="2" t="s">
        <v>638</v>
      </c>
      <c r="B272" s="2" t="n">
        <v>271</v>
      </c>
      <c r="C272" s="2" t="s">
        <v>2224</v>
      </c>
      <c r="D272" s="2" t="s">
        <v>686</v>
      </c>
      <c r="E272" s="2" t="s">
        <v>873</v>
      </c>
      <c r="F272" s="2" t="s">
        <v>912</v>
      </c>
      <c r="G272" s="2" t="s">
        <v>639</v>
      </c>
      <c r="H272" s="2" t="s">
        <v>1005</v>
      </c>
      <c r="I272" s="2" t="s">
        <v>71</v>
      </c>
      <c r="J272" s="2" t="s">
        <v>1988</v>
      </c>
      <c r="K272" s="2" t="s">
        <v>2458</v>
      </c>
      <c r="L272" s="2" t="s">
        <v>2530</v>
      </c>
    </row>
    <row r="273" customFormat="false" ht="35.05" hidden="false" customHeight="false" outlineLevel="0" collapsed="false">
      <c r="A273" s="2" t="s">
        <v>640</v>
      </c>
      <c r="B273" s="2" t="n">
        <v>272</v>
      </c>
      <c r="C273" s="2" t="s">
        <v>2228</v>
      </c>
      <c r="D273" s="2" t="s">
        <v>686</v>
      </c>
      <c r="E273" s="2" t="s">
        <v>873</v>
      </c>
      <c r="F273" s="2" t="s">
        <v>912</v>
      </c>
      <c r="G273" s="2" t="s">
        <v>641</v>
      </c>
      <c r="H273" s="2" t="s">
        <v>1006</v>
      </c>
      <c r="I273" s="2" t="s">
        <v>52</v>
      </c>
      <c r="J273" s="2" t="s">
        <v>1988</v>
      </c>
      <c r="K273" s="2" t="s">
        <v>2458</v>
      </c>
      <c r="L273" s="2" t="s">
        <v>2531</v>
      </c>
    </row>
    <row r="274" customFormat="false" ht="35.05" hidden="false" customHeight="false" outlineLevel="0" collapsed="false">
      <c r="A274" s="2" t="s">
        <v>642</v>
      </c>
      <c r="B274" s="2" t="n">
        <v>273</v>
      </c>
      <c r="C274" s="2" t="s">
        <v>2232</v>
      </c>
      <c r="D274" s="2" t="s">
        <v>686</v>
      </c>
      <c r="E274" s="2" t="s">
        <v>873</v>
      </c>
      <c r="F274" s="2" t="s">
        <v>912</v>
      </c>
      <c r="G274" s="2" t="s">
        <v>291</v>
      </c>
      <c r="H274" s="2" t="s">
        <v>976</v>
      </c>
      <c r="I274" s="2" t="s">
        <v>52</v>
      </c>
      <c r="J274" s="2" t="s">
        <v>1988</v>
      </c>
      <c r="K274" s="2" t="s">
        <v>2458</v>
      </c>
      <c r="L274" s="2" t="s">
        <v>2532</v>
      </c>
    </row>
    <row r="275" customFormat="false" ht="35.05" hidden="false" customHeight="false" outlineLevel="0" collapsed="false">
      <c r="A275" s="2" t="s">
        <v>643</v>
      </c>
      <c r="B275" s="2" t="n">
        <v>274</v>
      </c>
      <c r="C275" s="2" t="s">
        <v>2235</v>
      </c>
      <c r="D275" s="2" t="s">
        <v>686</v>
      </c>
      <c r="E275" s="2" t="s">
        <v>873</v>
      </c>
      <c r="F275" s="2" t="s">
        <v>912</v>
      </c>
      <c r="G275" s="2" t="s">
        <v>339</v>
      </c>
      <c r="H275" s="2" t="s">
        <v>920</v>
      </c>
      <c r="I275" s="2" t="s">
        <v>52</v>
      </c>
      <c r="J275" s="2" t="s">
        <v>1988</v>
      </c>
      <c r="K275" s="2" t="s">
        <v>2458</v>
      </c>
      <c r="L275" s="2" t="s">
        <v>2533</v>
      </c>
    </row>
    <row r="276" customFormat="false" ht="35.05" hidden="false" customHeight="false" outlineLevel="0" collapsed="false">
      <c r="A276" s="2" t="s">
        <v>644</v>
      </c>
      <c r="B276" s="2" t="n">
        <v>275</v>
      </c>
      <c r="C276" s="2" t="s">
        <v>2239</v>
      </c>
      <c r="D276" s="2" t="s">
        <v>686</v>
      </c>
      <c r="E276" s="2" t="s">
        <v>873</v>
      </c>
      <c r="F276" s="2" t="s">
        <v>912</v>
      </c>
      <c r="G276" s="2" t="s">
        <v>645</v>
      </c>
      <c r="H276" s="2" t="s">
        <v>1007</v>
      </c>
      <c r="I276" s="2" t="s">
        <v>38</v>
      </c>
      <c r="J276" s="2" t="s">
        <v>1988</v>
      </c>
      <c r="K276" s="2" t="s">
        <v>2458</v>
      </c>
      <c r="L276" s="2" t="s">
        <v>2534</v>
      </c>
    </row>
    <row r="277" customFormat="false" ht="35.05" hidden="false" customHeight="false" outlineLevel="0" collapsed="false">
      <c r="A277" s="2" t="s">
        <v>646</v>
      </c>
      <c r="B277" s="2" t="n">
        <v>276</v>
      </c>
      <c r="C277" s="2" t="s">
        <v>2242</v>
      </c>
      <c r="D277" s="2" t="s">
        <v>686</v>
      </c>
      <c r="E277" s="2" t="s">
        <v>873</v>
      </c>
      <c r="F277" s="2" t="s">
        <v>912</v>
      </c>
      <c r="G277" s="2" t="s">
        <v>647</v>
      </c>
      <c r="H277" s="2" t="s">
        <v>1008</v>
      </c>
      <c r="I277" s="2" t="s">
        <v>38</v>
      </c>
      <c r="J277" s="2" t="s">
        <v>1988</v>
      </c>
      <c r="K277" s="2" t="s">
        <v>2458</v>
      </c>
      <c r="L277" s="2" t="s">
        <v>2535</v>
      </c>
    </row>
    <row r="278" customFormat="false" ht="35.05" hidden="false" customHeight="false" outlineLevel="0" collapsed="false">
      <c r="A278" s="2" t="s">
        <v>648</v>
      </c>
      <c r="B278" s="2" t="n">
        <v>277</v>
      </c>
      <c r="C278" s="2" t="s">
        <v>2246</v>
      </c>
      <c r="D278" s="2" t="s">
        <v>686</v>
      </c>
      <c r="E278" s="2" t="s">
        <v>873</v>
      </c>
      <c r="F278" s="2" t="s">
        <v>912</v>
      </c>
      <c r="G278" s="2" t="s">
        <v>649</v>
      </c>
      <c r="H278" s="2" t="s">
        <v>1010</v>
      </c>
      <c r="I278" s="2" t="s">
        <v>38</v>
      </c>
      <c r="J278" s="2" t="s">
        <v>1988</v>
      </c>
      <c r="K278" s="2" t="s">
        <v>2458</v>
      </c>
      <c r="L278" s="2" t="s">
        <v>2536</v>
      </c>
    </row>
    <row r="279" customFormat="false" ht="35.05" hidden="false" customHeight="false" outlineLevel="0" collapsed="false">
      <c r="A279" s="2" t="s">
        <v>650</v>
      </c>
      <c r="B279" s="2" t="n">
        <v>278</v>
      </c>
      <c r="C279" s="2" t="s">
        <v>2251</v>
      </c>
      <c r="D279" s="2" t="s">
        <v>686</v>
      </c>
      <c r="E279" s="2" t="s">
        <v>873</v>
      </c>
      <c r="F279" s="2" t="s">
        <v>912</v>
      </c>
      <c r="G279" s="2" t="s">
        <v>259</v>
      </c>
      <c r="H279" s="2" t="s">
        <v>943</v>
      </c>
      <c r="I279" s="2" t="s">
        <v>38</v>
      </c>
      <c r="J279" s="2" t="s">
        <v>1988</v>
      </c>
      <c r="K279" s="2" t="s">
        <v>2458</v>
      </c>
      <c r="L279" s="2" t="s">
        <v>2537</v>
      </c>
    </row>
    <row r="280" customFormat="false" ht="35.05" hidden="false" customHeight="false" outlineLevel="0" collapsed="false">
      <c r="A280" s="2" t="s">
        <v>651</v>
      </c>
      <c r="B280" s="2" t="n">
        <v>279</v>
      </c>
      <c r="C280" s="2" t="s">
        <v>2254</v>
      </c>
      <c r="D280" s="2" t="s">
        <v>686</v>
      </c>
      <c r="E280" s="2" t="s">
        <v>873</v>
      </c>
      <c r="F280" s="2" t="s">
        <v>912</v>
      </c>
      <c r="G280" s="2" t="s">
        <v>265</v>
      </c>
      <c r="H280" s="2" t="s">
        <v>946</v>
      </c>
      <c r="I280" s="2" t="s">
        <v>38</v>
      </c>
      <c r="J280" s="2" t="s">
        <v>1988</v>
      </c>
      <c r="K280" s="2" t="s">
        <v>2458</v>
      </c>
      <c r="L280" s="2" t="s">
        <v>2538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3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2" min="11" style="0" width="35"/>
    <col collapsed="false" customWidth="true" hidden="false" outlineLevel="0" max="13" min="13" style="0" width="32"/>
  </cols>
  <sheetData>
    <row r="1" customFormat="false" ht="15" hidden="false" customHeight="false" outlineLevel="0" collapsed="false">
      <c r="A1" s="3" t="s">
        <v>1228</v>
      </c>
      <c r="B1" s="3" t="s">
        <v>22</v>
      </c>
      <c r="C1" s="3" t="s">
        <v>1230</v>
      </c>
      <c r="D1" s="3" t="s">
        <v>2539</v>
      </c>
      <c r="E1" s="3" t="s">
        <v>1030</v>
      </c>
      <c r="F1" s="3" t="s">
        <v>1221</v>
      </c>
      <c r="G1" s="3" t="s">
        <v>1222</v>
      </c>
      <c r="H1" s="3" t="s">
        <v>1223</v>
      </c>
      <c r="I1" s="3" t="s">
        <v>1224</v>
      </c>
      <c r="J1" s="3" t="s">
        <v>1225</v>
      </c>
      <c r="K1" s="3" t="s">
        <v>2540</v>
      </c>
      <c r="L1" s="3" t="s">
        <v>33</v>
      </c>
      <c r="M1" s="3" t="s">
        <v>1014</v>
      </c>
    </row>
    <row r="2" customFormat="false" ht="23.85" hidden="false" customHeight="false" outlineLevel="0" collapsed="false">
      <c r="A2" s="2" t="s">
        <v>1240</v>
      </c>
      <c r="B2" s="2" t="s">
        <v>209</v>
      </c>
      <c r="C2" s="2" t="s">
        <v>1242</v>
      </c>
      <c r="D2" s="2" t="s">
        <v>2541</v>
      </c>
      <c r="E2" s="2" t="n">
        <v>1045</v>
      </c>
      <c r="F2" s="2" t="n">
        <v>68</v>
      </c>
      <c r="G2" s="2" t="n">
        <v>2</v>
      </c>
      <c r="H2" s="2" t="n">
        <v>6</v>
      </c>
      <c r="I2" s="2" t="s">
        <v>1237</v>
      </c>
      <c r="J2" s="2"/>
      <c r="K2" s="2" t="s">
        <v>2542</v>
      </c>
      <c r="L2" s="2" t="s">
        <v>692</v>
      </c>
      <c r="M2" s="2" t="s">
        <v>2543</v>
      </c>
    </row>
    <row r="3" customFormat="false" ht="23.85" hidden="false" customHeight="false" outlineLevel="0" collapsed="false">
      <c r="A3" s="2" t="s">
        <v>1246</v>
      </c>
      <c r="B3" s="2" t="s">
        <v>213</v>
      </c>
      <c r="C3" s="2" t="s">
        <v>1242</v>
      </c>
      <c r="D3" s="2" t="s">
        <v>2541</v>
      </c>
      <c r="E3" s="2" t="n">
        <v>1684</v>
      </c>
      <c r="F3" s="2" t="n">
        <v>255</v>
      </c>
      <c r="G3" s="2" t="n">
        <v>232</v>
      </c>
      <c r="H3" s="2" t="n">
        <v>0</v>
      </c>
      <c r="I3" s="2" t="s">
        <v>1245</v>
      </c>
      <c r="J3" s="2"/>
      <c r="K3" s="2" t="s">
        <v>2542</v>
      </c>
      <c r="L3" s="2" t="s">
        <v>692</v>
      </c>
      <c r="M3" s="2" t="s">
        <v>2543</v>
      </c>
    </row>
    <row r="4" customFormat="false" ht="23.85" hidden="false" customHeight="false" outlineLevel="0" collapsed="false">
      <c r="A4" s="2" t="s">
        <v>1250</v>
      </c>
      <c r="B4" s="2" t="s">
        <v>216</v>
      </c>
      <c r="C4" s="2" t="s">
        <v>1242</v>
      </c>
      <c r="D4" s="2" t="s">
        <v>2541</v>
      </c>
      <c r="E4" s="2" t="n">
        <v>1784</v>
      </c>
      <c r="F4" s="2" t="n">
        <v>197</v>
      </c>
      <c r="G4" s="2" t="n">
        <v>0</v>
      </c>
      <c r="H4" s="2" t="n">
        <v>15</v>
      </c>
      <c r="I4" s="2" t="s">
        <v>1249</v>
      </c>
      <c r="J4" s="2"/>
      <c r="K4" s="2" t="s">
        <v>2542</v>
      </c>
      <c r="L4" s="2" t="s">
        <v>692</v>
      </c>
      <c r="M4" s="2" t="s">
        <v>2543</v>
      </c>
    </row>
    <row r="5" customFormat="false" ht="23.85" hidden="false" customHeight="false" outlineLevel="0" collapsed="false">
      <c r="A5" s="2" t="s">
        <v>1254</v>
      </c>
      <c r="B5" s="2" t="s">
        <v>218</v>
      </c>
      <c r="C5" s="2" t="s">
        <v>1242</v>
      </c>
      <c r="D5" s="2" t="s">
        <v>2541</v>
      </c>
      <c r="E5" s="2" t="n">
        <v>1181</v>
      </c>
      <c r="F5" s="2" t="n">
        <v>82</v>
      </c>
      <c r="G5" s="2" t="n">
        <v>42</v>
      </c>
      <c r="H5" s="2" t="n">
        <v>31</v>
      </c>
      <c r="I5" s="2" t="s">
        <v>1253</v>
      </c>
      <c r="J5" s="2"/>
      <c r="K5" s="2" t="s">
        <v>2542</v>
      </c>
      <c r="L5" s="2" t="s">
        <v>692</v>
      </c>
      <c r="M5" s="2" t="s">
        <v>2543</v>
      </c>
    </row>
    <row r="6" customFormat="false" ht="23.85" hidden="false" customHeight="false" outlineLevel="0" collapsed="false">
      <c r="A6" s="2" t="s">
        <v>1258</v>
      </c>
      <c r="B6" s="2" t="s">
        <v>220</v>
      </c>
      <c r="C6" s="2" t="s">
        <v>1242</v>
      </c>
      <c r="D6" s="2" t="s">
        <v>2541</v>
      </c>
      <c r="E6" s="2" t="n">
        <v>2166</v>
      </c>
      <c r="F6" s="2" t="n">
        <v>255</v>
      </c>
      <c r="G6" s="2" t="n">
        <v>222</v>
      </c>
      <c r="H6" s="2" t="n">
        <v>0</v>
      </c>
      <c r="I6" s="2" t="s">
        <v>1257</v>
      </c>
      <c r="J6" s="2"/>
      <c r="K6" s="2" t="s">
        <v>2542</v>
      </c>
      <c r="L6" s="2" t="s">
        <v>692</v>
      </c>
      <c r="M6" s="2" t="s">
        <v>2543</v>
      </c>
    </row>
    <row r="7" customFormat="false" ht="23.85" hidden="false" customHeight="false" outlineLevel="0" collapsed="false">
      <c r="A7" s="2" t="s">
        <v>1262</v>
      </c>
      <c r="B7" s="2" t="s">
        <v>222</v>
      </c>
      <c r="C7" s="2" t="s">
        <v>1242</v>
      </c>
      <c r="D7" s="2" t="s">
        <v>2541</v>
      </c>
      <c r="E7" s="2" t="n">
        <v>2199</v>
      </c>
      <c r="F7" s="2" t="n">
        <v>204</v>
      </c>
      <c r="G7" s="2" t="n">
        <v>12</v>
      </c>
      <c r="H7" s="2" t="n">
        <v>22</v>
      </c>
      <c r="I7" s="2" t="s">
        <v>1261</v>
      </c>
      <c r="J7" s="2"/>
      <c r="K7" s="2" t="s">
        <v>2542</v>
      </c>
      <c r="L7" s="2" t="s">
        <v>692</v>
      </c>
      <c r="M7" s="2" t="s">
        <v>2543</v>
      </c>
    </row>
    <row r="8" customFormat="false" ht="23.85" hidden="false" customHeight="false" outlineLevel="0" collapsed="false">
      <c r="A8" s="2" t="s">
        <v>1266</v>
      </c>
      <c r="B8" s="2" t="s">
        <v>224</v>
      </c>
      <c r="C8" s="2" t="s">
        <v>1242</v>
      </c>
      <c r="D8" s="2" t="s">
        <v>2541</v>
      </c>
      <c r="E8" s="2" t="n">
        <v>1640</v>
      </c>
      <c r="F8" s="2" t="n">
        <v>255</v>
      </c>
      <c r="G8" s="2" t="n">
        <v>164</v>
      </c>
      <c r="H8" s="2" t="n">
        <v>0</v>
      </c>
      <c r="I8" s="2" t="s">
        <v>1265</v>
      </c>
      <c r="J8" s="2"/>
      <c r="K8" s="2" t="s">
        <v>2542</v>
      </c>
      <c r="L8" s="2" t="s">
        <v>692</v>
      </c>
      <c r="M8" s="2" t="s">
        <v>2543</v>
      </c>
    </row>
    <row r="9" customFormat="false" ht="23.85" hidden="false" customHeight="false" outlineLevel="0" collapsed="false">
      <c r="A9" s="2" t="s">
        <v>1270</v>
      </c>
      <c r="B9" s="2" t="s">
        <v>226</v>
      </c>
      <c r="C9" s="2" t="s">
        <v>1242</v>
      </c>
      <c r="D9" s="2" t="s">
        <v>2541</v>
      </c>
      <c r="E9" s="2" t="n">
        <v>2171</v>
      </c>
      <c r="F9" s="2" t="n">
        <v>255</v>
      </c>
      <c r="G9" s="2" t="n">
        <v>127</v>
      </c>
      <c r="H9" s="2" t="n">
        <v>15</v>
      </c>
      <c r="I9" s="2" t="s">
        <v>1269</v>
      </c>
      <c r="J9" s="2"/>
      <c r="K9" s="2" t="s">
        <v>2542</v>
      </c>
      <c r="L9" s="2" t="s">
        <v>692</v>
      </c>
      <c r="M9" s="2" t="s">
        <v>2543</v>
      </c>
    </row>
    <row r="10" customFormat="false" ht="23.85" hidden="false" customHeight="false" outlineLevel="0" collapsed="false">
      <c r="A10" s="2" t="s">
        <v>1274</v>
      </c>
      <c r="B10" s="2" t="s">
        <v>228</v>
      </c>
      <c r="C10" s="2" t="s">
        <v>1242</v>
      </c>
      <c r="D10" s="2" t="s">
        <v>2541</v>
      </c>
      <c r="E10" s="2" t="n">
        <v>2195</v>
      </c>
      <c r="F10" s="2" t="n">
        <v>0</v>
      </c>
      <c r="G10" s="2" t="n">
        <v>100</v>
      </c>
      <c r="H10" s="2" t="n">
        <v>160</v>
      </c>
      <c r="I10" s="2" t="s">
        <v>1273</v>
      </c>
      <c r="J10" s="2"/>
      <c r="K10" s="2" t="s">
        <v>2542</v>
      </c>
      <c r="L10" s="2" t="s">
        <v>692</v>
      </c>
      <c r="M10" s="2" t="s">
        <v>2543</v>
      </c>
    </row>
    <row r="11" customFormat="false" ht="23.85" hidden="false" customHeight="false" outlineLevel="0" collapsed="false">
      <c r="A11" s="2" t="s">
        <v>1278</v>
      </c>
      <c r="B11" s="2" t="s">
        <v>231</v>
      </c>
      <c r="C11" s="2" t="s">
        <v>1242</v>
      </c>
      <c r="D11" s="2" t="s">
        <v>2541</v>
      </c>
      <c r="E11" s="2" t="n">
        <v>1495</v>
      </c>
      <c r="F11" s="2" t="n">
        <v>0</v>
      </c>
      <c r="G11" s="2" t="n">
        <v>41</v>
      </c>
      <c r="H11" s="2" t="n">
        <v>117</v>
      </c>
      <c r="I11" s="2" t="s">
        <v>1277</v>
      </c>
      <c r="J11" s="2"/>
      <c r="K11" s="2" t="s">
        <v>2542</v>
      </c>
      <c r="L11" s="2" t="s">
        <v>692</v>
      </c>
      <c r="M11" s="2" t="s">
        <v>2543</v>
      </c>
    </row>
    <row r="12" customFormat="false" ht="23.85" hidden="false" customHeight="false" outlineLevel="0" collapsed="false">
      <c r="A12" s="2" t="s">
        <v>1282</v>
      </c>
      <c r="B12" s="2" t="s">
        <v>234</v>
      </c>
      <c r="C12" s="2" t="s">
        <v>1242</v>
      </c>
      <c r="D12" s="2" t="s">
        <v>2541</v>
      </c>
      <c r="E12" s="2" t="n">
        <v>1871</v>
      </c>
      <c r="F12" s="2" t="n">
        <v>22</v>
      </c>
      <c r="G12" s="2" t="n">
        <v>176</v>
      </c>
      <c r="H12" s="2" t="n">
        <v>100</v>
      </c>
      <c r="I12" s="2" t="s">
        <v>1281</v>
      </c>
      <c r="J12" s="2"/>
      <c r="K12" s="2" t="s">
        <v>2542</v>
      </c>
      <c r="L12" s="2" t="s">
        <v>692</v>
      </c>
      <c r="M12" s="2" t="s">
        <v>2543</v>
      </c>
    </row>
    <row r="13" customFormat="false" ht="23.85" hidden="false" customHeight="false" outlineLevel="0" collapsed="false">
      <c r="A13" s="2" t="s">
        <v>1286</v>
      </c>
      <c r="B13" s="2" t="s">
        <v>236</v>
      </c>
      <c r="C13" s="2" t="s">
        <v>1242</v>
      </c>
      <c r="D13" s="2" t="s">
        <v>2541</v>
      </c>
      <c r="E13" s="2" t="n">
        <v>1749</v>
      </c>
      <c r="F13" s="2" t="n">
        <v>46</v>
      </c>
      <c r="G13" s="2" t="n">
        <v>90</v>
      </c>
      <c r="H13" s="2" t="n">
        <v>76</v>
      </c>
      <c r="I13" s="2" t="s">
        <v>1285</v>
      </c>
      <c r="J13" s="2"/>
      <c r="K13" s="2" t="s">
        <v>2542</v>
      </c>
      <c r="L13" s="2" t="s">
        <v>692</v>
      </c>
      <c r="M13" s="2" t="s">
        <v>2543</v>
      </c>
    </row>
    <row r="14" customFormat="false" ht="23.85" hidden="false" customHeight="false" outlineLevel="0" collapsed="false">
      <c r="A14" s="2" t="s">
        <v>1290</v>
      </c>
      <c r="B14" s="2" t="s">
        <v>238</v>
      </c>
      <c r="C14" s="2" t="s">
        <v>1242</v>
      </c>
      <c r="D14" s="2" t="s">
        <v>2541</v>
      </c>
      <c r="E14" s="2" t="n">
        <v>1177</v>
      </c>
      <c r="F14" s="2" t="n">
        <v>0</v>
      </c>
      <c r="G14" s="2" t="n">
        <v>123</v>
      </c>
      <c r="H14" s="2" t="n">
        <v>110</v>
      </c>
      <c r="I14" s="2" t="s">
        <v>1289</v>
      </c>
      <c r="J14" s="2"/>
      <c r="K14" s="2" t="s">
        <v>2542</v>
      </c>
      <c r="L14" s="2" t="s">
        <v>692</v>
      </c>
      <c r="M14" s="2" t="s">
        <v>2543</v>
      </c>
    </row>
    <row r="15" customFormat="false" ht="23.85" hidden="false" customHeight="false" outlineLevel="0" collapsed="false">
      <c r="A15" s="2" t="s">
        <v>1294</v>
      </c>
      <c r="B15" s="2" t="s">
        <v>240</v>
      </c>
      <c r="C15" s="2" t="s">
        <v>1242</v>
      </c>
      <c r="D15" s="2" t="s">
        <v>2541</v>
      </c>
      <c r="E15" s="2" t="n">
        <v>1841</v>
      </c>
      <c r="F15" s="2" t="n">
        <v>0</v>
      </c>
      <c r="G15" s="2" t="n">
        <v>99</v>
      </c>
      <c r="H15" s="2" t="n">
        <v>127</v>
      </c>
      <c r="I15" s="2" t="s">
        <v>1293</v>
      </c>
      <c r="J15" s="2"/>
      <c r="K15" s="2" t="s">
        <v>2542</v>
      </c>
      <c r="L15" s="2" t="s">
        <v>692</v>
      </c>
      <c r="M15" s="2" t="s">
        <v>2543</v>
      </c>
    </row>
    <row r="16" customFormat="false" ht="23.85" hidden="false" customHeight="false" outlineLevel="0" collapsed="false">
      <c r="A16" s="2" t="s">
        <v>1298</v>
      </c>
      <c r="B16" s="2" t="s">
        <v>242</v>
      </c>
      <c r="C16" s="2" t="s">
        <v>1242</v>
      </c>
      <c r="D16" s="2" t="s">
        <v>2541</v>
      </c>
      <c r="E16" s="2" t="n">
        <v>1685</v>
      </c>
      <c r="F16" s="2" t="n">
        <v>0</v>
      </c>
      <c r="G16" s="2" t="n">
        <v>157</v>
      </c>
      <c r="H16" s="2" t="n">
        <v>160</v>
      </c>
      <c r="I16" s="2" t="s">
        <v>1297</v>
      </c>
      <c r="J16" s="2"/>
      <c r="K16" s="2" t="s">
        <v>2542</v>
      </c>
      <c r="L16" s="2" t="s">
        <v>692</v>
      </c>
      <c r="M16" s="2" t="s">
        <v>2543</v>
      </c>
    </row>
    <row r="17" customFormat="false" ht="23.85" hidden="false" customHeight="false" outlineLevel="0" collapsed="false">
      <c r="A17" s="2" t="s">
        <v>1302</v>
      </c>
      <c r="B17" s="2" t="s">
        <v>244</v>
      </c>
      <c r="C17" s="2" t="s">
        <v>1242</v>
      </c>
      <c r="D17" s="2" t="s">
        <v>2541</v>
      </c>
      <c r="E17" s="2" t="n">
        <v>1605</v>
      </c>
      <c r="F17" s="2" t="n">
        <v>78</v>
      </c>
      <c r="G17" s="2" t="n">
        <v>23</v>
      </c>
      <c r="H17" s="2" t="n">
        <v>80</v>
      </c>
      <c r="I17" s="2" t="s">
        <v>1301</v>
      </c>
      <c r="J17" s="2"/>
      <c r="K17" s="2" t="s">
        <v>2542</v>
      </c>
      <c r="L17" s="2" t="s">
        <v>692</v>
      </c>
      <c r="M17" s="2" t="s">
        <v>2543</v>
      </c>
    </row>
    <row r="18" customFormat="false" ht="23.85" hidden="false" customHeight="false" outlineLevel="0" collapsed="false">
      <c r="A18" s="2" t="s">
        <v>1306</v>
      </c>
      <c r="B18" s="2" t="s">
        <v>246</v>
      </c>
      <c r="C18" s="2" t="s">
        <v>1242</v>
      </c>
      <c r="D18" s="2" t="s">
        <v>2541</v>
      </c>
      <c r="E18" s="2" t="n">
        <v>1397</v>
      </c>
      <c r="F18" s="2" t="n">
        <v>50</v>
      </c>
      <c r="G18" s="2" t="n">
        <v>61</v>
      </c>
      <c r="H18" s="2" t="n">
        <v>164</v>
      </c>
      <c r="I18" s="2" t="s">
        <v>1305</v>
      </c>
      <c r="J18" s="2"/>
      <c r="K18" s="2" t="s">
        <v>2542</v>
      </c>
      <c r="L18" s="2" t="s">
        <v>692</v>
      </c>
      <c r="M18" s="2" t="s">
        <v>2543</v>
      </c>
    </row>
    <row r="19" customFormat="false" ht="23.85" hidden="false" customHeight="false" outlineLevel="0" collapsed="false">
      <c r="A19" s="2" t="s">
        <v>1310</v>
      </c>
      <c r="B19" s="2" t="s">
        <v>248</v>
      </c>
      <c r="C19" s="2" t="s">
        <v>1242</v>
      </c>
      <c r="D19" s="2" t="s">
        <v>2541</v>
      </c>
      <c r="E19" s="2" t="n">
        <v>1610</v>
      </c>
      <c r="F19" s="2" t="n">
        <v>168</v>
      </c>
      <c r="G19" s="2" t="n">
        <v>113</v>
      </c>
      <c r="H19" s="2" t="n">
        <v>37</v>
      </c>
      <c r="I19" s="2" t="s">
        <v>1309</v>
      </c>
      <c r="J19" s="2"/>
      <c r="K19" s="2" t="s">
        <v>2542</v>
      </c>
      <c r="L19" s="2" t="s">
        <v>692</v>
      </c>
      <c r="M19" s="2" t="s">
        <v>2543</v>
      </c>
    </row>
    <row r="20" customFormat="false" ht="23.85" hidden="false" customHeight="false" outlineLevel="0" collapsed="false">
      <c r="A20" s="2" t="s">
        <v>1314</v>
      </c>
      <c r="B20" s="2" t="s">
        <v>250</v>
      </c>
      <c r="C20" s="2" t="s">
        <v>1242</v>
      </c>
      <c r="D20" s="2" t="s">
        <v>2541</v>
      </c>
      <c r="E20" s="2" t="n">
        <v>1072</v>
      </c>
      <c r="F20" s="2" t="n">
        <v>71</v>
      </c>
      <c r="G20" s="2" t="n">
        <v>74</v>
      </c>
      <c r="H20" s="2" t="n">
        <v>14</v>
      </c>
      <c r="I20" s="2" t="s">
        <v>1313</v>
      </c>
      <c r="J20" s="2"/>
      <c r="K20" s="2" t="s">
        <v>2542</v>
      </c>
      <c r="L20" s="2" t="s">
        <v>692</v>
      </c>
      <c r="M20" s="2" t="s">
        <v>2543</v>
      </c>
    </row>
    <row r="21" customFormat="false" ht="23.85" hidden="false" customHeight="false" outlineLevel="0" collapsed="false">
      <c r="A21" s="2" t="s">
        <v>1318</v>
      </c>
      <c r="B21" s="2" t="s">
        <v>252</v>
      </c>
      <c r="C21" s="2" t="s">
        <v>1242</v>
      </c>
      <c r="D21" s="2" t="s">
        <v>2541</v>
      </c>
      <c r="E21" s="2" t="n">
        <v>1506</v>
      </c>
      <c r="F21" s="2" t="n">
        <v>144</v>
      </c>
      <c r="G21" s="2" t="n">
        <v>87</v>
      </c>
      <c r="H21" s="2" t="n">
        <v>0</v>
      </c>
      <c r="I21" s="2" t="s">
        <v>1317</v>
      </c>
      <c r="J21" s="2"/>
      <c r="K21" s="2" t="s">
        <v>2542</v>
      </c>
      <c r="L21" s="2" t="s">
        <v>692</v>
      </c>
      <c r="M21" s="2" t="s">
        <v>2543</v>
      </c>
    </row>
    <row r="22" customFormat="false" ht="23.85" hidden="false" customHeight="false" outlineLevel="0" collapsed="false">
      <c r="A22" s="2" t="s">
        <v>1322</v>
      </c>
      <c r="B22" s="2" t="s">
        <v>254</v>
      </c>
      <c r="C22" s="2" t="s">
        <v>1242</v>
      </c>
      <c r="D22" s="2" t="s">
        <v>2541</v>
      </c>
      <c r="E22" s="2" t="n">
        <v>1150</v>
      </c>
      <c r="F22" s="2" t="n">
        <v>119</v>
      </c>
      <c r="G22" s="2" t="n">
        <v>85</v>
      </c>
      <c r="H22" s="2" t="n">
        <v>26</v>
      </c>
      <c r="I22" s="2" t="s">
        <v>1321</v>
      </c>
      <c r="J22" s="2"/>
      <c r="K22" s="2" t="s">
        <v>2542</v>
      </c>
      <c r="L22" s="2" t="s">
        <v>692</v>
      </c>
      <c r="M22" s="2" t="s">
        <v>2543</v>
      </c>
    </row>
    <row r="23" customFormat="false" ht="23.85" hidden="false" customHeight="false" outlineLevel="0" collapsed="false">
      <c r="A23" s="2" t="s">
        <v>1326</v>
      </c>
      <c r="B23" s="2" t="s">
        <v>256</v>
      </c>
      <c r="C23" s="2" t="s">
        <v>1242</v>
      </c>
      <c r="D23" s="2" t="s">
        <v>2541</v>
      </c>
      <c r="E23" s="2" t="n">
        <v>1347</v>
      </c>
      <c r="F23" s="2" t="n">
        <v>33</v>
      </c>
      <c r="G23" s="2" t="n">
        <v>23</v>
      </c>
      <c r="H23" s="2" t="n">
        <v>57</v>
      </c>
      <c r="I23" s="2" t="s">
        <v>1325</v>
      </c>
      <c r="J23" s="2"/>
      <c r="K23" s="2" t="s">
        <v>2542</v>
      </c>
      <c r="L23" s="2" t="s">
        <v>692</v>
      </c>
      <c r="M23" s="2" t="s">
        <v>2543</v>
      </c>
    </row>
    <row r="24" customFormat="false" ht="23.85" hidden="false" customHeight="false" outlineLevel="0" collapsed="false">
      <c r="A24" s="2" t="s">
        <v>1330</v>
      </c>
      <c r="B24" s="2" t="s">
        <v>258</v>
      </c>
      <c r="C24" s="2" t="s">
        <v>1242</v>
      </c>
      <c r="D24" s="2" t="s">
        <v>2541</v>
      </c>
      <c r="E24" s="2" t="n">
        <v>1357</v>
      </c>
      <c r="F24" s="2" t="n">
        <v>16</v>
      </c>
      <c r="G24" s="2" t="n">
        <v>15</v>
      </c>
      <c r="H24" s="2" t="n">
        <v>17</v>
      </c>
      <c r="I24" s="2" t="s">
        <v>1329</v>
      </c>
      <c r="J24" s="2"/>
      <c r="K24" s="2" t="s">
        <v>2542</v>
      </c>
      <c r="L24" s="2" t="s">
        <v>692</v>
      </c>
      <c r="M24" s="2" t="s">
        <v>2543</v>
      </c>
    </row>
    <row r="25" customFormat="false" ht="23.85" hidden="false" customHeight="false" outlineLevel="0" collapsed="false">
      <c r="A25" s="2" t="s">
        <v>1334</v>
      </c>
      <c r="B25" s="2" t="s">
        <v>260</v>
      </c>
      <c r="C25" s="2" t="s">
        <v>1242</v>
      </c>
      <c r="D25" s="2" t="s">
        <v>2541</v>
      </c>
      <c r="E25" s="2" t="n">
        <v>965</v>
      </c>
      <c r="F25" s="2" t="n">
        <v>26</v>
      </c>
      <c r="G25" s="2" t="n">
        <v>27</v>
      </c>
      <c r="H25" s="2" t="n">
        <v>27</v>
      </c>
      <c r="I25" s="2" t="s">
        <v>1333</v>
      </c>
      <c r="J25" s="2"/>
      <c r="K25" s="2" t="s">
        <v>2542</v>
      </c>
      <c r="L25" s="2" t="s">
        <v>692</v>
      </c>
      <c r="M25" s="2" t="s">
        <v>2543</v>
      </c>
    </row>
    <row r="26" customFormat="false" ht="23.85" hidden="false" customHeight="false" outlineLevel="0" collapsed="false">
      <c r="A26" s="2" t="s">
        <v>1338</v>
      </c>
      <c r="B26" s="2" t="s">
        <v>262</v>
      </c>
      <c r="C26" s="2" t="s">
        <v>1242</v>
      </c>
      <c r="D26" s="2" t="s">
        <v>2541</v>
      </c>
      <c r="E26" s="2" t="n">
        <v>1723</v>
      </c>
      <c r="F26" s="2" t="n">
        <v>235</v>
      </c>
      <c r="G26" s="2" t="n">
        <v>215</v>
      </c>
      <c r="H26" s="2" t="n">
        <v>84</v>
      </c>
      <c r="I26" s="2" t="s">
        <v>1337</v>
      </c>
      <c r="J26" s="2"/>
      <c r="K26" s="2" t="s">
        <v>2542</v>
      </c>
      <c r="L26" s="2" t="s">
        <v>692</v>
      </c>
      <c r="M26" s="2" t="s">
        <v>2543</v>
      </c>
    </row>
    <row r="27" customFormat="false" ht="23.85" hidden="false" customHeight="false" outlineLevel="0" collapsed="false">
      <c r="A27" s="2" t="s">
        <v>1342</v>
      </c>
      <c r="B27" s="2" t="s">
        <v>264</v>
      </c>
      <c r="C27" s="2" t="s">
        <v>1242</v>
      </c>
      <c r="D27" s="2" t="s">
        <v>2541</v>
      </c>
      <c r="E27" s="2" t="n">
        <v>2133</v>
      </c>
      <c r="F27" s="2" t="n">
        <v>39</v>
      </c>
      <c r="G27" s="2" t="n">
        <v>38</v>
      </c>
      <c r="H27" s="2" t="n">
        <v>39</v>
      </c>
      <c r="I27" s="2" t="s">
        <v>1341</v>
      </c>
      <c r="J27" s="2"/>
      <c r="K27" s="2" t="s">
        <v>2542</v>
      </c>
      <c r="L27" s="2" t="s">
        <v>692</v>
      </c>
      <c r="M27" s="2" t="s">
        <v>2543</v>
      </c>
    </row>
    <row r="28" customFormat="false" ht="23.85" hidden="false" customHeight="false" outlineLevel="0" collapsed="false">
      <c r="A28" s="2" t="s">
        <v>1346</v>
      </c>
      <c r="B28" s="2" t="s">
        <v>266</v>
      </c>
      <c r="C28" s="2" t="s">
        <v>1242</v>
      </c>
      <c r="D28" s="2" t="s">
        <v>2541</v>
      </c>
      <c r="E28" s="2" t="n">
        <v>1875</v>
      </c>
      <c r="F28" s="2" t="n">
        <v>222</v>
      </c>
      <c r="G28" s="2" t="n">
        <v>156</v>
      </c>
      <c r="H28" s="2" t="n">
        <v>72</v>
      </c>
      <c r="I28" s="2" t="s">
        <v>1345</v>
      </c>
      <c r="J28" s="2"/>
      <c r="K28" s="2" t="s">
        <v>2542</v>
      </c>
      <c r="L28" s="2" t="s">
        <v>692</v>
      </c>
      <c r="M28" s="2" t="s">
        <v>2543</v>
      </c>
    </row>
    <row r="29" customFormat="false" ht="23.85" hidden="false" customHeight="false" outlineLevel="0" collapsed="false">
      <c r="A29" s="2" t="s">
        <v>1350</v>
      </c>
      <c r="B29" s="2" t="s">
        <v>268</v>
      </c>
      <c r="C29" s="2" t="s">
        <v>1242</v>
      </c>
      <c r="D29" s="2" t="s">
        <v>2541</v>
      </c>
      <c r="E29" s="2" t="n">
        <v>1970</v>
      </c>
      <c r="F29" s="2" t="n">
        <v>255</v>
      </c>
      <c r="G29" s="2" t="n">
        <v>227</v>
      </c>
      <c r="H29" s="2" t="n">
        <v>151</v>
      </c>
      <c r="I29" s="2" t="s">
        <v>1349</v>
      </c>
      <c r="J29" s="2"/>
      <c r="K29" s="2" t="s">
        <v>2542</v>
      </c>
      <c r="L29" s="2" t="s">
        <v>692</v>
      </c>
      <c r="M29" s="2" t="s">
        <v>2543</v>
      </c>
    </row>
    <row r="30" customFormat="false" ht="23.85" hidden="false" customHeight="false" outlineLevel="0" collapsed="false">
      <c r="A30" s="2" t="s">
        <v>1354</v>
      </c>
      <c r="B30" s="2" t="s">
        <v>270</v>
      </c>
      <c r="C30" s="2" t="s">
        <v>1242</v>
      </c>
      <c r="D30" s="2" t="s">
        <v>2541</v>
      </c>
      <c r="E30" s="2" t="n">
        <v>1070</v>
      </c>
      <c r="F30" s="2" t="n">
        <v>47</v>
      </c>
      <c r="G30" s="2" t="n">
        <v>43</v>
      </c>
      <c r="H30" s="2" t="n">
        <v>32</v>
      </c>
      <c r="I30" s="2" t="s">
        <v>1353</v>
      </c>
      <c r="J30" s="2"/>
      <c r="K30" s="2" t="s">
        <v>2542</v>
      </c>
      <c r="L30" s="2" t="s">
        <v>692</v>
      </c>
      <c r="M30" s="2" t="s">
        <v>2543</v>
      </c>
    </row>
    <row r="31" customFormat="false" ht="23.85" hidden="false" customHeight="false" outlineLevel="0" collapsed="false">
      <c r="A31" s="2" t="s">
        <v>1358</v>
      </c>
      <c r="B31" s="2" t="s">
        <v>272</v>
      </c>
      <c r="C31" s="2" t="s">
        <v>1242</v>
      </c>
      <c r="D31" s="2" t="s">
        <v>2541</v>
      </c>
      <c r="E31" s="2" t="n">
        <v>2510</v>
      </c>
      <c r="F31" s="2" t="n">
        <v>57</v>
      </c>
      <c r="G31" s="2" t="n">
        <v>95</v>
      </c>
      <c r="H31" s="2" t="n">
        <v>58</v>
      </c>
      <c r="I31" s="2" t="s">
        <v>1357</v>
      </c>
      <c r="J31" s="2"/>
      <c r="K31" s="2" t="s">
        <v>2542</v>
      </c>
      <c r="L31" s="2" t="s">
        <v>692</v>
      </c>
      <c r="M31" s="2" t="s">
        <v>2543</v>
      </c>
    </row>
    <row r="32" customFormat="false" ht="23.85" hidden="false" customHeight="false" outlineLevel="0" collapsed="false">
      <c r="A32" s="2" t="s">
        <v>1362</v>
      </c>
      <c r="B32" s="2" t="s">
        <v>274</v>
      </c>
      <c r="C32" s="2" t="s">
        <v>1242</v>
      </c>
      <c r="D32" s="2" t="s">
        <v>2541</v>
      </c>
      <c r="E32" s="2" t="n">
        <v>1157</v>
      </c>
      <c r="F32" s="2" t="n">
        <v>84</v>
      </c>
      <c r="G32" s="2" t="n">
        <v>2</v>
      </c>
      <c r="H32" s="2" t="n">
        <v>17</v>
      </c>
      <c r="I32" s="2" t="s">
        <v>1361</v>
      </c>
      <c r="J32" s="2"/>
      <c r="K32" s="2" t="s">
        <v>2542</v>
      </c>
      <c r="L32" s="2" t="s">
        <v>692</v>
      </c>
      <c r="M32" s="2" t="s">
        <v>2543</v>
      </c>
    </row>
    <row r="33" customFormat="false" ht="23.85" hidden="false" customHeight="false" outlineLevel="0" collapsed="false">
      <c r="A33" s="2" t="s">
        <v>1366</v>
      </c>
      <c r="B33" s="2" t="s">
        <v>276</v>
      </c>
      <c r="C33" s="2" t="s">
        <v>1242</v>
      </c>
      <c r="D33" s="2" t="s">
        <v>2541</v>
      </c>
      <c r="E33" s="2" t="n">
        <v>998</v>
      </c>
      <c r="F33" s="2" t="n">
        <v>71</v>
      </c>
      <c r="G33" s="2" t="n">
        <v>16</v>
      </c>
      <c r="H33" s="2" t="n">
        <v>26</v>
      </c>
      <c r="I33" s="2" t="s">
        <v>1365</v>
      </c>
      <c r="J33" s="2"/>
      <c r="K33" s="2" t="s">
        <v>2542</v>
      </c>
      <c r="L33" s="2" t="s">
        <v>692</v>
      </c>
      <c r="M33" s="2" t="s">
        <v>2543</v>
      </c>
    </row>
    <row r="34" customFormat="false" ht="23.85" hidden="false" customHeight="false" outlineLevel="0" collapsed="false">
      <c r="A34" s="2" t="s">
        <v>1370</v>
      </c>
      <c r="B34" s="2" t="s">
        <v>278</v>
      </c>
      <c r="C34" s="2" t="s">
        <v>1242</v>
      </c>
      <c r="D34" s="2" t="s">
        <v>2541</v>
      </c>
      <c r="E34" s="2" t="n">
        <v>1441</v>
      </c>
      <c r="F34" s="2" t="n">
        <v>68</v>
      </c>
      <c r="G34" s="2" t="n">
        <v>50</v>
      </c>
      <c r="H34" s="2" t="n">
        <v>73</v>
      </c>
      <c r="I34" s="2" t="s">
        <v>1369</v>
      </c>
      <c r="J34" s="2"/>
      <c r="K34" s="2" t="s">
        <v>2542</v>
      </c>
      <c r="L34" s="2" t="s">
        <v>692</v>
      </c>
      <c r="M34" s="2" t="s">
        <v>2543</v>
      </c>
    </row>
    <row r="35" customFormat="false" ht="23.85" hidden="false" customHeight="false" outlineLevel="0" collapsed="false">
      <c r="A35" s="2" t="s">
        <v>1374</v>
      </c>
      <c r="B35" s="2" t="s">
        <v>280</v>
      </c>
      <c r="C35" s="2" t="s">
        <v>1242</v>
      </c>
      <c r="D35" s="2" t="s">
        <v>2541</v>
      </c>
      <c r="E35" s="2" t="n">
        <v>1065</v>
      </c>
      <c r="F35" s="2" t="n">
        <v>34</v>
      </c>
      <c r="G35" s="2" t="n">
        <v>24</v>
      </c>
      <c r="H35" s="2" t="n">
        <v>24</v>
      </c>
      <c r="I35" s="2" t="s">
        <v>1373</v>
      </c>
      <c r="J35" s="2"/>
      <c r="K35" s="2" t="s">
        <v>2542</v>
      </c>
      <c r="L35" s="2" t="s">
        <v>692</v>
      </c>
      <c r="M35" s="2" t="s">
        <v>2543</v>
      </c>
    </row>
    <row r="36" customFormat="false" ht="23.85" hidden="false" customHeight="false" outlineLevel="0" collapsed="false">
      <c r="A36" s="2" t="s">
        <v>1378</v>
      </c>
      <c r="B36" s="2" t="s">
        <v>282</v>
      </c>
      <c r="C36" s="2" t="s">
        <v>1242</v>
      </c>
      <c r="D36" s="2" t="s">
        <v>2541</v>
      </c>
      <c r="E36" s="2" t="n">
        <v>1144</v>
      </c>
      <c r="F36" s="2" t="n">
        <v>18</v>
      </c>
      <c r="G36" s="2" t="n">
        <v>28</v>
      </c>
      <c r="H36" s="2" t="n">
        <v>41</v>
      </c>
      <c r="I36" s="2" t="s">
        <v>1377</v>
      </c>
      <c r="J36" s="2"/>
      <c r="K36" s="2" t="s">
        <v>2542</v>
      </c>
      <c r="L36" s="2" t="s">
        <v>692</v>
      </c>
      <c r="M36" s="2" t="s">
        <v>2543</v>
      </c>
    </row>
    <row r="37" customFormat="false" ht="23.85" hidden="false" customHeight="false" outlineLevel="0" collapsed="false">
      <c r="A37" s="2" t="s">
        <v>1382</v>
      </c>
      <c r="B37" s="2" t="s">
        <v>284</v>
      </c>
      <c r="C37" s="2" t="s">
        <v>1242</v>
      </c>
      <c r="D37" s="2" t="s">
        <v>2541</v>
      </c>
      <c r="E37" s="2" t="n">
        <v>1081</v>
      </c>
      <c r="F37" s="2" t="n">
        <v>108</v>
      </c>
      <c r="G37" s="2" t="n">
        <v>8</v>
      </c>
      <c r="H37" s="2" t="n">
        <v>36</v>
      </c>
      <c r="I37" s="2" t="s">
        <v>1381</v>
      </c>
      <c r="J37" s="2"/>
      <c r="K37" s="2" t="s">
        <v>2542</v>
      </c>
      <c r="L37" s="2" t="s">
        <v>692</v>
      </c>
      <c r="M37" s="2" t="s">
        <v>2543</v>
      </c>
    </row>
    <row r="38" customFormat="false" ht="23.85" hidden="false" customHeight="false" outlineLevel="0" collapsed="false">
      <c r="A38" s="2" t="s">
        <v>1386</v>
      </c>
      <c r="B38" s="2" t="s">
        <v>286</v>
      </c>
      <c r="C38" s="2" t="s">
        <v>1242</v>
      </c>
      <c r="D38" s="2" t="s">
        <v>2541</v>
      </c>
      <c r="E38" s="2" t="n">
        <v>1100</v>
      </c>
      <c r="F38" s="2" t="n">
        <v>144</v>
      </c>
      <c r="G38" s="2" t="n">
        <v>32</v>
      </c>
      <c r="H38" s="2" t="n">
        <v>40</v>
      </c>
      <c r="I38" s="2" t="s">
        <v>1385</v>
      </c>
      <c r="J38" s="2"/>
      <c r="K38" s="2" t="s">
        <v>2542</v>
      </c>
      <c r="L38" s="2" t="s">
        <v>692</v>
      </c>
      <c r="M38" s="2" t="s">
        <v>2543</v>
      </c>
    </row>
    <row r="39" customFormat="false" ht="23.85" hidden="false" customHeight="false" outlineLevel="0" collapsed="false">
      <c r="A39" s="2" t="s">
        <v>1390</v>
      </c>
      <c r="B39" s="2" t="s">
        <v>288</v>
      </c>
      <c r="C39" s="2" t="s">
        <v>1242</v>
      </c>
      <c r="D39" s="2" t="s">
        <v>2541</v>
      </c>
      <c r="E39" s="2" t="n">
        <v>1316</v>
      </c>
      <c r="F39" s="2" t="n">
        <v>130</v>
      </c>
      <c r="G39" s="2" t="n">
        <v>83</v>
      </c>
      <c r="H39" s="2" t="n">
        <v>39</v>
      </c>
      <c r="I39" s="2" t="s">
        <v>1389</v>
      </c>
      <c r="J39" s="2"/>
      <c r="K39" s="2" t="s">
        <v>2542</v>
      </c>
      <c r="L39" s="2" t="s">
        <v>692</v>
      </c>
      <c r="M39" s="2" t="s">
        <v>2543</v>
      </c>
    </row>
    <row r="40" customFormat="false" ht="23.85" hidden="false" customHeight="false" outlineLevel="0" collapsed="false">
      <c r="A40" s="2" t="s">
        <v>1394</v>
      </c>
      <c r="B40" s="2" t="s">
        <v>290</v>
      </c>
      <c r="C40" s="2" t="s">
        <v>1242</v>
      </c>
      <c r="D40" s="2" t="s">
        <v>2541</v>
      </c>
      <c r="E40" s="2" t="n">
        <v>1364</v>
      </c>
      <c r="F40" s="2" t="n">
        <v>64</v>
      </c>
      <c r="G40" s="2" t="n">
        <v>49</v>
      </c>
      <c r="H40" s="2" t="n">
        <v>35</v>
      </c>
      <c r="I40" s="2" t="s">
        <v>1393</v>
      </c>
      <c r="J40" s="2"/>
      <c r="K40" s="2" t="s">
        <v>2542</v>
      </c>
      <c r="L40" s="2" t="s">
        <v>692</v>
      </c>
      <c r="M40" s="2" t="s">
        <v>2543</v>
      </c>
    </row>
    <row r="41" customFormat="false" ht="23.85" hidden="false" customHeight="false" outlineLevel="0" collapsed="false">
      <c r="A41" s="2" t="s">
        <v>1398</v>
      </c>
      <c r="B41" s="2" t="s">
        <v>292</v>
      </c>
      <c r="C41" s="2" t="s">
        <v>1242</v>
      </c>
      <c r="D41" s="2" t="s">
        <v>2541</v>
      </c>
      <c r="E41" s="2" t="n">
        <v>1222</v>
      </c>
      <c r="F41" s="2" t="n">
        <v>69</v>
      </c>
      <c r="G41" s="2" t="n">
        <v>53</v>
      </c>
      <c r="H41" s="2" t="n">
        <v>53</v>
      </c>
      <c r="I41" s="2" t="s">
        <v>1397</v>
      </c>
      <c r="J41" s="2"/>
      <c r="K41" s="2" t="s">
        <v>2542</v>
      </c>
      <c r="L41" s="2" t="s">
        <v>692</v>
      </c>
      <c r="M41" s="2" t="s">
        <v>2543</v>
      </c>
    </row>
    <row r="42" customFormat="false" ht="23.85" hidden="false" customHeight="false" outlineLevel="0" collapsed="false">
      <c r="A42" s="2" t="s">
        <v>1402</v>
      </c>
      <c r="B42" s="2" t="s">
        <v>294</v>
      </c>
      <c r="C42" s="2" t="s">
        <v>1242</v>
      </c>
      <c r="D42" s="2" t="s">
        <v>2541</v>
      </c>
      <c r="E42" s="2" t="n">
        <v>1096</v>
      </c>
      <c r="F42" s="2" t="n">
        <v>213</v>
      </c>
      <c r="G42" s="2" t="n">
        <v>33</v>
      </c>
      <c r="H42" s="2" t="n">
        <v>22</v>
      </c>
      <c r="I42" s="2" t="s">
        <v>1401</v>
      </c>
      <c r="J42" s="2"/>
      <c r="K42" s="2" t="s">
        <v>2542</v>
      </c>
      <c r="L42" s="2" t="s">
        <v>692</v>
      </c>
      <c r="M42" s="2" t="s">
        <v>2543</v>
      </c>
    </row>
    <row r="43" customFormat="false" ht="23.85" hidden="false" customHeight="false" outlineLevel="0" collapsed="false">
      <c r="A43" s="2" t="s">
        <v>1406</v>
      </c>
      <c r="B43" s="2" t="s">
        <v>296</v>
      </c>
      <c r="C43" s="2" t="s">
        <v>1242</v>
      </c>
      <c r="D43" s="2" t="s">
        <v>2541</v>
      </c>
      <c r="E43" s="2" t="n">
        <v>1505</v>
      </c>
      <c r="F43" s="2" t="n">
        <v>146</v>
      </c>
      <c r="G43" s="2" t="n">
        <v>75</v>
      </c>
      <c r="H43" s="2" t="n">
        <v>63</v>
      </c>
      <c r="I43" s="2" t="s">
        <v>1405</v>
      </c>
      <c r="J43" s="2"/>
      <c r="K43" s="2" t="s">
        <v>2542</v>
      </c>
      <c r="L43" s="2" t="s">
        <v>692</v>
      </c>
      <c r="M43" s="2" t="s">
        <v>2543</v>
      </c>
    </row>
    <row r="44" customFormat="false" ht="23.85" hidden="false" customHeight="false" outlineLevel="0" collapsed="false">
      <c r="A44" s="2" t="s">
        <v>1410</v>
      </c>
      <c r="B44" s="2" t="s">
        <v>298</v>
      </c>
      <c r="C44" s="2" t="s">
        <v>1242</v>
      </c>
      <c r="D44" s="2" t="s">
        <v>2541</v>
      </c>
      <c r="E44" s="2" t="n">
        <v>1362</v>
      </c>
      <c r="F44" s="2" t="n">
        <v>38</v>
      </c>
      <c r="G44" s="2" t="n">
        <v>59</v>
      </c>
      <c r="H44" s="2" t="n">
        <v>47</v>
      </c>
      <c r="I44" s="2" t="s">
        <v>1409</v>
      </c>
      <c r="J44" s="2"/>
      <c r="K44" s="2" t="s">
        <v>2542</v>
      </c>
      <c r="L44" s="2" t="s">
        <v>692</v>
      </c>
      <c r="M44" s="2" t="s">
        <v>2543</v>
      </c>
    </row>
    <row r="45" customFormat="false" ht="23.85" hidden="false" customHeight="false" outlineLevel="0" collapsed="false">
      <c r="A45" s="2" t="s">
        <v>1414</v>
      </c>
      <c r="B45" s="2" t="s">
        <v>300</v>
      </c>
      <c r="C45" s="2" t="s">
        <v>1242</v>
      </c>
      <c r="D45" s="2" t="s">
        <v>2541</v>
      </c>
      <c r="E45" s="2" t="n">
        <v>1873</v>
      </c>
      <c r="F45" s="2" t="n">
        <v>251</v>
      </c>
      <c r="G45" s="2" t="n">
        <v>250</v>
      </c>
      <c r="H45" s="2" t="n">
        <v>241</v>
      </c>
      <c r="I45" s="2" t="s">
        <v>1413</v>
      </c>
      <c r="J45" s="2"/>
      <c r="K45" s="2" t="s">
        <v>2542</v>
      </c>
      <c r="L45" s="2" t="s">
        <v>692</v>
      </c>
      <c r="M45" s="2" t="s">
        <v>2543</v>
      </c>
    </row>
    <row r="46" customFormat="false" ht="23.85" hidden="false" customHeight="false" outlineLevel="0" collapsed="false">
      <c r="A46" s="2" t="s">
        <v>1418</v>
      </c>
      <c r="B46" s="2" t="s">
        <v>302</v>
      </c>
      <c r="C46" s="2" t="s">
        <v>1242</v>
      </c>
      <c r="D46" s="2" t="s">
        <v>2541</v>
      </c>
      <c r="E46" s="2" t="n">
        <v>1432</v>
      </c>
      <c r="F46" s="2" t="n">
        <v>149</v>
      </c>
      <c r="G46" s="2" t="n">
        <v>66</v>
      </c>
      <c r="H46" s="2" t="n">
        <v>40</v>
      </c>
      <c r="I46" s="2" t="s">
        <v>1417</v>
      </c>
      <c r="J46" s="2"/>
      <c r="K46" s="2" t="s">
        <v>2542</v>
      </c>
      <c r="L46" s="2" t="s">
        <v>692</v>
      </c>
      <c r="M46" s="2" t="s">
        <v>2543</v>
      </c>
    </row>
    <row r="47" customFormat="false" ht="23.85" hidden="false" customHeight="false" outlineLevel="0" collapsed="false">
      <c r="A47" s="2" t="s">
        <v>1422</v>
      </c>
      <c r="B47" s="2" t="s">
        <v>304</v>
      </c>
      <c r="C47" s="2" t="s">
        <v>1242</v>
      </c>
      <c r="D47" s="2" t="s">
        <v>2541</v>
      </c>
      <c r="E47" s="2" t="n">
        <v>1093</v>
      </c>
      <c r="F47" s="2" t="n">
        <v>233</v>
      </c>
      <c r="G47" s="2" t="n">
        <v>162</v>
      </c>
      <c r="H47" s="2" t="n">
        <v>0</v>
      </c>
      <c r="I47" s="2" t="s">
        <v>1421</v>
      </c>
      <c r="J47" s="2"/>
      <c r="K47" s="2" t="s">
        <v>2542</v>
      </c>
      <c r="L47" s="2" t="s">
        <v>692</v>
      </c>
      <c r="M47" s="2" t="s">
        <v>2543</v>
      </c>
    </row>
    <row r="48" customFormat="false" ht="23.85" hidden="false" customHeight="false" outlineLevel="0" collapsed="false">
      <c r="A48" s="2" t="s">
        <v>1426</v>
      </c>
      <c r="B48" s="2" t="s">
        <v>306</v>
      </c>
      <c r="C48" s="2" t="s">
        <v>1242</v>
      </c>
      <c r="D48" s="2" t="s">
        <v>2541</v>
      </c>
      <c r="E48" s="2" t="n">
        <v>999</v>
      </c>
      <c r="F48" s="2" t="n">
        <v>70</v>
      </c>
      <c r="G48" s="2" t="n">
        <v>21</v>
      </c>
      <c r="H48" s="2" t="n">
        <v>17</v>
      </c>
      <c r="I48" s="2" t="s">
        <v>1425</v>
      </c>
      <c r="J48" s="2"/>
      <c r="K48" s="2" t="s">
        <v>2542</v>
      </c>
      <c r="L48" s="2" t="s">
        <v>692</v>
      </c>
      <c r="M48" s="2" t="s">
        <v>2543</v>
      </c>
    </row>
    <row r="49" customFormat="false" ht="23.85" hidden="false" customHeight="false" outlineLevel="0" collapsed="false">
      <c r="A49" s="2" t="s">
        <v>1430</v>
      </c>
      <c r="B49" s="2" t="s">
        <v>308</v>
      </c>
      <c r="C49" s="2" t="s">
        <v>1242</v>
      </c>
      <c r="D49" s="2" t="s">
        <v>2541</v>
      </c>
      <c r="E49" s="2" t="n">
        <v>1422</v>
      </c>
      <c r="F49" s="2" t="n">
        <v>62</v>
      </c>
      <c r="G49" s="2" t="n">
        <v>38</v>
      </c>
      <c r="H49" s="2" t="n">
        <v>126</v>
      </c>
      <c r="I49" s="2" t="s">
        <v>1429</v>
      </c>
      <c r="J49" s="2"/>
      <c r="K49" s="2" t="s">
        <v>2542</v>
      </c>
      <c r="L49" s="2" t="s">
        <v>692</v>
      </c>
      <c r="M49" s="2" t="s">
        <v>2543</v>
      </c>
    </row>
    <row r="50" customFormat="false" ht="23.85" hidden="false" customHeight="false" outlineLevel="0" collapsed="false">
      <c r="A50" s="2" t="s">
        <v>1434</v>
      </c>
      <c r="B50" s="2" t="s">
        <v>310</v>
      </c>
      <c r="C50" s="2" t="s">
        <v>1242</v>
      </c>
      <c r="D50" s="2" t="s">
        <v>2541</v>
      </c>
      <c r="E50" s="2" t="n">
        <v>1318</v>
      </c>
      <c r="F50" s="2" t="n">
        <v>39</v>
      </c>
      <c r="G50" s="2" t="n">
        <v>27</v>
      </c>
      <c r="H50" s="2" t="n">
        <v>19</v>
      </c>
      <c r="I50" s="2" t="s">
        <v>1433</v>
      </c>
      <c r="J50" s="2"/>
      <c r="K50" s="2" t="s">
        <v>2542</v>
      </c>
      <c r="L50" s="2" t="s">
        <v>692</v>
      </c>
      <c r="M50" s="2" t="s">
        <v>2543</v>
      </c>
    </row>
    <row r="51" customFormat="false" ht="23.85" hidden="false" customHeight="false" outlineLevel="0" collapsed="false">
      <c r="A51" s="2" t="s">
        <v>1438</v>
      </c>
      <c r="B51" s="2" t="s">
        <v>312</v>
      </c>
      <c r="C51" s="2" t="s">
        <v>1242</v>
      </c>
      <c r="D51" s="2" t="s">
        <v>2541</v>
      </c>
      <c r="E51" s="2" t="n">
        <v>1677</v>
      </c>
      <c r="F51" s="2" t="n">
        <v>127</v>
      </c>
      <c r="G51" s="2" t="n">
        <v>49</v>
      </c>
      <c r="H51" s="2" t="n">
        <v>29</v>
      </c>
      <c r="I51" s="2" t="s">
        <v>1437</v>
      </c>
      <c r="J51" s="2"/>
      <c r="K51" s="2" t="s">
        <v>2542</v>
      </c>
      <c r="L51" s="2" t="s">
        <v>692</v>
      </c>
      <c r="M51" s="2" t="s">
        <v>2543</v>
      </c>
    </row>
    <row r="52" customFormat="false" ht="23.85" hidden="false" customHeight="false" outlineLevel="0" collapsed="false">
      <c r="A52" s="2" t="s">
        <v>1442</v>
      </c>
      <c r="B52" s="2" t="s">
        <v>314</v>
      </c>
      <c r="C52" s="2" t="s">
        <v>1242</v>
      </c>
      <c r="D52" s="2" t="s">
        <v>2541</v>
      </c>
      <c r="E52" s="2" t="n">
        <v>1360</v>
      </c>
      <c r="F52" s="2" t="n">
        <v>0</v>
      </c>
      <c r="G52" s="2" t="n">
        <v>62</v>
      </c>
      <c r="H52" s="2" t="n">
        <v>53</v>
      </c>
      <c r="I52" s="2" t="s">
        <v>1441</v>
      </c>
      <c r="J52" s="2"/>
      <c r="K52" s="2" t="s">
        <v>2542</v>
      </c>
      <c r="L52" s="2" t="s">
        <v>692</v>
      </c>
      <c r="M52" s="2" t="s">
        <v>2543</v>
      </c>
    </row>
    <row r="53" customFormat="false" ht="23.85" hidden="false" customHeight="false" outlineLevel="0" collapsed="false">
      <c r="A53" s="2" t="s">
        <v>1446</v>
      </c>
      <c r="B53" s="2" t="s">
        <v>316</v>
      </c>
      <c r="C53" s="2" t="s">
        <v>1242</v>
      </c>
      <c r="D53" s="2" t="s">
        <v>2541</v>
      </c>
      <c r="E53" s="2" t="n">
        <v>2143</v>
      </c>
      <c r="F53" s="2" t="n">
        <v>0</v>
      </c>
      <c r="G53" s="2" t="n">
        <v>134</v>
      </c>
      <c r="H53" s="2" t="n">
        <v>84</v>
      </c>
      <c r="I53" s="2" t="s">
        <v>1445</v>
      </c>
      <c r="J53" s="2"/>
      <c r="K53" s="2" t="s">
        <v>2542</v>
      </c>
      <c r="L53" s="2" t="s">
        <v>692</v>
      </c>
      <c r="M53" s="2" t="s">
        <v>2543</v>
      </c>
    </row>
    <row r="54" customFormat="false" ht="23.85" hidden="false" customHeight="false" outlineLevel="0" collapsed="false">
      <c r="A54" s="2" t="s">
        <v>1450</v>
      </c>
      <c r="B54" s="2" t="s">
        <v>318</v>
      </c>
      <c r="C54" s="2" t="s">
        <v>1242</v>
      </c>
      <c r="D54" s="2" t="s">
        <v>2541</v>
      </c>
      <c r="E54" s="2" t="n">
        <v>1318</v>
      </c>
      <c r="F54" s="2" t="n">
        <v>0</v>
      </c>
      <c r="G54" s="2" t="n">
        <v>50</v>
      </c>
      <c r="H54" s="2" t="n">
        <v>40</v>
      </c>
      <c r="I54" s="2" t="s">
        <v>1449</v>
      </c>
      <c r="J54" s="2"/>
      <c r="K54" s="2" t="s">
        <v>2542</v>
      </c>
      <c r="L54" s="2" t="s">
        <v>692</v>
      </c>
      <c r="M54" s="2" t="s">
        <v>2543</v>
      </c>
    </row>
    <row r="55" customFormat="false" ht="23.85" hidden="false" customHeight="false" outlineLevel="0" collapsed="false">
      <c r="A55" s="2" t="s">
        <v>1454</v>
      </c>
      <c r="B55" s="2" t="s">
        <v>320</v>
      </c>
      <c r="C55" s="2" t="s">
        <v>1242</v>
      </c>
      <c r="D55" s="2" t="s">
        <v>2541</v>
      </c>
      <c r="E55" s="2" t="n">
        <v>1329</v>
      </c>
      <c r="F55" s="2" t="n">
        <v>0</v>
      </c>
      <c r="G55" s="2" t="n">
        <v>60</v>
      </c>
      <c r="H55" s="2" t="n">
        <v>33</v>
      </c>
      <c r="I55" s="2" t="s">
        <v>1453</v>
      </c>
      <c r="J55" s="2"/>
      <c r="K55" s="2" t="s">
        <v>2542</v>
      </c>
      <c r="L55" s="2" t="s">
        <v>692</v>
      </c>
      <c r="M55" s="2" t="s">
        <v>2543</v>
      </c>
    </row>
    <row r="56" customFormat="false" ht="23.85" hidden="false" customHeight="false" outlineLevel="0" collapsed="false">
      <c r="A56" s="2" t="s">
        <v>1458</v>
      </c>
      <c r="B56" s="2" t="s">
        <v>322</v>
      </c>
      <c r="C56" s="2" t="s">
        <v>1242</v>
      </c>
      <c r="D56" s="2" t="s">
        <v>2541</v>
      </c>
      <c r="E56" s="2" t="n">
        <v>1000</v>
      </c>
      <c r="F56" s="2" t="n">
        <v>248</v>
      </c>
      <c r="G56" s="2" t="n">
        <v>65</v>
      </c>
      <c r="H56" s="2" t="n">
        <v>0</v>
      </c>
      <c r="I56" s="2" t="s">
        <v>1457</v>
      </c>
      <c r="J56" s="2"/>
      <c r="K56" s="2" t="s">
        <v>2542</v>
      </c>
      <c r="L56" s="2" t="s">
        <v>692</v>
      </c>
      <c r="M56" s="2" t="s">
        <v>2543</v>
      </c>
    </row>
    <row r="57" customFormat="false" ht="23.85" hidden="false" customHeight="false" outlineLevel="0" collapsed="false">
      <c r="A57" s="2" t="s">
        <v>1462</v>
      </c>
      <c r="B57" s="2" t="s">
        <v>324</v>
      </c>
      <c r="C57" s="2" t="s">
        <v>1242</v>
      </c>
      <c r="D57" s="2" t="s">
        <v>2541</v>
      </c>
      <c r="E57" s="2" t="n">
        <v>1494</v>
      </c>
      <c r="F57" s="2" t="n">
        <v>129</v>
      </c>
      <c r="G57" s="2" t="n">
        <v>0</v>
      </c>
      <c r="H57" s="2" t="n">
        <v>24</v>
      </c>
      <c r="I57" s="2" t="s">
        <v>1461</v>
      </c>
      <c r="J57" s="2"/>
      <c r="K57" s="2" t="s">
        <v>2542</v>
      </c>
      <c r="L57" s="2" t="s">
        <v>692</v>
      </c>
      <c r="M57" s="2" t="s">
        <v>2543</v>
      </c>
    </row>
    <row r="58" customFormat="false" ht="23.85" hidden="false" customHeight="false" outlineLevel="0" collapsed="false">
      <c r="A58" s="2" t="s">
        <v>1466</v>
      </c>
      <c r="B58" s="2" t="s">
        <v>326</v>
      </c>
      <c r="C58" s="2" t="s">
        <v>1242</v>
      </c>
      <c r="D58" s="2" t="s">
        <v>2541</v>
      </c>
      <c r="E58" s="2" t="n">
        <v>1517</v>
      </c>
      <c r="F58" s="2" t="n">
        <v>255</v>
      </c>
      <c r="G58" s="2" t="n">
        <v>204</v>
      </c>
      <c r="H58" s="2" t="n">
        <v>0</v>
      </c>
      <c r="I58" s="2" t="s">
        <v>1465</v>
      </c>
      <c r="J58" s="2"/>
      <c r="K58" s="2" t="s">
        <v>2542</v>
      </c>
      <c r="L58" s="2" t="s">
        <v>692</v>
      </c>
      <c r="M58" s="2" t="s">
        <v>2543</v>
      </c>
    </row>
    <row r="59" customFormat="false" ht="23.85" hidden="false" customHeight="false" outlineLevel="0" collapsed="false">
      <c r="A59" s="2" t="s">
        <v>1470</v>
      </c>
      <c r="B59" s="2" t="s">
        <v>328</v>
      </c>
      <c r="C59" s="2" t="s">
        <v>1242</v>
      </c>
      <c r="D59" s="2" t="s">
        <v>2541</v>
      </c>
      <c r="E59" s="2" t="n">
        <v>1380</v>
      </c>
      <c r="F59" s="2" t="n">
        <v>255</v>
      </c>
      <c r="G59" s="2" t="n">
        <v>145</v>
      </c>
      <c r="H59" s="2" t="n">
        <v>0</v>
      </c>
      <c r="I59" s="2" t="s">
        <v>1469</v>
      </c>
      <c r="J59" s="2"/>
      <c r="K59" s="2" t="s">
        <v>2542</v>
      </c>
      <c r="L59" s="2" t="s">
        <v>692</v>
      </c>
      <c r="M59" s="2" t="s">
        <v>2543</v>
      </c>
    </row>
    <row r="60" customFormat="false" ht="23.85" hidden="false" customHeight="false" outlineLevel="0" collapsed="false">
      <c r="A60" s="2" t="s">
        <v>1474</v>
      </c>
      <c r="B60" s="2" t="s">
        <v>330</v>
      </c>
      <c r="C60" s="2" t="s">
        <v>1242</v>
      </c>
      <c r="D60" s="2" t="s">
        <v>2541</v>
      </c>
      <c r="E60" s="2" t="n">
        <v>1089</v>
      </c>
      <c r="F60" s="2" t="n">
        <v>29</v>
      </c>
      <c r="G60" s="2" t="n">
        <v>23</v>
      </c>
      <c r="H60" s="2" t="n">
        <v>41</v>
      </c>
      <c r="I60" s="2" t="s">
        <v>1473</v>
      </c>
      <c r="J60" s="2"/>
      <c r="K60" s="2" t="s">
        <v>2542</v>
      </c>
      <c r="L60" s="2" t="s">
        <v>692</v>
      </c>
      <c r="M60" s="2" t="s">
        <v>2543</v>
      </c>
    </row>
    <row r="61" customFormat="false" ht="23.85" hidden="false" customHeight="false" outlineLevel="0" collapsed="false">
      <c r="A61" s="2" t="s">
        <v>1478</v>
      </c>
      <c r="B61" s="2" t="s">
        <v>332</v>
      </c>
      <c r="C61" s="2" t="s">
        <v>1242</v>
      </c>
      <c r="D61" s="2" t="s">
        <v>2541</v>
      </c>
      <c r="E61" s="2" t="n">
        <v>1060</v>
      </c>
      <c r="F61" s="2" t="n">
        <v>151</v>
      </c>
      <c r="G61" s="2" t="n">
        <v>104</v>
      </c>
      <c r="H61" s="2" t="n">
        <v>47</v>
      </c>
      <c r="I61" s="2" t="s">
        <v>1477</v>
      </c>
      <c r="J61" s="2"/>
      <c r="K61" s="2" t="s">
        <v>2542</v>
      </c>
      <c r="L61" s="2" t="s">
        <v>692</v>
      </c>
      <c r="M61" s="2" t="s">
        <v>2543</v>
      </c>
    </row>
    <row r="62" customFormat="false" ht="23.85" hidden="false" customHeight="false" outlineLevel="0" collapsed="false">
      <c r="A62" s="2" t="s">
        <v>1482</v>
      </c>
      <c r="B62" s="2" t="s">
        <v>334</v>
      </c>
      <c r="C62" s="2" t="s">
        <v>1242</v>
      </c>
      <c r="D62" s="2" t="s">
        <v>2541</v>
      </c>
      <c r="E62" s="2" t="n">
        <v>2355</v>
      </c>
      <c r="F62" s="2" t="n">
        <v>249</v>
      </c>
      <c r="G62" s="2" t="n">
        <v>248</v>
      </c>
      <c r="H62" s="2" t="n">
        <v>235</v>
      </c>
      <c r="I62" s="2" t="s">
        <v>1481</v>
      </c>
      <c r="J62" s="2"/>
      <c r="K62" s="2" t="s">
        <v>2542</v>
      </c>
      <c r="L62" s="2" t="s">
        <v>692</v>
      </c>
      <c r="M62" s="2" t="s">
        <v>2543</v>
      </c>
    </row>
    <row r="63" customFormat="false" ht="23.85" hidden="false" customHeight="false" outlineLevel="0" collapsed="false">
      <c r="A63" s="2" t="s">
        <v>1485</v>
      </c>
      <c r="B63" s="2" t="s">
        <v>336</v>
      </c>
      <c r="C63" s="2" t="s">
        <v>1242</v>
      </c>
      <c r="D63" s="2" t="s">
        <v>2541</v>
      </c>
      <c r="E63" s="2" t="n">
        <v>1478</v>
      </c>
      <c r="F63" s="2" t="n">
        <v>154</v>
      </c>
      <c r="G63" s="2" t="n">
        <v>44</v>
      </c>
      <c r="H63" s="2" t="n">
        <v>67</v>
      </c>
      <c r="I63" s="2" t="s">
        <v>1484</v>
      </c>
      <c r="J63" s="2"/>
      <c r="K63" s="2" t="s">
        <v>2542</v>
      </c>
      <c r="L63" s="2" t="s">
        <v>692</v>
      </c>
      <c r="M63" s="2" t="s">
        <v>2543</v>
      </c>
    </row>
    <row r="64" customFormat="false" ht="23.85" hidden="false" customHeight="false" outlineLevel="0" collapsed="false">
      <c r="A64" s="2" t="s">
        <v>1488</v>
      </c>
      <c r="B64" s="2" t="s">
        <v>337</v>
      </c>
      <c r="C64" s="2" t="s">
        <v>1242</v>
      </c>
      <c r="D64" s="2" t="s">
        <v>2541</v>
      </c>
      <c r="E64" s="2" t="n">
        <v>1762</v>
      </c>
      <c r="F64" s="2" t="n">
        <v>145</v>
      </c>
      <c r="G64" s="2" t="n">
        <v>76</v>
      </c>
      <c r="H64" s="2" t="n">
        <v>54</v>
      </c>
      <c r="I64" s="2" t="s">
        <v>1487</v>
      </c>
      <c r="J64" s="2"/>
      <c r="K64" s="2" t="s">
        <v>2542</v>
      </c>
      <c r="L64" s="2" t="s">
        <v>692</v>
      </c>
      <c r="M64" s="2" t="s">
        <v>2543</v>
      </c>
    </row>
    <row r="65" customFormat="false" ht="23.85" hidden="false" customHeight="false" outlineLevel="0" collapsed="false">
      <c r="A65" s="2" t="s">
        <v>1492</v>
      </c>
      <c r="B65" s="2" t="s">
        <v>338</v>
      </c>
      <c r="C65" s="2" t="s">
        <v>1242</v>
      </c>
      <c r="D65" s="2" t="s">
        <v>2541</v>
      </c>
      <c r="E65" s="2" t="n">
        <v>1636</v>
      </c>
      <c r="F65" s="2" t="n">
        <v>104</v>
      </c>
      <c r="G65" s="2" t="n">
        <v>72</v>
      </c>
      <c r="H65" s="2" t="n">
        <v>61</v>
      </c>
      <c r="I65" s="2" t="s">
        <v>1491</v>
      </c>
      <c r="J65" s="2"/>
      <c r="K65" s="2" t="s">
        <v>2542</v>
      </c>
      <c r="L65" s="2" t="s">
        <v>692</v>
      </c>
      <c r="M65" s="2" t="s">
        <v>2543</v>
      </c>
    </row>
    <row r="66" customFormat="false" ht="23.85" hidden="false" customHeight="false" outlineLevel="0" collapsed="false">
      <c r="A66" s="2" t="s">
        <v>1495</v>
      </c>
      <c r="B66" s="2" t="s">
        <v>340</v>
      </c>
      <c r="C66" s="2" t="s">
        <v>1242</v>
      </c>
      <c r="D66" s="2" t="s">
        <v>2541</v>
      </c>
      <c r="E66" s="2" t="n">
        <v>2240</v>
      </c>
      <c r="F66" s="2" t="n">
        <v>255</v>
      </c>
      <c r="G66" s="2" t="n">
        <v>229</v>
      </c>
      <c r="H66" s="2" t="n">
        <v>46</v>
      </c>
      <c r="I66" s="2" t="s">
        <v>1494</v>
      </c>
      <c r="J66" s="2"/>
      <c r="K66" s="2" t="s">
        <v>2542</v>
      </c>
      <c r="L66" s="2" t="s">
        <v>692</v>
      </c>
      <c r="M66" s="2" t="s">
        <v>2543</v>
      </c>
    </row>
    <row r="67" customFormat="false" ht="23.85" hidden="false" customHeight="false" outlineLevel="0" collapsed="false">
      <c r="A67" s="2" t="s">
        <v>1499</v>
      </c>
      <c r="B67" s="2" t="s">
        <v>341</v>
      </c>
      <c r="C67" s="2" t="s">
        <v>1242</v>
      </c>
      <c r="D67" s="2" t="s">
        <v>2541</v>
      </c>
      <c r="E67" s="2" t="n">
        <v>2740</v>
      </c>
      <c r="F67" s="2" t="n">
        <v>253</v>
      </c>
      <c r="G67" s="2" t="n">
        <v>111</v>
      </c>
      <c r="H67" s="2" t="n">
        <v>42</v>
      </c>
      <c r="I67" s="2" t="s">
        <v>1498</v>
      </c>
      <c r="J67" s="2"/>
      <c r="K67" s="2" t="s">
        <v>2542</v>
      </c>
      <c r="L67" s="2" t="s">
        <v>692</v>
      </c>
      <c r="M67" s="2" t="s">
        <v>2543</v>
      </c>
    </row>
    <row r="68" customFormat="false" ht="23.85" hidden="false" customHeight="false" outlineLevel="0" collapsed="false">
      <c r="A68" s="2" t="s">
        <v>1502</v>
      </c>
      <c r="B68" s="2" t="s">
        <v>343</v>
      </c>
      <c r="C68" s="2" t="s">
        <v>1242</v>
      </c>
      <c r="D68" s="2" t="s">
        <v>2541</v>
      </c>
      <c r="E68" s="2" t="n">
        <v>2130</v>
      </c>
      <c r="F68" s="2" t="n">
        <v>210</v>
      </c>
      <c r="G68" s="2" t="n">
        <v>59</v>
      </c>
      <c r="H68" s="2" t="n">
        <v>55</v>
      </c>
      <c r="I68" s="2" t="s">
        <v>1501</v>
      </c>
      <c r="J68" s="2"/>
      <c r="K68" s="2" t="s">
        <v>2542</v>
      </c>
      <c r="L68" s="2" t="s">
        <v>692</v>
      </c>
      <c r="M68" s="2" t="s">
        <v>2543</v>
      </c>
    </row>
    <row r="69" customFormat="false" ht="23.85" hidden="false" customHeight="false" outlineLevel="0" collapsed="false">
      <c r="A69" s="2" t="s">
        <v>1506</v>
      </c>
      <c r="B69" s="2" t="s">
        <v>344</v>
      </c>
      <c r="C69" s="2" t="s">
        <v>1242</v>
      </c>
      <c r="D69" s="2" t="s">
        <v>2541</v>
      </c>
      <c r="E69" s="2" t="n">
        <v>1944</v>
      </c>
      <c r="F69" s="2" t="n">
        <v>233</v>
      </c>
      <c r="G69" s="2" t="n">
        <v>69</v>
      </c>
      <c r="H69" s="2" t="n">
        <v>47</v>
      </c>
      <c r="I69" s="2" t="s">
        <v>1505</v>
      </c>
      <c r="J69" s="2"/>
      <c r="K69" s="2" t="s">
        <v>2542</v>
      </c>
      <c r="L69" s="2" t="s">
        <v>692</v>
      </c>
      <c r="M69" s="2" t="s">
        <v>2543</v>
      </c>
    </row>
    <row r="70" customFormat="false" ht="23.85" hidden="false" customHeight="false" outlineLevel="0" collapsed="false">
      <c r="A70" s="2" t="s">
        <v>1509</v>
      </c>
      <c r="B70" s="2" t="s">
        <v>346</v>
      </c>
      <c r="C70" s="2" t="s">
        <v>1242</v>
      </c>
      <c r="D70" s="2" t="s">
        <v>2541</v>
      </c>
      <c r="E70" s="2" t="n">
        <v>2069</v>
      </c>
      <c r="F70" s="2" t="n">
        <v>255</v>
      </c>
      <c r="G70" s="2" t="n">
        <v>189</v>
      </c>
      <c r="H70" s="2" t="n">
        <v>0</v>
      </c>
      <c r="I70" s="2" t="s">
        <v>1508</v>
      </c>
      <c r="J70" s="2"/>
      <c r="K70" s="2" t="s">
        <v>2542</v>
      </c>
      <c r="L70" s="2" t="s">
        <v>692</v>
      </c>
      <c r="M70" s="2" t="s">
        <v>2543</v>
      </c>
    </row>
    <row r="71" customFormat="false" ht="23.85" hidden="false" customHeight="false" outlineLevel="0" collapsed="false">
      <c r="A71" s="2" t="s">
        <v>1512</v>
      </c>
      <c r="B71" s="2" t="s">
        <v>347</v>
      </c>
      <c r="C71" s="2" t="s">
        <v>1242</v>
      </c>
      <c r="D71" s="2" t="s">
        <v>2541</v>
      </c>
      <c r="E71" s="2" t="n">
        <v>2585</v>
      </c>
      <c r="F71" s="2" t="n">
        <v>16</v>
      </c>
      <c r="G71" s="2" t="n">
        <v>117</v>
      </c>
      <c r="H71" s="2" t="n">
        <v>167</v>
      </c>
      <c r="I71" s="2" t="s">
        <v>1511</v>
      </c>
      <c r="J71" s="2"/>
      <c r="K71" s="2" t="s">
        <v>2542</v>
      </c>
      <c r="L71" s="2" t="s">
        <v>692</v>
      </c>
      <c r="M71" s="2" t="s">
        <v>2543</v>
      </c>
    </row>
    <row r="72" customFormat="false" ht="23.85" hidden="false" customHeight="false" outlineLevel="0" collapsed="false">
      <c r="A72" s="2" t="s">
        <v>1515</v>
      </c>
      <c r="B72" s="2" t="s">
        <v>348</v>
      </c>
      <c r="C72" s="2" t="s">
        <v>1242</v>
      </c>
      <c r="D72" s="2" t="s">
        <v>2541</v>
      </c>
      <c r="E72" s="2" t="n">
        <v>2662</v>
      </c>
      <c r="F72" s="2" t="n">
        <v>33</v>
      </c>
      <c r="G72" s="2" t="n">
        <v>104</v>
      </c>
      <c r="H72" s="2" t="n">
        <v>201</v>
      </c>
      <c r="I72" s="2" t="s">
        <v>1514</v>
      </c>
      <c r="J72" s="2"/>
      <c r="K72" s="2" t="s">
        <v>2542</v>
      </c>
      <c r="L72" s="2" t="s">
        <v>692</v>
      </c>
      <c r="M72" s="2" t="s">
        <v>2543</v>
      </c>
    </row>
    <row r="73" customFormat="false" ht="23.85" hidden="false" customHeight="false" outlineLevel="0" collapsed="false">
      <c r="A73" s="2" t="s">
        <v>1518</v>
      </c>
      <c r="B73" s="2" t="s">
        <v>349</v>
      </c>
      <c r="C73" s="2" t="s">
        <v>1242</v>
      </c>
      <c r="D73" s="2" t="s">
        <v>2541</v>
      </c>
      <c r="E73" s="2" t="n">
        <v>2233</v>
      </c>
      <c r="F73" s="2" t="n">
        <v>0</v>
      </c>
      <c r="G73" s="2" t="n">
        <v>166</v>
      </c>
      <c r="H73" s="2" t="n">
        <v>177</v>
      </c>
      <c r="I73" s="2" t="s">
        <v>1517</v>
      </c>
      <c r="J73" s="2"/>
      <c r="K73" s="2" t="s">
        <v>2542</v>
      </c>
      <c r="L73" s="2" t="s">
        <v>692</v>
      </c>
      <c r="M73" s="2" t="s">
        <v>2543</v>
      </c>
    </row>
    <row r="74" customFormat="false" ht="23.85" hidden="false" customHeight="false" outlineLevel="0" collapsed="false">
      <c r="A74" s="2" t="s">
        <v>1522</v>
      </c>
      <c r="B74" s="2" t="s">
        <v>350</v>
      </c>
      <c r="C74" s="2" t="s">
        <v>1242</v>
      </c>
      <c r="D74" s="2" t="s">
        <v>2541</v>
      </c>
      <c r="E74" s="2" t="n">
        <v>1528</v>
      </c>
      <c r="F74" s="2" t="n">
        <v>210</v>
      </c>
      <c r="G74" s="2" t="n">
        <v>64</v>
      </c>
      <c r="H74" s="2" t="n">
        <v>53</v>
      </c>
      <c r="I74" s="2" t="s">
        <v>1521</v>
      </c>
      <c r="J74" s="2"/>
      <c r="K74" s="2" t="s">
        <v>2542</v>
      </c>
      <c r="L74" s="2" t="s">
        <v>692</v>
      </c>
      <c r="M74" s="2" t="s">
        <v>2543</v>
      </c>
    </row>
    <row r="75" customFormat="false" ht="23.85" hidden="false" customHeight="false" outlineLevel="0" collapsed="false">
      <c r="A75" s="2" t="s">
        <v>1526</v>
      </c>
      <c r="B75" s="2" t="s">
        <v>352</v>
      </c>
      <c r="C75" s="2" t="s">
        <v>1242</v>
      </c>
      <c r="D75" s="2" t="s">
        <v>2541</v>
      </c>
      <c r="E75" s="2" t="n">
        <v>1818</v>
      </c>
      <c r="F75" s="2" t="n">
        <v>56</v>
      </c>
      <c r="G75" s="2" t="n">
        <v>59</v>
      </c>
      <c r="H75" s="2" t="n">
        <v>88</v>
      </c>
      <c r="I75" s="2" t="s">
        <v>1525</v>
      </c>
      <c r="J75" s="2"/>
      <c r="K75" s="2" t="s">
        <v>2542</v>
      </c>
      <c r="L75" s="2" t="s">
        <v>692</v>
      </c>
      <c r="M75" s="2" t="s">
        <v>2543</v>
      </c>
    </row>
    <row r="76" customFormat="false" ht="23.85" hidden="false" customHeight="false" outlineLevel="0" collapsed="false">
      <c r="A76" s="2" t="s">
        <v>1529</v>
      </c>
      <c r="B76" s="2" t="s">
        <v>354</v>
      </c>
      <c r="C76" s="2" t="s">
        <v>1242</v>
      </c>
      <c r="D76" s="2" t="s">
        <v>2541</v>
      </c>
      <c r="E76" s="2" t="n">
        <v>1811</v>
      </c>
      <c r="F76" s="2" t="n">
        <v>44</v>
      </c>
      <c r="G76" s="2" t="n">
        <v>41</v>
      </c>
      <c r="H76" s="2" t="n">
        <v>43</v>
      </c>
      <c r="I76" s="2" t="s">
        <v>1528</v>
      </c>
      <c r="J76" s="2"/>
      <c r="K76" s="2" t="s">
        <v>2542</v>
      </c>
      <c r="L76" s="2" t="s">
        <v>692</v>
      </c>
      <c r="M76" s="2" t="s">
        <v>2543</v>
      </c>
    </row>
    <row r="77" customFormat="false" ht="23.85" hidden="false" customHeight="false" outlineLevel="0" collapsed="false">
      <c r="A77" s="2" t="s">
        <v>1533</v>
      </c>
      <c r="B77" s="2" t="s">
        <v>355</v>
      </c>
      <c r="C77" s="2" t="s">
        <v>1242</v>
      </c>
      <c r="D77" s="2" t="s">
        <v>2541</v>
      </c>
      <c r="E77" s="2" t="n">
        <v>1788</v>
      </c>
      <c r="F77" s="2" t="n">
        <v>39</v>
      </c>
      <c r="G77" s="2" t="n">
        <v>33</v>
      </c>
      <c r="H77" s="2" t="n">
        <v>35</v>
      </c>
      <c r="I77" s="2" t="s">
        <v>1532</v>
      </c>
      <c r="J77" s="2"/>
      <c r="K77" s="2" t="s">
        <v>2542</v>
      </c>
      <c r="L77" s="2" t="s">
        <v>692</v>
      </c>
      <c r="M77" s="2" t="s">
        <v>2543</v>
      </c>
    </row>
    <row r="78" customFormat="false" ht="23.85" hidden="false" customHeight="false" outlineLevel="0" collapsed="false">
      <c r="A78" s="2" t="s">
        <v>1536</v>
      </c>
      <c r="B78" s="2" t="s">
        <v>357</v>
      </c>
      <c r="C78" s="2" t="s">
        <v>1242</v>
      </c>
      <c r="D78" s="2" t="s">
        <v>2541</v>
      </c>
      <c r="E78" s="2" t="n">
        <v>1478</v>
      </c>
      <c r="F78" s="2" t="n">
        <v>57</v>
      </c>
      <c r="G78" s="2" t="n">
        <v>56</v>
      </c>
      <c r="H78" s="2" t="n">
        <v>60</v>
      </c>
      <c r="I78" s="2" t="s">
        <v>1535</v>
      </c>
      <c r="J78" s="2"/>
      <c r="K78" s="2" t="s">
        <v>2542</v>
      </c>
      <c r="L78" s="2" t="s">
        <v>692</v>
      </c>
      <c r="M78" s="2" t="s">
        <v>2543</v>
      </c>
    </row>
    <row r="79" customFormat="false" ht="23.85" hidden="false" customHeight="false" outlineLevel="0" collapsed="false">
      <c r="A79" s="2" t="s">
        <v>1540</v>
      </c>
      <c r="B79" s="2" t="s">
        <v>358</v>
      </c>
      <c r="C79" s="2" t="s">
        <v>1242</v>
      </c>
      <c r="D79" s="2" t="s">
        <v>2541</v>
      </c>
      <c r="E79" s="2" t="n">
        <v>1542</v>
      </c>
      <c r="F79" s="2" t="n">
        <v>255</v>
      </c>
      <c r="G79" s="2" t="n">
        <v>234</v>
      </c>
      <c r="H79" s="2" t="n">
        <v>12</v>
      </c>
      <c r="I79" s="2" t="s">
        <v>1539</v>
      </c>
      <c r="J79" s="2"/>
      <c r="K79" s="2" t="s">
        <v>2542</v>
      </c>
      <c r="L79" s="2" t="s">
        <v>692</v>
      </c>
      <c r="M79" s="2" t="s">
        <v>2543</v>
      </c>
    </row>
    <row r="80" customFormat="false" ht="23.85" hidden="false" customHeight="false" outlineLevel="0" collapsed="false">
      <c r="A80" s="2" t="s">
        <v>1544</v>
      </c>
      <c r="B80" s="2" t="s">
        <v>360</v>
      </c>
      <c r="C80" s="2" t="s">
        <v>1242</v>
      </c>
      <c r="D80" s="2" t="s">
        <v>2541</v>
      </c>
      <c r="E80" s="2" t="n">
        <v>1594</v>
      </c>
      <c r="F80" s="2" t="n">
        <v>115</v>
      </c>
      <c r="G80" s="2" t="n">
        <v>57</v>
      </c>
      <c r="H80" s="2" t="n">
        <v>152</v>
      </c>
      <c r="I80" s="2" t="s">
        <v>1543</v>
      </c>
      <c r="J80" s="2"/>
      <c r="K80" s="2" t="s">
        <v>2542</v>
      </c>
      <c r="L80" s="2" t="s">
        <v>692</v>
      </c>
      <c r="M80" s="2" t="s">
        <v>2543</v>
      </c>
    </row>
    <row r="81" customFormat="false" ht="23.85" hidden="false" customHeight="false" outlineLevel="0" collapsed="false">
      <c r="A81" s="2" t="s">
        <v>1548</v>
      </c>
      <c r="B81" s="2" t="s">
        <v>362</v>
      </c>
      <c r="C81" s="2" t="s">
        <v>1242</v>
      </c>
      <c r="D81" s="2" t="s">
        <v>2541</v>
      </c>
      <c r="E81" s="2" t="n">
        <v>1618</v>
      </c>
      <c r="F81" s="2" t="n">
        <v>119</v>
      </c>
      <c r="G81" s="2" t="n">
        <v>50</v>
      </c>
      <c r="H81" s="2" t="n">
        <v>117</v>
      </c>
      <c r="I81" s="2" t="s">
        <v>1547</v>
      </c>
      <c r="J81" s="2"/>
      <c r="K81" s="2" t="s">
        <v>2542</v>
      </c>
      <c r="L81" s="2" t="s">
        <v>692</v>
      </c>
      <c r="M81" s="2" t="s">
        <v>2543</v>
      </c>
    </row>
    <row r="82" customFormat="false" ht="23.85" hidden="false" customHeight="false" outlineLevel="0" collapsed="false">
      <c r="A82" s="2" t="s">
        <v>1552</v>
      </c>
      <c r="B82" s="2" t="s">
        <v>364</v>
      </c>
      <c r="C82" s="2" t="s">
        <v>1242</v>
      </c>
      <c r="D82" s="2" t="s">
        <v>2541</v>
      </c>
      <c r="E82" s="2" t="n">
        <v>1545</v>
      </c>
      <c r="F82" s="2" t="n">
        <v>255</v>
      </c>
      <c r="G82" s="2" t="n">
        <v>120</v>
      </c>
      <c r="H82" s="2" t="n">
        <v>28</v>
      </c>
      <c r="I82" s="2" t="s">
        <v>1551</v>
      </c>
      <c r="J82" s="2"/>
      <c r="K82" s="2" t="s">
        <v>2542</v>
      </c>
      <c r="L82" s="2" t="s">
        <v>692</v>
      </c>
      <c r="M82" s="2" t="s">
        <v>2543</v>
      </c>
    </row>
    <row r="83" customFormat="false" ht="23.85" hidden="false" customHeight="false" outlineLevel="0" collapsed="false">
      <c r="A83" s="2" t="s">
        <v>1555</v>
      </c>
      <c r="B83" s="2" t="s">
        <v>366</v>
      </c>
      <c r="C83" s="2" t="s">
        <v>1242</v>
      </c>
      <c r="D83" s="2" t="s">
        <v>2541</v>
      </c>
      <c r="E83" s="2" t="n">
        <v>1509</v>
      </c>
      <c r="F83" s="2" t="n">
        <v>223</v>
      </c>
      <c r="G83" s="2" t="n">
        <v>154</v>
      </c>
      <c r="H83" s="2" t="n">
        <v>72</v>
      </c>
      <c r="I83" s="2" t="s">
        <v>1554</v>
      </c>
      <c r="J83" s="2"/>
      <c r="K83" s="2" t="s">
        <v>2542</v>
      </c>
      <c r="L83" s="2" t="s">
        <v>692</v>
      </c>
      <c r="M83" s="2" t="s">
        <v>2543</v>
      </c>
    </row>
    <row r="84" customFormat="false" ht="23.85" hidden="false" customHeight="false" outlineLevel="0" collapsed="false">
      <c r="A84" s="2" t="s">
        <v>1559</v>
      </c>
      <c r="B84" s="2" t="s">
        <v>367</v>
      </c>
      <c r="C84" s="2" t="s">
        <v>1242</v>
      </c>
      <c r="D84" s="2" t="s">
        <v>2541</v>
      </c>
      <c r="E84" s="2" t="n">
        <v>1710</v>
      </c>
      <c r="F84" s="2" t="n">
        <v>237</v>
      </c>
      <c r="G84" s="2" t="n">
        <v>96</v>
      </c>
      <c r="H84" s="2" t="n">
        <v>47</v>
      </c>
      <c r="I84" s="2" t="s">
        <v>1558</v>
      </c>
      <c r="J84" s="2"/>
      <c r="K84" s="2" t="s">
        <v>2542</v>
      </c>
      <c r="L84" s="2" t="s">
        <v>692</v>
      </c>
      <c r="M84" s="2" t="s">
        <v>2543</v>
      </c>
    </row>
    <row r="85" customFormat="false" ht="23.85" hidden="false" customHeight="false" outlineLevel="0" collapsed="false">
      <c r="A85" s="2" t="s">
        <v>1562</v>
      </c>
      <c r="B85" s="2" t="s">
        <v>369</v>
      </c>
      <c r="C85" s="2" t="s">
        <v>1242</v>
      </c>
      <c r="D85" s="2" t="s">
        <v>2541</v>
      </c>
      <c r="E85" s="2" t="n">
        <v>2178</v>
      </c>
      <c r="F85" s="2" t="n">
        <v>78</v>
      </c>
      <c r="G85" s="2" t="n">
        <v>107</v>
      </c>
      <c r="H85" s="2" t="n">
        <v>82</v>
      </c>
      <c r="I85" s="2" t="s">
        <v>1561</v>
      </c>
      <c r="J85" s="2"/>
      <c r="K85" s="2" t="s">
        <v>2542</v>
      </c>
      <c r="L85" s="2" t="s">
        <v>692</v>
      </c>
      <c r="M85" s="2" t="s">
        <v>2543</v>
      </c>
    </row>
    <row r="86" customFormat="false" ht="23.85" hidden="false" customHeight="false" outlineLevel="0" collapsed="false">
      <c r="A86" s="2" t="s">
        <v>1566</v>
      </c>
      <c r="B86" s="2" t="s">
        <v>370</v>
      </c>
      <c r="C86" s="2" t="s">
        <v>1242</v>
      </c>
      <c r="D86" s="2" t="s">
        <v>2541</v>
      </c>
      <c r="E86" s="2" t="n">
        <v>1489</v>
      </c>
      <c r="F86" s="2" t="n">
        <v>156</v>
      </c>
      <c r="G86" s="2" t="n">
        <v>44</v>
      </c>
      <c r="H86" s="2" t="n">
        <v>60</v>
      </c>
      <c r="I86" s="2" t="s">
        <v>1565</v>
      </c>
      <c r="J86" s="2"/>
      <c r="K86" s="2" t="s">
        <v>2542</v>
      </c>
      <c r="L86" s="2" t="s">
        <v>692</v>
      </c>
      <c r="M86" s="2" t="s">
        <v>2543</v>
      </c>
    </row>
    <row r="87" customFormat="false" ht="23.85" hidden="false" customHeight="false" outlineLevel="0" collapsed="false">
      <c r="A87" s="2" t="s">
        <v>1570</v>
      </c>
      <c r="B87" s="2" t="s">
        <v>371</v>
      </c>
      <c r="C87" s="2" t="s">
        <v>1242</v>
      </c>
      <c r="D87" s="2" t="s">
        <v>2541</v>
      </c>
      <c r="E87" s="2" t="n">
        <v>1469</v>
      </c>
      <c r="F87" s="2" t="n">
        <v>76</v>
      </c>
      <c r="G87" s="2" t="n">
        <v>53</v>
      </c>
      <c r="H87" s="2" t="n">
        <v>66</v>
      </c>
      <c r="I87" s="2" t="s">
        <v>1569</v>
      </c>
      <c r="J87" s="2"/>
      <c r="K87" s="2" t="s">
        <v>2542</v>
      </c>
      <c r="L87" s="2" t="s">
        <v>692</v>
      </c>
      <c r="M87" s="2" t="s">
        <v>2543</v>
      </c>
    </row>
    <row r="88" customFormat="false" ht="23.85" hidden="false" customHeight="false" outlineLevel="0" collapsed="false">
      <c r="A88" s="2" t="s">
        <v>1574</v>
      </c>
      <c r="B88" s="2" t="s">
        <v>373</v>
      </c>
      <c r="C88" s="2" t="s">
        <v>1242</v>
      </c>
      <c r="D88" s="2" t="s">
        <v>2541</v>
      </c>
      <c r="E88" s="2" t="n">
        <v>1759</v>
      </c>
      <c r="F88" s="2" t="n">
        <v>157</v>
      </c>
      <c r="G88" s="2" t="n">
        <v>49</v>
      </c>
      <c r="H88" s="2" t="n">
        <v>67</v>
      </c>
      <c r="I88" s="2" t="s">
        <v>1573</v>
      </c>
      <c r="J88" s="2"/>
      <c r="K88" s="2" t="s">
        <v>2542</v>
      </c>
      <c r="L88" s="2" t="s">
        <v>692</v>
      </c>
      <c r="M88" s="2" t="s">
        <v>2543</v>
      </c>
    </row>
    <row r="89" customFormat="false" ht="23.85" hidden="false" customHeight="false" outlineLevel="0" collapsed="false">
      <c r="A89" s="2" t="s">
        <v>1577</v>
      </c>
      <c r="B89" s="2" t="s">
        <v>375</v>
      </c>
      <c r="C89" s="2" t="s">
        <v>1242</v>
      </c>
      <c r="D89" s="2" t="s">
        <v>2541</v>
      </c>
      <c r="E89" s="2" t="n">
        <v>1405</v>
      </c>
      <c r="F89" s="2" t="n">
        <v>59</v>
      </c>
      <c r="G89" s="2" t="n">
        <v>54</v>
      </c>
      <c r="H89" s="2" t="n">
        <v>53</v>
      </c>
      <c r="I89" s="2" t="s">
        <v>1576</v>
      </c>
      <c r="J89" s="2"/>
      <c r="K89" s="2" t="s">
        <v>2542</v>
      </c>
      <c r="L89" s="2" t="s">
        <v>692</v>
      </c>
      <c r="M89" s="2" t="s">
        <v>2543</v>
      </c>
    </row>
    <row r="90" customFormat="false" ht="23.85" hidden="false" customHeight="false" outlineLevel="0" collapsed="false">
      <c r="A90" s="2" t="s">
        <v>1581</v>
      </c>
      <c r="B90" s="2" t="s">
        <v>376</v>
      </c>
      <c r="C90" s="2" t="s">
        <v>1242</v>
      </c>
      <c r="D90" s="2" t="s">
        <v>2541</v>
      </c>
      <c r="E90" s="2" t="n">
        <v>1421</v>
      </c>
      <c r="F90" s="2" t="n">
        <v>125</v>
      </c>
      <c r="G90" s="2" t="n">
        <v>54</v>
      </c>
      <c r="H90" s="2" t="n">
        <v>69</v>
      </c>
      <c r="I90" s="2" t="s">
        <v>1580</v>
      </c>
      <c r="J90" s="2"/>
      <c r="K90" s="2" t="s">
        <v>2542</v>
      </c>
      <c r="L90" s="2" t="s">
        <v>692</v>
      </c>
      <c r="M90" s="2" t="s">
        <v>2543</v>
      </c>
    </row>
    <row r="91" customFormat="false" ht="23.85" hidden="false" customHeight="false" outlineLevel="0" collapsed="false">
      <c r="A91" s="2" t="s">
        <v>1585</v>
      </c>
      <c r="B91" s="2" t="s">
        <v>378</v>
      </c>
      <c r="C91" s="2" t="s">
        <v>1242</v>
      </c>
      <c r="D91" s="2" t="s">
        <v>2541</v>
      </c>
      <c r="E91" s="2" t="n">
        <v>1495</v>
      </c>
      <c r="F91" s="2" t="n">
        <v>255</v>
      </c>
      <c r="G91" s="2" t="n">
        <v>179</v>
      </c>
      <c r="H91" s="2" t="n">
        <v>0</v>
      </c>
      <c r="I91" s="2" t="s">
        <v>1584</v>
      </c>
      <c r="J91" s="2"/>
      <c r="K91" s="2" t="s">
        <v>2542</v>
      </c>
      <c r="L91" s="2" t="s">
        <v>692</v>
      </c>
      <c r="M91" s="2" t="s">
        <v>2543</v>
      </c>
    </row>
    <row r="92" customFormat="false" ht="23.85" hidden="false" customHeight="false" outlineLevel="0" collapsed="false">
      <c r="A92" s="2" t="s">
        <v>1589</v>
      </c>
      <c r="B92" s="2" t="s">
        <v>380</v>
      </c>
      <c r="C92" s="2" t="s">
        <v>1242</v>
      </c>
      <c r="D92" s="2" t="s">
        <v>2541</v>
      </c>
      <c r="E92" s="2" t="n">
        <v>2350</v>
      </c>
      <c r="F92" s="2" t="n">
        <v>255</v>
      </c>
      <c r="G92" s="2" t="n">
        <v>245</v>
      </c>
      <c r="H92" s="2" t="n">
        <v>251</v>
      </c>
      <c r="I92" s="2" t="s">
        <v>1588</v>
      </c>
      <c r="J92" s="2"/>
      <c r="K92" s="2" t="s">
        <v>2542</v>
      </c>
      <c r="L92" s="2" t="s">
        <v>692</v>
      </c>
      <c r="M92" s="2" t="s">
        <v>2543</v>
      </c>
    </row>
    <row r="93" customFormat="false" ht="23.85" hidden="false" customHeight="false" outlineLevel="0" collapsed="false">
      <c r="A93" s="2" t="s">
        <v>1593</v>
      </c>
      <c r="B93" s="2" t="s">
        <v>382</v>
      </c>
      <c r="C93" s="2" t="s">
        <v>1242</v>
      </c>
      <c r="D93" s="2" t="s">
        <v>2541</v>
      </c>
      <c r="E93" s="2" t="n">
        <v>1841</v>
      </c>
      <c r="F93" s="2" t="n">
        <v>0</v>
      </c>
      <c r="G93" s="2" t="n">
        <v>128</v>
      </c>
      <c r="H93" s="2" t="n">
        <v>203</v>
      </c>
      <c r="I93" s="2" t="s">
        <v>1592</v>
      </c>
      <c r="J93" s="2"/>
      <c r="K93" s="2" t="s">
        <v>2542</v>
      </c>
      <c r="L93" s="2" t="s">
        <v>692</v>
      </c>
      <c r="M93" s="2" t="s">
        <v>2543</v>
      </c>
    </row>
    <row r="94" customFormat="false" ht="23.85" hidden="false" customHeight="false" outlineLevel="0" collapsed="false">
      <c r="A94" s="2" t="s">
        <v>1597</v>
      </c>
      <c r="B94" s="2" t="s">
        <v>384</v>
      </c>
      <c r="C94" s="2" t="s">
        <v>1242</v>
      </c>
      <c r="D94" s="2" t="s">
        <v>2541</v>
      </c>
      <c r="E94" s="2" t="n">
        <v>1540</v>
      </c>
      <c r="F94" s="2" t="n">
        <v>196</v>
      </c>
      <c r="G94" s="2" t="n">
        <v>10</v>
      </c>
      <c r="H94" s="2" t="n">
        <v>73</v>
      </c>
      <c r="I94" s="2" t="s">
        <v>1596</v>
      </c>
      <c r="J94" s="2"/>
      <c r="K94" s="2" t="s">
        <v>2542</v>
      </c>
      <c r="L94" s="2" t="s">
        <v>692</v>
      </c>
      <c r="M94" s="2" t="s">
        <v>2543</v>
      </c>
    </row>
    <row r="95" customFormat="false" ht="23.85" hidden="false" customHeight="false" outlineLevel="0" collapsed="false">
      <c r="A95" s="2" t="s">
        <v>1600</v>
      </c>
      <c r="B95" s="2" t="s">
        <v>386</v>
      </c>
      <c r="C95" s="2" t="s">
        <v>1242</v>
      </c>
      <c r="D95" s="2" t="s">
        <v>2541</v>
      </c>
      <c r="E95" s="2" t="n">
        <v>1496</v>
      </c>
      <c r="F95" s="2" t="n">
        <v>255</v>
      </c>
      <c r="G95" s="2" t="n">
        <v>222</v>
      </c>
      <c r="H95" s="2" t="n">
        <v>0</v>
      </c>
      <c r="I95" s="2" t="s">
        <v>1257</v>
      </c>
      <c r="J95" s="2"/>
      <c r="K95" s="2" t="s">
        <v>2542</v>
      </c>
      <c r="L95" s="2" t="s">
        <v>692</v>
      </c>
      <c r="M95" s="2" t="s">
        <v>2543</v>
      </c>
    </row>
    <row r="96" customFormat="false" ht="23.85" hidden="false" customHeight="false" outlineLevel="0" collapsed="false">
      <c r="A96" s="2" t="s">
        <v>1603</v>
      </c>
      <c r="B96" s="2" t="s">
        <v>388</v>
      </c>
      <c r="C96" s="2" t="s">
        <v>1242</v>
      </c>
      <c r="D96" s="2" t="s">
        <v>2541</v>
      </c>
      <c r="E96" s="2" t="n">
        <v>1159</v>
      </c>
      <c r="F96" s="2" t="n">
        <v>27</v>
      </c>
      <c r="G96" s="2" t="n">
        <v>64</v>
      </c>
      <c r="H96" s="2" t="n">
        <v>111</v>
      </c>
      <c r="I96" s="2" t="s">
        <v>1602</v>
      </c>
      <c r="J96" s="2"/>
      <c r="K96" s="2" t="s">
        <v>2542</v>
      </c>
      <c r="L96" s="2" t="s">
        <v>692</v>
      </c>
      <c r="M96" s="2" t="s">
        <v>2543</v>
      </c>
    </row>
    <row r="97" customFormat="false" ht="23.85" hidden="false" customHeight="false" outlineLevel="0" collapsed="false">
      <c r="A97" s="2" t="s">
        <v>1606</v>
      </c>
      <c r="B97" s="2" t="s">
        <v>389</v>
      </c>
      <c r="C97" s="2" t="s">
        <v>1242</v>
      </c>
      <c r="D97" s="2" t="s">
        <v>2541</v>
      </c>
      <c r="E97" s="2" t="n">
        <v>1905</v>
      </c>
      <c r="F97" s="2" t="n">
        <v>191</v>
      </c>
      <c r="G97" s="2" t="n">
        <v>119</v>
      </c>
      <c r="H97" s="2" t="n">
        <v>66</v>
      </c>
      <c r="I97" s="2" t="s">
        <v>1605</v>
      </c>
      <c r="J97" s="2"/>
      <c r="K97" s="2" t="s">
        <v>2542</v>
      </c>
      <c r="L97" s="2" t="s">
        <v>692</v>
      </c>
      <c r="M97" s="2" t="s">
        <v>2543</v>
      </c>
    </row>
    <row r="98" customFormat="false" ht="23.85" hidden="false" customHeight="false" outlineLevel="0" collapsed="false">
      <c r="A98" s="2" t="s">
        <v>1609</v>
      </c>
      <c r="B98" s="2" t="s">
        <v>390</v>
      </c>
      <c r="C98" s="2" t="s">
        <v>1242</v>
      </c>
      <c r="D98" s="2" t="s">
        <v>2541</v>
      </c>
      <c r="E98" s="2" t="n">
        <v>1694</v>
      </c>
      <c r="F98" s="2" t="n">
        <v>151</v>
      </c>
      <c r="G98" s="2" t="n">
        <v>112</v>
      </c>
      <c r="H98" s="2" t="n">
        <v>74</v>
      </c>
      <c r="I98" s="2" t="s">
        <v>1608</v>
      </c>
      <c r="J98" s="2"/>
      <c r="K98" s="2" t="s">
        <v>2542</v>
      </c>
      <c r="L98" s="2" t="s">
        <v>692</v>
      </c>
      <c r="M98" s="2" t="s">
        <v>2543</v>
      </c>
    </row>
    <row r="99" customFormat="false" ht="23.85" hidden="false" customHeight="false" outlineLevel="0" collapsed="false">
      <c r="A99" s="2" t="s">
        <v>1613</v>
      </c>
      <c r="B99" s="2" t="s">
        <v>391</v>
      </c>
      <c r="C99" s="2" t="s">
        <v>1242</v>
      </c>
      <c r="D99" s="2" t="s">
        <v>2541</v>
      </c>
      <c r="E99" s="2" t="n">
        <v>2322</v>
      </c>
      <c r="F99" s="2" t="n">
        <v>118</v>
      </c>
      <c r="G99" s="2" t="n">
        <v>61</v>
      </c>
      <c r="H99" s="2" t="n">
        <v>65</v>
      </c>
      <c r="I99" s="2" t="s">
        <v>1612</v>
      </c>
      <c r="J99" s="2"/>
      <c r="K99" s="2" t="s">
        <v>2542</v>
      </c>
      <c r="L99" s="2" t="s">
        <v>692</v>
      </c>
      <c r="M99" s="2" t="s">
        <v>2543</v>
      </c>
    </row>
    <row r="100" customFormat="false" ht="23.85" hidden="false" customHeight="false" outlineLevel="0" collapsed="false">
      <c r="A100" s="2" t="s">
        <v>1617</v>
      </c>
      <c r="B100" s="2" t="s">
        <v>393</v>
      </c>
      <c r="C100" s="2" t="s">
        <v>1242</v>
      </c>
      <c r="D100" s="2" t="s">
        <v>2541</v>
      </c>
      <c r="E100" s="2" t="n">
        <v>1480</v>
      </c>
      <c r="F100" s="2" t="n">
        <v>171</v>
      </c>
      <c r="G100" s="2" t="n">
        <v>0</v>
      </c>
      <c r="H100" s="2" t="n">
        <v>106</v>
      </c>
      <c r="I100" s="2" t="s">
        <v>1616</v>
      </c>
      <c r="J100" s="2"/>
      <c r="K100" s="2" t="s">
        <v>2542</v>
      </c>
      <c r="L100" s="2" t="s">
        <v>692</v>
      </c>
      <c r="M100" s="2" t="s">
        <v>2543</v>
      </c>
    </row>
    <row r="101" customFormat="false" ht="23.85" hidden="false" customHeight="false" outlineLevel="0" collapsed="false">
      <c r="A101" s="2" t="s">
        <v>1621</v>
      </c>
      <c r="B101" s="2" t="s">
        <v>395</v>
      </c>
      <c r="C101" s="2" t="s">
        <v>1242</v>
      </c>
      <c r="D101" s="2" t="s">
        <v>2541</v>
      </c>
      <c r="E101" s="2" t="n">
        <v>1523</v>
      </c>
      <c r="F101" s="2" t="n">
        <v>173</v>
      </c>
      <c r="G101" s="2" t="n">
        <v>60</v>
      </c>
      <c r="H101" s="2" t="n">
        <v>65</v>
      </c>
      <c r="I101" s="2" t="s">
        <v>1620</v>
      </c>
      <c r="J101" s="2"/>
      <c r="K101" s="2" t="s">
        <v>2542</v>
      </c>
      <c r="L101" s="2" t="s">
        <v>692</v>
      </c>
      <c r="M101" s="2" t="s">
        <v>2543</v>
      </c>
    </row>
    <row r="102" customFormat="false" ht="23.85" hidden="false" customHeight="false" outlineLevel="0" collapsed="false">
      <c r="A102" s="2" t="s">
        <v>1625</v>
      </c>
      <c r="B102" s="2" t="s">
        <v>397</v>
      </c>
      <c r="C102" s="2" t="s">
        <v>1242</v>
      </c>
      <c r="D102" s="2" t="s">
        <v>2541</v>
      </c>
      <c r="E102" s="2" t="n">
        <v>1549</v>
      </c>
      <c r="F102" s="2" t="n">
        <v>81</v>
      </c>
      <c r="G102" s="2" t="n">
        <v>51</v>
      </c>
      <c r="H102" s="2" t="n">
        <v>161</v>
      </c>
      <c r="I102" s="2" t="s">
        <v>1624</v>
      </c>
      <c r="J102" s="2"/>
      <c r="K102" s="2" t="s">
        <v>2542</v>
      </c>
      <c r="L102" s="2" t="s">
        <v>692</v>
      </c>
      <c r="M102" s="2" t="s">
        <v>2543</v>
      </c>
    </row>
    <row r="103" customFormat="false" ht="23.85" hidden="false" customHeight="false" outlineLevel="0" collapsed="false">
      <c r="A103" s="2" t="s">
        <v>1629</v>
      </c>
      <c r="B103" s="2" t="s">
        <v>399</v>
      </c>
      <c r="C103" s="2" t="s">
        <v>1242</v>
      </c>
      <c r="D103" s="2" t="s">
        <v>2541</v>
      </c>
      <c r="E103" s="2" t="n">
        <v>2021</v>
      </c>
      <c r="F103" s="2" t="n">
        <v>49</v>
      </c>
      <c r="G103" s="2" t="n">
        <v>52</v>
      </c>
      <c r="H103" s="2" t="n">
        <v>174</v>
      </c>
      <c r="I103" s="2" t="s">
        <v>1628</v>
      </c>
      <c r="J103" s="2"/>
      <c r="K103" s="2" t="s">
        <v>2542</v>
      </c>
      <c r="L103" s="2" t="s">
        <v>692</v>
      </c>
      <c r="M103" s="2" t="s">
        <v>2543</v>
      </c>
    </row>
    <row r="104" customFormat="false" ht="23.85" hidden="false" customHeight="false" outlineLevel="0" collapsed="false">
      <c r="A104" s="2" t="s">
        <v>1633</v>
      </c>
      <c r="B104" s="2" t="s">
        <v>401</v>
      </c>
      <c r="C104" s="2" t="s">
        <v>1242</v>
      </c>
      <c r="D104" s="2" t="s">
        <v>2541</v>
      </c>
      <c r="E104" s="2" t="n">
        <v>1692</v>
      </c>
      <c r="F104" s="2" t="n">
        <v>58</v>
      </c>
      <c r="G104" s="2" t="n">
        <v>109</v>
      </c>
      <c r="H104" s="2" t="n">
        <v>218</v>
      </c>
      <c r="I104" s="2" t="s">
        <v>1632</v>
      </c>
      <c r="J104" s="2"/>
      <c r="K104" s="2" t="s">
        <v>2542</v>
      </c>
      <c r="L104" s="2" t="s">
        <v>692</v>
      </c>
      <c r="M104" s="2" t="s">
        <v>2543</v>
      </c>
    </row>
    <row r="105" customFormat="false" ht="23.85" hidden="false" customHeight="false" outlineLevel="0" collapsed="false">
      <c r="A105" s="2" t="s">
        <v>1636</v>
      </c>
      <c r="B105" s="2" t="s">
        <v>403</v>
      </c>
      <c r="C105" s="2" t="s">
        <v>1242</v>
      </c>
      <c r="D105" s="2" t="s">
        <v>2541</v>
      </c>
      <c r="E105" s="2" t="n">
        <v>1667</v>
      </c>
      <c r="F105" s="2" t="n">
        <v>49</v>
      </c>
      <c r="G105" s="2" t="n">
        <v>65</v>
      </c>
      <c r="H105" s="2" t="n">
        <v>65</v>
      </c>
      <c r="I105" s="2" t="s">
        <v>1635</v>
      </c>
      <c r="J105" s="2"/>
      <c r="K105" s="2" t="s">
        <v>2542</v>
      </c>
      <c r="L105" s="2" t="s">
        <v>692</v>
      </c>
      <c r="M105" s="2" t="s">
        <v>2543</v>
      </c>
    </row>
    <row r="106" customFormat="false" ht="23.85" hidden="false" customHeight="false" outlineLevel="0" collapsed="false">
      <c r="A106" s="2" t="s">
        <v>1640</v>
      </c>
      <c r="B106" s="2" t="s">
        <v>404</v>
      </c>
      <c r="C106" s="2" t="s">
        <v>1242</v>
      </c>
      <c r="D106" s="2" t="s">
        <v>2541</v>
      </c>
      <c r="E106" s="2" t="n">
        <v>1631</v>
      </c>
      <c r="F106" s="2" t="n">
        <v>62</v>
      </c>
      <c r="G106" s="2" t="n">
        <v>50</v>
      </c>
      <c r="H106" s="2" t="n">
        <v>87</v>
      </c>
      <c r="I106" s="2" t="s">
        <v>1639</v>
      </c>
      <c r="J106" s="2"/>
      <c r="K106" s="2" t="s">
        <v>2542</v>
      </c>
      <c r="L106" s="2" t="s">
        <v>692</v>
      </c>
      <c r="M106" s="2" t="s">
        <v>2543</v>
      </c>
    </row>
    <row r="107" customFormat="false" ht="23.85" hidden="false" customHeight="false" outlineLevel="0" collapsed="false">
      <c r="A107" s="2" t="s">
        <v>1643</v>
      </c>
      <c r="B107" s="2" t="s">
        <v>406</v>
      </c>
      <c r="C107" s="2" t="s">
        <v>1242</v>
      </c>
      <c r="D107" s="2" t="s">
        <v>2541</v>
      </c>
      <c r="E107" s="2" t="n">
        <v>1839</v>
      </c>
      <c r="F107" s="2" t="n">
        <v>30</v>
      </c>
      <c r="G107" s="2" t="n">
        <v>83</v>
      </c>
      <c r="H107" s="2" t="n">
        <v>74</v>
      </c>
      <c r="I107" s="2" t="s">
        <v>1642</v>
      </c>
      <c r="J107" s="2"/>
      <c r="K107" s="2" t="s">
        <v>2542</v>
      </c>
      <c r="L107" s="2" t="s">
        <v>692</v>
      </c>
      <c r="M107" s="2" t="s">
        <v>2543</v>
      </c>
    </row>
    <row r="108" customFormat="false" ht="23.85" hidden="false" customHeight="false" outlineLevel="0" collapsed="false">
      <c r="A108" s="2" t="s">
        <v>1646</v>
      </c>
      <c r="B108" s="2" t="s">
        <v>408</v>
      </c>
      <c r="C108" s="2" t="s">
        <v>1242</v>
      </c>
      <c r="D108" s="2" t="s">
        <v>2541</v>
      </c>
      <c r="E108" s="2" t="n">
        <v>1574</v>
      </c>
      <c r="F108" s="2" t="n">
        <v>86</v>
      </c>
      <c r="G108" s="2" t="n">
        <v>61</v>
      </c>
      <c r="H108" s="2" t="n">
        <v>124</v>
      </c>
      <c r="I108" s="2" t="s">
        <v>1645</v>
      </c>
      <c r="J108" s="2"/>
      <c r="K108" s="2" t="s">
        <v>2542</v>
      </c>
      <c r="L108" s="2" t="s">
        <v>692</v>
      </c>
      <c r="M108" s="2" t="s">
        <v>2543</v>
      </c>
    </row>
    <row r="109" customFormat="false" ht="23.85" hidden="false" customHeight="false" outlineLevel="0" collapsed="false">
      <c r="A109" s="2" t="s">
        <v>1650</v>
      </c>
      <c r="B109" s="2" t="s">
        <v>409</v>
      </c>
      <c r="C109" s="2" t="s">
        <v>1242</v>
      </c>
      <c r="D109" s="2" t="s">
        <v>2541</v>
      </c>
      <c r="E109" s="2" t="n">
        <v>1799</v>
      </c>
      <c r="F109" s="2" t="n">
        <v>209</v>
      </c>
      <c r="G109" s="2" t="n">
        <v>148</v>
      </c>
      <c r="H109" s="2" t="n">
        <v>75</v>
      </c>
      <c r="I109" s="2" t="s">
        <v>1649</v>
      </c>
      <c r="J109" s="2"/>
      <c r="K109" s="2" t="s">
        <v>2542</v>
      </c>
      <c r="L109" s="2" t="s">
        <v>692</v>
      </c>
      <c r="M109" s="2" t="s">
        <v>2543</v>
      </c>
    </row>
    <row r="110" customFormat="false" ht="23.85" hidden="false" customHeight="false" outlineLevel="0" collapsed="false">
      <c r="A110" s="2" t="s">
        <v>1653</v>
      </c>
      <c r="B110" s="2" t="s">
        <v>411</v>
      </c>
      <c r="C110" s="2" t="s">
        <v>1242</v>
      </c>
      <c r="D110" s="2" t="s">
        <v>2541</v>
      </c>
      <c r="E110" s="2" t="n">
        <v>2904</v>
      </c>
      <c r="F110" s="2" t="n">
        <v>246</v>
      </c>
      <c r="G110" s="2" t="n">
        <v>238</v>
      </c>
      <c r="H110" s="2" t="n">
        <v>242</v>
      </c>
      <c r="I110" s="2" t="s">
        <v>1652</v>
      </c>
      <c r="J110" s="2"/>
      <c r="K110" s="2" t="s">
        <v>2542</v>
      </c>
      <c r="L110" s="2" t="s">
        <v>692</v>
      </c>
      <c r="M110" s="2" t="s">
        <v>2543</v>
      </c>
    </row>
    <row r="111" customFormat="false" ht="23.85" hidden="false" customHeight="false" outlineLevel="0" collapsed="false">
      <c r="A111" s="2" t="s">
        <v>1657</v>
      </c>
      <c r="B111" s="2" t="s">
        <v>412</v>
      </c>
      <c r="C111" s="2" t="s">
        <v>1242</v>
      </c>
      <c r="D111" s="2" t="s">
        <v>2541</v>
      </c>
      <c r="E111" s="2" t="n">
        <v>1165</v>
      </c>
      <c r="F111" s="2" t="n">
        <v>224</v>
      </c>
      <c r="G111" s="2" t="n">
        <v>186</v>
      </c>
      <c r="H111" s="2" t="n">
        <v>144</v>
      </c>
      <c r="I111" s="2" t="s">
        <v>1656</v>
      </c>
      <c r="J111" s="2"/>
      <c r="K111" s="2" t="s">
        <v>2542</v>
      </c>
      <c r="L111" s="2" t="s">
        <v>692</v>
      </c>
      <c r="M111" s="2" t="s">
        <v>2543</v>
      </c>
    </row>
    <row r="112" customFormat="false" ht="23.85" hidden="false" customHeight="false" outlineLevel="0" collapsed="false">
      <c r="A112" s="2" t="s">
        <v>1660</v>
      </c>
      <c r="B112" s="2" t="s">
        <v>414</v>
      </c>
      <c r="C112" s="2" t="s">
        <v>1242</v>
      </c>
      <c r="D112" s="2" t="s">
        <v>2541</v>
      </c>
      <c r="E112" s="2" t="n">
        <v>1023</v>
      </c>
      <c r="F112" s="2" t="n">
        <v>87</v>
      </c>
      <c r="G112" s="2" t="n">
        <v>51</v>
      </c>
      <c r="H112" s="2" t="n">
        <v>47</v>
      </c>
      <c r="I112" s="2" t="s">
        <v>1659</v>
      </c>
      <c r="J112" s="2"/>
      <c r="K112" s="2" t="s">
        <v>2542</v>
      </c>
      <c r="L112" s="2" t="s">
        <v>692</v>
      </c>
      <c r="M112" s="2" t="s">
        <v>2543</v>
      </c>
    </row>
    <row r="113" customFormat="false" ht="23.85" hidden="false" customHeight="false" outlineLevel="0" collapsed="false">
      <c r="A113" s="2" t="s">
        <v>1663</v>
      </c>
      <c r="B113" s="2" t="s">
        <v>415</v>
      </c>
      <c r="C113" s="2" t="s">
        <v>1242</v>
      </c>
      <c r="D113" s="2" t="s">
        <v>2541</v>
      </c>
      <c r="E113" s="2" t="n">
        <v>1037</v>
      </c>
      <c r="F113" s="2" t="n">
        <v>73</v>
      </c>
      <c r="G113" s="2" t="n">
        <v>57</v>
      </c>
      <c r="H113" s="2" t="n">
        <v>55</v>
      </c>
      <c r="I113" s="2" t="s">
        <v>1662</v>
      </c>
      <c r="J113" s="2"/>
      <c r="K113" s="2" t="s">
        <v>2542</v>
      </c>
      <c r="L113" s="2" t="s">
        <v>692</v>
      </c>
      <c r="M113" s="2" t="s">
        <v>2543</v>
      </c>
    </row>
    <row r="114" customFormat="false" ht="23.85" hidden="false" customHeight="false" outlineLevel="0" collapsed="false">
      <c r="A114" s="2" t="s">
        <v>1667</v>
      </c>
      <c r="B114" s="2" t="s">
        <v>416</v>
      </c>
      <c r="C114" s="2" t="s">
        <v>1242</v>
      </c>
      <c r="D114" s="2" t="s">
        <v>2541</v>
      </c>
      <c r="E114" s="2" t="n">
        <v>993</v>
      </c>
      <c r="F114" s="2" t="n">
        <v>190</v>
      </c>
      <c r="G114" s="2" t="n">
        <v>37</v>
      </c>
      <c r="H114" s="2" t="n">
        <v>37</v>
      </c>
      <c r="I114" s="2" t="s">
        <v>1666</v>
      </c>
      <c r="J114" s="2"/>
      <c r="K114" s="2" t="s">
        <v>2542</v>
      </c>
      <c r="L114" s="2" t="s">
        <v>692</v>
      </c>
      <c r="M114" s="2" t="s">
        <v>2543</v>
      </c>
    </row>
    <row r="115" customFormat="false" ht="23.85" hidden="false" customHeight="false" outlineLevel="0" collapsed="false">
      <c r="A115" s="2" t="s">
        <v>1671</v>
      </c>
      <c r="B115" s="2" t="s">
        <v>418</v>
      </c>
      <c r="C115" s="2" t="s">
        <v>1242</v>
      </c>
      <c r="D115" s="2" t="s">
        <v>2541</v>
      </c>
      <c r="E115" s="2" t="n">
        <v>1064</v>
      </c>
      <c r="F115" s="2" t="n">
        <v>255</v>
      </c>
      <c r="G115" s="2" t="n">
        <v>161</v>
      </c>
      <c r="H115" s="2" t="n">
        <v>0</v>
      </c>
      <c r="I115" s="2" t="s">
        <v>1670</v>
      </c>
      <c r="J115" s="2"/>
      <c r="K115" s="2" t="s">
        <v>2542</v>
      </c>
      <c r="L115" s="2" t="s">
        <v>692</v>
      </c>
      <c r="M115" s="2" t="s">
        <v>2543</v>
      </c>
    </row>
    <row r="116" customFormat="false" ht="23.85" hidden="false" customHeight="false" outlineLevel="0" collapsed="false">
      <c r="A116" s="2" t="s">
        <v>1675</v>
      </c>
      <c r="B116" s="2" t="s">
        <v>420</v>
      </c>
      <c r="C116" s="2" t="s">
        <v>1242</v>
      </c>
      <c r="D116" s="2" t="s">
        <v>2541</v>
      </c>
      <c r="E116" s="2" t="n">
        <v>963</v>
      </c>
      <c r="F116" s="2" t="n">
        <v>255</v>
      </c>
      <c r="G116" s="2" t="n">
        <v>186</v>
      </c>
      <c r="H116" s="2" t="n">
        <v>0</v>
      </c>
      <c r="I116" s="2" t="s">
        <v>1674</v>
      </c>
      <c r="J116" s="2"/>
      <c r="K116" s="2" t="s">
        <v>2542</v>
      </c>
      <c r="L116" s="2" t="s">
        <v>692</v>
      </c>
      <c r="M116" s="2" t="s">
        <v>2543</v>
      </c>
    </row>
    <row r="117" customFormat="false" ht="23.85" hidden="false" customHeight="false" outlineLevel="0" collapsed="false">
      <c r="A117" s="2" t="s">
        <v>1679</v>
      </c>
      <c r="B117" s="2" t="s">
        <v>422</v>
      </c>
      <c r="C117" s="2" t="s">
        <v>1242</v>
      </c>
      <c r="D117" s="2" t="s">
        <v>2541</v>
      </c>
      <c r="E117" s="2" t="n">
        <v>1117</v>
      </c>
      <c r="F117" s="2" t="n">
        <v>37</v>
      </c>
      <c r="G117" s="2" t="n">
        <v>80</v>
      </c>
      <c r="H117" s="2" t="n">
        <v>180</v>
      </c>
      <c r="I117" s="2" t="s">
        <v>1677</v>
      </c>
      <c r="J117" s="2"/>
      <c r="K117" s="2" t="s">
        <v>2542</v>
      </c>
      <c r="L117" s="2" t="s">
        <v>692</v>
      </c>
      <c r="M117" s="2" t="s">
        <v>2543</v>
      </c>
    </row>
    <row r="118" customFormat="false" ht="23.85" hidden="false" customHeight="false" outlineLevel="0" collapsed="false">
      <c r="A118" s="2" t="s">
        <v>1683</v>
      </c>
      <c r="B118" s="2" t="s">
        <v>424</v>
      </c>
      <c r="C118" s="2" t="s">
        <v>1242</v>
      </c>
      <c r="D118" s="2" t="s">
        <v>2541</v>
      </c>
      <c r="E118" s="2" t="n">
        <v>1068</v>
      </c>
      <c r="F118" s="2" t="n">
        <v>167</v>
      </c>
      <c r="G118" s="2" t="n">
        <v>1</v>
      </c>
      <c r="H118" s="2" t="n">
        <v>33</v>
      </c>
      <c r="I118" s="2" t="s">
        <v>1682</v>
      </c>
      <c r="J118" s="2"/>
      <c r="K118" s="2" t="s">
        <v>2542</v>
      </c>
      <c r="L118" s="2" t="s">
        <v>692</v>
      </c>
      <c r="M118" s="2" t="s">
        <v>2543</v>
      </c>
    </row>
    <row r="119" customFormat="false" ht="23.85" hidden="false" customHeight="false" outlineLevel="0" collapsed="false">
      <c r="A119" s="2" t="s">
        <v>1686</v>
      </c>
      <c r="B119" s="2" t="s">
        <v>426</v>
      </c>
      <c r="C119" s="2" t="s">
        <v>1242</v>
      </c>
      <c r="D119" s="2" t="s">
        <v>2541</v>
      </c>
      <c r="E119" s="2" t="n">
        <v>1100</v>
      </c>
      <c r="F119" s="2" t="n">
        <v>147</v>
      </c>
      <c r="G119" s="2" t="n">
        <v>127</v>
      </c>
      <c r="H119" s="2" t="n">
        <v>46</v>
      </c>
      <c r="I119" s="2" t="s">
        <v>1685</v>
      </c>
      <c r="J119" s="2"/>
      <c r="K119" s="2" t="s">
        <v>2542</v>
      </c>
      <c r="L119" s="2" t="s">
        <v>692</v>
      </c>
      <c r="M119" s="2" t="s">
        <v>2543</v>
      </c>
    </row>
    <row r="120" customFormat="false" ht="23.85" hidden="false" customHeight="false" outlineLevel="0" collapsed="false">
      <c r="A120" s="2" t="s">
        <v>1690</v>
      </c>
      <c r="B120" s="2" t="s">
        <v>427</v>
      </c>
      <c r="C120" s="2" t="s">
        <v>1242</v>
      </c>
      <c r="D120" s="2" t="s">
        <v>2541</v>
      </c>
      <c r="E120" s="2" t="n">
        <v>1086</v>
      </c>
      <c r="F120" s="2" t="n">
        <v>47</v>
      </c>
      <c r="G120" s="2" t="n">
        <v>58</v>
      </c>
      <c r="H120" s="2" t="n">
        <v>52</v>
      </c>
      <c r="I120" s="2" t="s">
        <v>1689</v>
      </c>
      <c r="J120" s="2"/>
      <c r="K120" s="2" t="s">
        <v>2542</v>
      </c>
      <c r="L120" s="2" t="s">
        <v>692</v>
      </c>
      <c r="M120" s="2" t="s">
        <v>2543</v>
      </c>
    </row>
    <row r="121" customFormat="false" ht="23.85" hidden="false" customHeight="false" outlineLevel="0" collapsed="false">
      <c r="A121" s="2" t="s">
        <v>1693</v>
      </c>
      <c r="B121" s="2" t="s">
        <v>429</v>
      </c>
      <c r="C121" s="2" t="s">
        <v>1242</v>
      </c>
      <c r="D121" s="2" t="s">
        <v>2541</v>
      </c>
      <c r="E121" s="2" t="n">
        <v>991</v>
      </c>
      <c r="F121" s="2" t="n">
        <v>43</v>
      </c>
      <c r="G121" s="2" t="n">
        <v>41</v>
      </c>
      <c r="H121" s="2" t="n">
        <v>44</v>
      </c>
      <c r="I121" s="2" t="s">
        <v>1692</v>
      </c>
      <c r="J121" s="2"/>
      <c r="K121" s="2" t="s">
        <v>2542</v>
      </c>
      <c r="L121" s="2" t="s">
        <v>692</v>
      </c>
      <c r="M121" s="2" t="s">
        <v>2543</v>
      </c>
    </row>
    <row r="122" customFormat="false" ht="23.85" hidden="false" customHeight="false" outlineLevel="0" collapsed="false">
      <c r="A122" s="2" t="s">
        <v>1696</v>
      </c>
      <c r="B122" s="2" t="s">
        <v>430</v>
      </c>
      <c r="C122" s="2" t="s">
        <v>1242</v>
      </c>
      <c r="D122" s="2" t="s">
        <v>2541</v>
      </c>
      <c r="E122" s="2" t="n">
        <v>1121</v>
      </c>
      <c r="F122" s="2" t="n">
        <v>42</v>
      </c>
      <c r="G122" s="2" t="n">
        <v>41</v>
      </c>
      <c r="H122" s="2" t="n">
        <v>45</v>
      </c>
      <c r="I122" s="2" t="s">
        <v>1695</v>
      </c>
      <c r="J122" s="2"/>
      <c r="K122" s="2" t="s">
        <v>2542</v>
      </c>
      <c r="L122" s="2" t="s">
        <v>692</v>
      </c>
      <c r="M122" s="2" t="s">
        <v>2543</v>
      </c>
    </row>
    <row r="123" customFormat="false" ht="23.85" hidden="false" customHeight="false" outlineLevel="0" collapsed="false">
      <c r="A123" s="2" t="s">
        <v>1700</v>
      </c>
      <c r="B123" s="2" t="s">
        <v>431</v>
      </c>
      <c r="C123" s="2" t="s">
        <v>1242</v>
      </c>
      <c r="D123" s="2" t="s">
        <v>2541</v>
      </c>
      <c r="E123" s="2" t="n">
        <v>1083</v>
      </c>
      <c r="F123" s="2" t="n">
        <v>255</v>
      </c>
      <c r="G123" s="2" t="n">
        <v>227</v>
      </c>
      <c r="H123" s="2" t="n">
        <v>0</v>
      </c>
      <c r="I123" s="2" t="s">
        <v>1699</v>
      </c>
      <c r="J123" s="2"/>
      <c r="K123" s="2" t="s">
        <v>2542</v>
      </c>
      <c r="L123" s="2" t="s">
        <v>692</v>
      </c>
      <c r="M123" s="2" t="s">
        <v>2543</v>
      </c>
    </row>
    <row r="124" customFormat="false" ht="23.85" hidden="false" customHeight="false" outlineLevel="0" collapsed="false">
      <c r="A124" s="2" t="s">
        <v>1704</v>
      </c>
      <c r="B124" s="2" t="s">
        <v>432</v>
      </c>
      <c r="C124" s="2" t="s">
        <v>1242</v>
      </c>
      <c r="D124" s="2" t="s">
        <v>2541</v>
      </c>
      <c r="E124" s="2" t="n">
        <v>1038</v>
      </c>
      <c r="F124" s="2" t="n">
        <v>255</v>
      </c>
      <c r="G124" s="2" t="n">
        <v>247</v>
      </c>
      <c r="H124" s="2" t="n">
        <v>254</v>
      </c>
      <c r="I124" s="2" t="s">
        <v>1703</v>
      </c>
      <c r="J124" s="2"/>
      <c r="K124" s="2" t="s">
        <v>2542</v>
      </c>
      <c r="L124" s="2" t="s">
        <v>692</v>
      </c>
      <c r="M124" s="2" t="s">
        <v>2543</v>
      </c>
    </row>
    <row r="125" customFormat="false" ht="23.85" hidden="false" customHeight="false" outlineLevel="0" collapsed="false">
      <c r="A125" s="2" t="s">
        <v>1708</v>
      </c>
      <c r="B125" s="2" t="s">
        <v>434</v>
      </c>
      <c r="C125" s="2" t="s">
        <v>1242</v>
      </c>
      <c r="D125" s="2" t="s">
        <v>2541</v>
      </c>
      <c r="E125" s="2" t="n">
        <v>845</v>
      </c>
      <c r="F125" s="2" t="n">
        <v>106</v>
      </c>
      <c r="G125" s="2" t="n">
        <v>36</v>
      </c>
      <c r="H125" s="2" t="n">
        <v>58</v>
      </c>
      <c r="I125" s="2" t="s">
        <v>1707</v>
      </c>
      <c r="J125" s="2"/>
      <c r="K125" s="2" t="s">
        <v>2542</v>
      </c>
      <c r="L125" s="2" t="s">
        <v>692</v>
      </c>
      <c r="M125" s="2" t="s">
        <v>2543</v>
      </c>
    </row>
    <row r="126" customFormat="false" ht="23.85" hidden="false" customHeight="false" outlineLevel="0" collapsed="false">
      <c r="A126" s="2" t="s">
        <v>1712</v>
      </c>
      <c r="B126" s="2" t="s">
        <v>435</v>
      </c>
      <c r="C126" s="2" t="s">
        <v>1242</v>
      </c>
      <c r="D126" s="2" t="s">
        <v>2541</v>
      </c>
      <c r="E126" s="2" t="n">
        <v>1079</v>
      </c>
      <c r="F126" s="2" t="n">
        <v>14</v>
      </c>
      <c r="G126" s="2" t="n">
        <v>50</v>
      </c>
      <c r="H126" s="2" t="n">
        <v>55</v>
      </c>
      <c r="I126" s="2" t="s">
        <v>1711</v>
      </c>
      <c r="J126" s="2"/>
      <c r="K126" s="2" t="s">
        <v>2542</v>
      </c>
      <c r="L126" s="2" t="s">
        <v>692</v>
      </c>
      <c r="M126" s="2" t="s">
        <v>2543</v>
      </c>
    </row>
    <row r="127" customFormat="false" ht="23.85" hidden="false" customHeight="false" outlineLevel="0" collapsed="false">
      <c r="A127" s="2" t="s">
        <v>1716</v>
      </c>
      <c r="B127" s="2" t="s">
        <v>437</v>
      </c>
      <c r="C127" s="2" t="s">
        <v>1242</v>
      </c>
      <c r="D127" s="2" t="s">
        <v>2541</v>
      </c>
      <c r="E127" s="2" t="n">
        <v>982</v>
      </c>
      <c r="F127" s="2" t="n">
        <v>182</v>
      </c>
      <c r="G127" s="2" t="n">
        <v>34</v>
      </c>
      <c r="H127" s="2" t="n">
        <v>60</v>
      </c>
      <c r="I127" s="2" t="s">
        <v>1715</v>
      </c>
      <c r="J127" s="2"/>
      <c r="K127" s="2" t="s">
        <v>2542</v>
      </c>
      <c r="L127" s="2" t="s">
        <v>692</v>
      </c>
      <c r="M127" s="2" t="s">
        <v>2543</v>
      </c>
    </row>
    <row r="128" customFormat="false" ht="23.85" hidden="false" customHeight="false" outlineLevel="0" collapsed="false">
      <c r="A128" s="2" t="s">
        <v>1720</v>
      </c>
      <c r="B128" s="2" t="s">
        <v>439</v>
      </c>
      <c r="C128" s="2" t="s">
        <v>1242</v>
      </c>
      <c r="D128" s="2" t="s">
        <v>2541</v>
      </c>
      <c r="E128" s="2" t="n">
        <v>1054</v>
      </c>
      <c r="F128" s="2" t="n">
        <v>26</v>
      </c>
      <c r="G128" s="2" t="n">
        <v>54</v>
      </c>
      <c r="H128" s="2" t="n">
        <v>118</v>
      </c>
      <c r="I128" s="2" t="s">
        <v>1719</v>
      </c>
      <c r="J128" s="2"/>
      <c r="K128" s="2" t="s">
        <v>2542</v>
      </c>
      <c r="L128" s="2" t="s">
        <v>692</v>
      </c>
      <c r="M128" s="2" t="s">
        <v>2543</v>
      </c>
    </row>
    <row r="129" customFormat="false" ht="23.85" hidden="false" customHeight="false" outlineLevel="0" collapsed="false">
      <c r="A129" s="2" t="s">
        <v>1724</v>
      </c>
      <c r="B129" s="2" t="s">
        <v>441</v>
      </c>
      <c r="C129" s="2" t="s">
        <v>1242</v>
      </c>
      <c r="D129" s="2" t="s">
        <v>2541</v>
      </c>
      <c r="E129" s="2" t="n">
        <v>984</v>
      </c>
      <c r="F129" s="2" t="n">
        <v>255</v>
      </c>
      <c r="G129" s="2" t="n">
        <v>200</v>
      </c>
      <c r="H129" s="2" t="n">
        <v>0</v>
      </c>
      <c r="I129" s="2" t="s">
        <v>1723</v>
      </c>
      <c r="J129" s="2"/>
      <c r="K129" s="2" t="s">
        <v>2542</v>
      </c>
      <c r="L129" s="2" t="s">
        <v>692</v>
      </c>
      <c r="M129" s="2" t="s">
        <v>2543</v>
      </c>
    </row>
    <row r="130" customFormat="false" ht="23.85" hidden="false" customHeight="false" outlineLevel="0" collapsed="false">
      <c r="A130" s="2" t="s">
        <v>1728</v>
      </c>
      <c r="B130" s="2" t="s">
        <v>443</v>
      </c>
      <c r="C130" s="2" t="s">
        <v>1242</v>
      </c>
      <c r="D130" s="2" t="s">
        <v>2541</v>
      </c>
      <c r="E130" s="2" t="n">
        <v>999</v>
      </c>
      <c r="F130" s="2" t="n">
        <v>42</v>
      </c>
      <c r="G130" s="2" t="n">
        <v>37</v>
      </c>
      <c r="H130" s="2" t="n">
        <v>54</v>
      </c>
      <c r="I130" s="2" t="s">
        <v>1727</v>
      </c>
      <c r="J130" s="2"/>
      <c r="K130" s="2" t="s">
        <v>2542</v>
      </c>
      <c r="L130" s="2" t="s">
        <v>692</v>
      </c>
      <c r="M130" s="2" t="s">
        <v>2543</v>
      </c>
    </row>
    <row r="131" customFormat="false" ht="23.85" hidden="false" customHeight="false" outlineLevel="0" collapsed="false">
      <c r="A131" s="2" t="s">
        <v>1731</v>
      </c>
      <c r="B131" s="2" t="s">
        <v>445</v>
      </c>
      <c r="C131" s="2" t="s">
        <v>1242</v>
      </c>
      <c r="D131" s="2" t="s">
        <v>2541</v>
      </c>
      <c r="E131" s="2" t="n">
        <v>966</v>
      </c>
      <c r="F131" s="2" t="n">
        <v>116</v>
      </c>
      <c r="G131" s="2" t="n">
        <v>71</v>
      </c>
      <c r="H131" s="2" t="n">
        <v>52</v>
      </c>
      <c r="I131" s="2" t="s">
        <v>1730</v>
      </c>
      <c r="J131" s="2"/>
      <c r="K131" s="2" t="s">
        <v>2542</v>
      </c>
      <c r="L131" s="2" t="s">
        <v>692</v>
      </c>
      <c r="M131" s="2" t="s">
        <v>2543</v>
      </c>
    </row>
    <row r="132" customFormat="false" ht="23.85" hidden="false" customHeight="false" outlineLevel="0" collapsed="false">
      <c r="A132" s="2" t="s">
        <v>1734</v>
      </c>
      <c r="B132" s="2" t="s">
        <v>446</v>
      </c>
      <c r="C132" s="2" t="s">
        <v>1242</v>
      </c>
      <c r="D132" s="2" t="s">
        <v>2541</v>
      </c>
      <c r="E132" s="2" t="n">
        <v>1005</v>
      </c>
      <c r="F132" s="2" t="n">
        <v>65</v>
      </c>
      <c r="G132" s="2" t="n">
        <v>53</v>
      </c>
      <c r="H132" s="2" t="n">
        <v>46</v>
      </c>
      <c r="I132" s="2" t="s">
        <v>1733</v>
      </c>
      <c r="J132" s="2"/>
      <c r="K132" s="2" t="s">
        <v>2542</v>
      </c>
      <c r="L132" s="2" t="s">
        <v>692</v>
      </c>
      <c r="M132" s="2" t="s">
        <v>2543</v>
      </c>
    </row>
    <row r="133" customFormat="false" ht="23.85" hidden="false" customHeight="false" outlineLevel="0" collapsed="false">
      <c r="A133" s="2" t="s">
        <v>1737</v>
      </c>
      <c r="B133" s="2" t="s">
        <v>447</v>
      </c>
      <c r="C133" s="2" t="s">
        <v>1242</v>
      </c>
      <c r="D133" s="2" t="s">
        <v>2541</v>
      </c>
      <c r="E133" s="2" t="n">
        <v>975</v>
      </c>
      <c r="F133" s="2" t="n">
        <v>126</v>
      </c>
      <c r="G133" s="2" t="n">
        <v>43</v>
      </c>
      <c r="H133" s="2" t="n">
        <v>36</v>
      </c>
      <c r="I133" s="2" t="s">
        <v>1736</v>
      </c>
      <c r="J133" s="2"/>
      <c r="K133" s="2" t="s">
        <v>2542</v>
      </c>
      <c r="L133" s="2" t="s">
        <v>692</v>
      </c>
      <c r="M133" s="2" t="s">
        <v>2543</v>
      </c>
    </row>
    <row r="134" customFormat="false" ht="23.85" hidden="false" customHeight="false" outlineLevel="0" collapsed="false">
      <c r="A134" s="2" t="s">
        <v>1741</v>
      </c>
      <c r="B134" s="2" t="s">
        <v>449</v>
      </c>
      <c r="C134" s="2" t="s">
        <v>1242</v>
      </c>
      <c r="D134" s="2" t="s">
        <v>2541</v>
      </c>
      <c r="E134" s="2" t="n">
        <v>1079</v>
      </c>
      <c r="F134" s="2" t="n">
        <v>51</v>
      </c>
      <c r="G134" s="2" t="n">
        <v>100</v>
      </c>
      <c r="H134" s="2" t="n">
        <v>58</v>
      </c>
      <c r="I134" s="2" t="s">
        <v>1740</v>
      </c>
      <c r="J134" s="2"/>
      <c r="K134" s="2" t="s">
        <v>2542</v>
      </c>
      <c r="L134" s="2" t="s">
        <v>692</v>
      </c>
      <c r="M134" s="2" t="s">
        <v>2543</v>
      </c>
    </row>
    <row r="135" customFormat="false" ht="23.85" hidden="false" customHeight="false" outlineLevel="0" collapsed="false">
      <c r="A135" s="2" t="s">
        <v>1744</v>
      </c>
      <c r="B135" s="2" t="s">
        <v>451</v>
      </c>
      <c r="C135" s="2" t="s">
        <v>1242</v>
      </c>
      <c r="D135" s="2" t="s">
        <v>2541</v>
      </c>
      <c r="E135" s="2" t="n">
        <v>1185</v>
      </c>
      <c r="F135" s="2" t="n">
        <v>254</v>
      </c>
      <c r="G135" s="2" t="n">
        <v>246</v>
      </c>
      <c r="H135" s="2" t="n">
        <v>253</v>
      </c>
      <c r="I135" s="2" t="s">
        <v>1743</v>
      </c>
      <c r="J135" s="2"/>
      <c r="K135" s="2" t="s">
        <v>2542</v>
      </c>
      <c r="L135" s="2" t="s">
        <v>692</v>
      </c>
      <c r="M135" s="2" t="s">
        <v>2543</v>
      </c>
    </row>
    <row r="136" customFormat="false" ht="23.85" hidden="false" customHeight="false" outlineLevel="0" collapsed="false">
      <c r="A136" s="2" t="s">
        <v>1747</v>
      </c>
      <c r="B136" s="2" t="s">
        <v>452</v>
      </c>
      <c r="C136" s="2" t="s">
        <v>1242</v>
      </c>
      <c r="D136" s="2" t="s">
        <v>2541</v>
      </c>
      <c r="E136" s="2" t="n">
        <v>1099</v>
      </c>
      <c r="F136" s="2" t="n">
        <v>191</v>
      </c>
      <c r="G136" s="2" t="n">
        <v>137</v>
      </c>
      <c r="H136" s="2" t="n">
        <v>31</v>
      </c>
      <c r="I136" s="2" t="s">
        <v>1746</v>
      </c>
      <c r="J136" s="2"/>
      <c r="K136" s="2" t="s">
        <v>2542</v>
      </c>
      <c r="L136" s="2" t="s">
        <v>692</v>
      </c>
      <c r="M136" s="2" t="s">
        <v>2543</v>
      </c>
    </row>
    <row r="137" customFormat="false" ht="23.85" hidden="false" customHeight="false" outlineLevel="0" collapsed="false">
      <c r="A137" s="2" t="s">
        <v>1750</v>
      </c>
      <c r="B137" s="2" t="s">
        <v>453</v>
      </c>
      <c r="C137" s="2" t="s">
        <v>1242</v>
      </c>
      <c r="D137" s="2" t="s">
        <v>2541</v>
      </c>
      <c r="E137" s="2" t="n">
        <v>1060</v>
      </c>
      <c r="F137" s="2" t="n">
        <v>54</v>
      </c>
      <c r="G137" s="2" t="n">
        <v>47</v>
      </c>
      <c r="H137" s="2" t="n">
        <v>83</v>
      </c>
      <c r="I137" s="2" t="s">
        <v>1749</v>
      </c>
      <c r="J137" s="2"/>
      <c r="K137" s="2" t="s">
        <v>2542</v>
      </c>
      <c r="L137" s="2" t="s">
        <v>692</v>
      </c>
      <c r="M137" s="2" t="s">
        <v>2543</v>
      </c>
    </row>
    <row r="138" customFormat="false" ht="23.85" hidden="false" customHeight="false" outlineLevel="0" collapsed="false">
      <c r="A138" s="2" t="s">
        <v>1754</v>
      </c>
      <c r="B138" s="2" t="s">
        <v>454</v>
      </c>
      <c r="C138" s="2" t="s">
        <v>1242</v>
      </c>
      <c r="D138" s="2" t="s">
        <v>2541</v>
      </c>
      <c r="E138" s="2" t="n">
        <v>987</v>
      </c>
      <c r="F138" s="2" t="n">
        <v>212</v>
      </c>
      <c r="G138" s="2" t="n">
        <v>34</v>
      </c>
      <c r="H138" s="2" t="n">
        <v>32</v>
      </c>
      <c r="I138" s="2" t="s">
        <v>1753</v>
      </c>
      <c r="J138" s="2"/>
      <c r="K138" s="2" t="s">
        <v>2542</v>
      </c>
      <c r="L138" s="2" t="s">
        <v>692</v>
      </c>
      <c r="M138" s="2" t="s">
        <v>2543</v>
      </c>
    </row>
    <row r="139" customFormat="false" ht="23.85" hidden="false" customHeight="false" outlineLevel="0" collapsed="false">
      <c r="A139" s="2" t="s">
        <v>1758</v>
      </c>
      <c r="B139" s="2" t="s">
        <v>456</v>
      </c>
      <c r="C139" s="2" t="s">
        <v>1242</v>
      </c>
      <c r="D139" s="2" t="s">
        <v>2541</v>
      </c>
      <c r="E139" s="2" t="n">
        <v>982</v>
      </c>
      <c r="F139" s="2" t="n">
        <v>48</v>
      </c>
      <c r="G139" s="2" t="n">
        <v>40</v>
      </c>
      <c r="H139" s="2" t="n">
        <v>44</v>
      </c>
      <c r="I139" s="2" t="s">
        <v>1757</v>
      </c>
      <c r="J139" s="2"/>
      <c r="K139" s="2" t="s">
        <v>2542</v>
      </c>
      <c r="L139" s="2" t="s">
        <v>692</v>
      </c>
      <c r="M139" s="2" t="s">
        <v>2543</v>
      </c>
    </row>
    <row r="140" customFormat="false" ht="23.85" hidden="false" customHeight="false" outlineLevel="0" collapsed="false">
      <c r="A140" s="2" t="s">
        <v>1761</v>
      </c>
      <c r="B140" s="2" t="s">
        <v>458</v>
      </c>
      <c r="C140" s="2" t="s">
        <v>1242</v>
      </c>
      <c r="D140" s="2" t="s">
        <v>2541</v>
      </c>
      <c r="E140" s="2" t="n">
        <v>870</v>
      </c>
      <c r="F140" s="2" t="n">
        <v>188</v>
      </c>
      <c r="G140" s="2" t="n">
        <v>134</v>
      </c>
      <c r="H140" s="2" t="n">
        <v>61</v>
      </c>
      <c r="I140" s="2" t="s">
        <v>1760</v>
      </c>
      <c r="J140" s="2"/>
      <c r="K140" s="2" t="s">
        <v>2542</v>
      </c>
      <c r="L140" s="2" t="s">
        <v>692</v>
      </c>
      <c r="M140" s="2" t="s">
        <v>2543</v>
      </c>
    </row>
    <row r="141" customFormat="false" ht="23.85" hidden="false" customHeight="false" outlineLevel="0" collapsed="false">
      <c r="A141" s="2" t="s">
        <v>1766</v>
      </c>
      <c r="B141" s="2" t="s">
        <v>459</v>
      </c>
      <c r="C141" s="2" t="s">
        <v>1242</v>
      </c>
      <c r="D141" s="2" t="s">
        <v>2541</v>
      </c>
      <c r="E141" s="2" t="n">
        <v>1321</v>
      </c>
      <c r="F141" s="2" t="n">
        <v>255</v>
      </c>
      <c r="G141" s="2" t="n">
        <v>206</v>
      </c>
      <c r="H141" s="2" t="n">
        <v>0</v>
      </c>
      <c r="I141" s="2" t="s">
        <v>1764</v>
      </c>
      <c r="J141" s="2"/>
      <c r="K141" s="2" t="s">
        <v>2542</v>
      </c>
      <c r="L141" s="2" t="s">
        <v>692</v>
      </c>
      <c r="M141" s="2" t="s">
        <v>2543</v>
      </c>
    </row>
    <row r="142" customFormat="false" ht="23.85" hidden="false" customHeight="false" outlineLevel="0" collapsed="false">
      <c r="A142" s="2" t="s">
        <v>1771</v>
      </c>
      <c r="B142" s="2" t="s">
        <v>463</v>
      </c>
      <c r="C142" s="2" t="s">
        <v>1242</v>
      </c>
      <c r="D142" s="2" t="s">
        <v>2541</v>
      </c>
      <c r="E142" s="2" t="n">
        <v>1369</v>
      </c>
      <c r="F142" s="2" t="n">
        <v>255</v>
      </c>
      <c r="G142" s="2" t="n">
        <v>235</v>
      </c>
      <c r="H142" s="2" t="n">
        <v>0</v>
      </c>
      <c r="I142" s="2" t="s">
        <v>1770</v>
      </c>
      <c r="J142" s="2"/>
      <c r="K142" s="2" t="s">
        <v>2542</v>
      </c>
      <c r="L142" s="2" t="s">
        <v>692</v>
      </c>
      <c r="M142" s="2" t="s">
        <v>2543</v>
      </c>
    </row>
    <row r="143" customFormat="false" ht="23.85" hidden="false" customHeight="false" outlineLevel="0" collapsed="false">
      <c r="A143" s="2" t="s">
        <v>1775</v>
      </c>
      <c r="B143" s="2" t="s">
        <v>464</v>
      </c>
      <c r="C143" s="2" t="s">
        <v>1242</v>
      </c>
      <c r="D143" s="2" t="s">
        <v>2541</v>
      </c>
      <c r="E143" s="2" t="n">
        <v>1330</v>
      </c>
      <c r="F143" s="2" t="n">
        <v>255</v>
      </c>
      <c r="G143" s="2" t="n">
        <v>155</v>
      </c>
      <c r="H143" s="2" t="n">
        <v>0</v>
      </c>
      <c r="I143" s="2" t="s">
        <v>1774</v>
      </c>
      <c r="J143" s="2"/>
      <c r="K143" s="2" t="s">
        <v>2542</v>
      </c>
      <c r="L143" s="2" t="s">
        <v>692</v>
      </c>
      <c r="M143" s="2" t="s">
        <v>2543</v>
      </c>
    </row>
    <row r="144" customFormat="false" ht="23.85" hidden="false" customHeight="false" outlineLevel="0" collapsed="false">
      <c r="A144" s="2" t="s">
        <v>1779</v>
      </c>
      <c r="B144" s="2" t="s">
        <v>466</v>
      </c>
      <c r="C144" s="2" t="s">
        <v>1242</v>
      </c>
      <c r="D144" s="2" t="s">
        <v>2541</v>
      </c>
      <c r="E144" s="2" t="n">
        <v>1578</v>
      </c>
      <c r="F144" s="2" t="n">
        <v>222</v>
      </c>
      <c r="G144" s="2" t="n">
        <v>186</v>
      </c>
      <c r="H144" s="2" t="n">
        <v>123</v>
      </c>
      <c r="I144" s="2" t="s">
        <v>1778</v>
      </c>
      <c r="J144" s="2"/>
      <c r="K144" s="2" t="s">
        <v>2542</v>
      </c>
      <c r="L144" s="2" t="s">
        <v>692</v>
      </c>
      <c r="M144" s="2" t="s">
        <v>2543</v>
      </c>
    </row>
    <row r="145" customFormat="false" ht="23.85" hidden="false" customHeight="false" outlineLevel="0" collapsed="false">
      <c r="A145" s="2" t="s">
        <v>1782</v>
      </c>
      <c r="B145" s="2" t="s">
        <v>467</v>
      </c>
      <c r="C145" s="2" t="s">
        <v>1242</v>
      </c>
      <c r="D145" s="2" t="s">
        <v>2541</v>
      </c>
      <c r="E145" s="2" t="n">
        <v>1287</v>
      </c>
      <c r="F145" s="2" t="n">
        <v>81</v>
      </c>
      <c r="G145" s="2" t="n">
        <v>36</v>
      </c>
      <c r="H145" s="2" t="n">
        <v>24</v>
      </c>
      <c r="I145" s="2" t="s">
        <v>1781</v>
      </c>
      <c r="J145" s="2"/>
      <c r="K145" s="2" t="s">
        <v>2542</v>
      </c>
      <c r="L145" s="2" t="s">
        <v>692</v>
      </c>
      <c r="M145" s="2" t="s">
        <v>2543</v>
      </c>
    </row>
    <row r="146" customFormat="false" ht="23.85" hidden="false" customHeight="false" outlineLevel="0" collapsed="false">
      <c r="A146" s="2" t="s">
        <v>1785</v>
      </c>
      <c r="B146" s="2" t="s">
        <v>468</v>
      </c>
      <c r="C146" s="2" t="s">
        <v>1242</v>
      </c>
      <c r="D146" s="2" t="s">
        <v>2541</v>
      </c>
      <c r="E146" s="2" t="n">
        <v>1369</v>
      </c>
      <c r="F146" s="2" t="n">
        <v>84</v>
      </c>
      <c r="G146" s="2" t="n">
        <v>50</v>
      </c>
      <c r="H146" s="2" t="n">
        <v>29</v>
      </c>
      <c r="I146" s="2" t="s">
        <v>1784</v>
      </c>
      <c r="J146" s="2"/>
      <c r="K146" s="2" t="s">
        <v>2542</v>
      </c>
      <c r="L146" s="2" t="s">
        <v>692</v>
      </c>
      <c r="M146" s="2" t="s">
        <v>2543</v>
      </c>
    </row>
    <row r="147" customFormat="false" ht="23.85" hidden="false" customHeight="false" outlineLevel="0" collapsed="false">
      <c r="A147" s="2" t="s">
        <v>1788</v>
      </c>
      <c r="B147" s="2" t="s">
        <v>469</v>
      </c>
      <c r="C147" s="2" t="s">
        <v>1242</v>
      </c>
      <c r="D147" s="2" t="s">
        <v>2541</v>
      </c>
      <c r="E147" s="2" t="n">
        <v>1538</v>
      </c>
      <c r="F147" s="2" t="n">
        <v>255</v>
      </c>
      <c r="G147" s="2" t="n">
        <v>238</v>
      </c>
      <c r="H147" s="2" t="n">
        <v>18</v>
      </c>
      <c r="I147" s="2" t="s">
        <v>1787</v>
      </c>
      <c r="J147" s="2"/>
      <c r="K147" s="2" t="s">
        <v>2542</v>
      </c>
      <c r="L147" s="2" t="s">
        <v>692</v>
      </c>
      <c r="M147" s="2" t="s">
        <v>2543</v>
      </c>
    </row>
    <row r="148" customFormat="false" ht="23.85" hidden="false" customHeight="false" outlineLevel="0" collapsed="false">
      <c r="A148" s="2" t="s">
        <v>1791</v>
      </c>
      <c r="B148" s="2" t="s">
        <v>470</v>
      </c>
      <c r="C148" s="2" t="s">
        <v>1242</v>
      </c>
      <c r="D148" s="2" t="s">
        <v>2541</v>
      </c>
      <c r="E148" s="2" t="n">
        <v>1581</v>
      </c>
      <c r="F148" s="2" t="n">
        <v>255</v>
      </c>
      <c r="G148" s="2" t="n">
        <v>122</v>
      </c>
      <c r="H148" s="2" t="n">
        <v>0</v>
      </c>
      <c r="I148" s="2" t="s">
        <v>1790</v>
      </c>
      <c r="J148" s="2"/>
      <c r="K148" s="2" t="s">
        <v>2542</v>
      </c>
      <c r="L148" s="2" t="s">
        <v>692</v>
      </c>
      <c r="M148" s="2" t="s">
        <v>2543</v>
      </c>
    </row>
    <row r="149" customFormat="false" ht="23.85" hidden="false" customHeight="false" outlineLevel="0" collapsed="false">
      <c r="A149" s="2" t="s">
        <v>1795</v>
      </c>
      <c r="B149" s="2" t="s">
        <v>471</v>
      </c>
      <c r="C149" s="2" t="s">
        <v>1242</v>
      </c>
      <c r="D149" s="2" t="s">
        <v>2541</v>
      </c>
      <c r="E149" s="2" t="n">
        <v>1413</v>
      </c>
      <c r="F149" s="2" t="n">
        <v>170</v>
      </c>
      <c r="G149" s="2" t="n">
        <v>20</v>
      </c>
      <c r="H149" s="2" t="n">
        <v>40</v>
      </c>
      <c r="I149" s="2" t="s">
        <v>1794</v>
      </c>
      <c r="J149" s="2"/>
      <c r="K149" s="2" t="s">
        <v>2542</v>
      </c>
      <c r="L149" s="2" t="s">
        <v>692</v>
      </c>
      <c r="M149" s="2" t="s">
        <v>2543</v>
      </c>
    </row>
    <row r="150" customFormat="false" ht="23.85" hidden="false" customHeight="false" outlineLevel="0" collapsed="false">
      <c r="A150" s="2" t="s">
        <v>1799</v>
      </c>
      <c r="B150" s="2" t="s">
        <v>473</v>
      </c>
      <c r="C150" s="2" t="s">
        <v>1242</v>
      </c>
      <c r="D150" s="2" t="s">
        <v>2541</v>
      </c>
      <c r="E150" s="2" t="n">
        <v>1587</v>
      </c>
      <c r="F150" s="2" t="n">
        <v>106</v>
      </c>
      <c r="G150" s="2" t="n">
        <v>37</v>
      </c>
      <c r="H150" s="2" t="n">
        <v>39</v>
      </c>
      <c r="I150" s="2" t="s">
        <v>1798</v>
      </c>
      <c r="J150" s="2"/>
      <c r="K150" s="2" t="s">
        <v>2542</v>
      </c>
      <c r="L150" s="2" t="s">
        <v>692</v>
      </c>
      <c r="M150" s="2" t="s">
        <v>2543</v>
      </c>
    </row>
    <row r="151" customFormat="false" ht="23.85" hidden="false" customHeight="false" outlineLevel="0" collapsed="false">
      <c r="A151" s="2" t="s">
        <v>1804</v>
      </c>
      <c r="B151" s="2" t="s">
        <v>475</v>
      </c>
      <c r="C151" s="2" t="s">
        <v>1242</v>
      </c>
      <c r="D151" s="2" t="s">
        <v>2541</v>
      </c>
      <c r="E151" s="2" t="n">
        <v>1545</v>
      </c>
      <c r="F151" s="2" t="n">
        <v>230</v>
      </c>
      <c r="G151" s="2" t="n">
        <v>55</v>
      </c>
      <c r="H151" s="2" t="n">
        <v>20</v>
      </c>
      <c r="I151" s="2" t="s">
        <v>1803</v>
      </c>
      <c r="J151" s="2"/>
      <c r="K151" s="2" t="s">
        <v>2542</v>
      </c>
      <c r="L151" s="2" t="s">
        <v>692</v>
      </c>
      <c r="M151" s="2" t="s">
        <v>2543</v>
      </c>
    </row>
    <row r="152" customFormat="false" ht="23.85" hidden="false" customHeight="false" outlineLevel="0" collapsed="false">
      <c r="A152" s="2" t="s">
        <v>1808</v>
      </c>
      <c r="B152" s="2" t="s">
        <v>477</v>
      </c>
      <c r="C152" s="2" t="s">
        <v>1242</v>
      </c>
      <c r="D152" s="2" t="s">
        <v>2541</v>
      </c>
      <c r="E152" s="2" t="n">
        <v>1493</v>
      </c>
      <c r="F152" s="2" t="n">
        <v>255</v>
      </c>
      <c r="G152" s="2" t="n">
        <v>181</v>
      </c>
      <c r="H152" s="2" t="n">
        <v>0</v>
      </c>
      <c r="I152" s="2" t="s">
        <v>1807</v>
      </c>
      <c r="J152" s="2"/>
      <c r="K152" s="2" t="s">
        <v>2542</v>
      </c>
      <c r="L152" s="2" t="s">
        <v>692</v>
      </c>
      <c r="M152" s="2" t="s">
        <v>2543</v>
      </c>
    </row>
    <row r="153" customFormat="false" ht="23.85" hidden="false" customHeight="false" outlineLevel="0" collapsed="false">
      <c r="A153" s="2" t="s">
        <v>1812</v>
      </c>
      <c r="B153" s="2" t="s">
        <v>478</v>
      </c>
      <c r="C153" s="2" t="s">
        <v>1242</v>
      </c>
      <c r="D153" s="2" t="s">
        <v>2541</v>
      </c>
      <c r="E153" s="2" t="n">
        <v>1493</v>
      </c>
      <c r="F153" s="2" t="n">
        <v>255</v>
      </c>
      <c r="G153" s="2" t="n">
        <v>201</v>
      </c>
      <c r="H153" s="2" t="n">
        <v>0</v>
      </c>
      <c r="I153" s="2" t="s">
        <v>1811</v>
      </c>
      <c r="J153" s="2"/>
      <c r="K153" s="2" t="s">
        <v>2542</v>
      </c>
      <c r="L153" s="2" t="s">
        <v>692</v>
      </c>
      <c r="M153" s="2" t="s">
        <v>2543</v>
      </c>
    </row>
    <row r="154" customFormat="false" ht="23.85" hidden="false" customHeight="false" outlineLevel="0" collapsed="false">
      <c r="A154" s="2" t="s">
        <v>1816</v>
      </c>
      <c r="B154" s="2" t="s">
        <v>480</v>
      </c>
      <c r="C154" s="2" t="s">
        <v>1242</v>
      </c>
      <c r="D154" s="2" t="s">
        <v>2541</v>
      </c>
      <c r="E154" s="2" t="n">
        <v>1477</v>
      </c>
      <c r="F154" s="2" t="n">
        <v>0</v>
      </c>
      <c r="G154" s="2" t="n">
        <v>90</v>
      </c>
      <c r="H154" s="2" t="n">
        <v>151</v>
      </c>
      <c r="I154" s="2" t="s">
        <v>1815</v>
      </c>
      <c r="J154" s="2"/>
      <c r="K154" s="2" t="s">
        <v>2542</v>
      </c>
      <c r="L154" s="2" t="s">
        <v>692</v>
      </c>
      <c r="M154" s="2" t="s">
        <v>2543</v>
      </c>
    </row>
    <row r="155" customFormat="false" ht="23.85" hidden="false" customHeight="false" outlineLevel="0" collapsed="false">
      <c r="A155" s="2" t="s">
        <v>1819</v>
      </c>
      <c r="B155" s="2" t="s">
        <v>482</v>
      </c>
      <c r="C155" s="2" t="s">
        <v>1242</v>
      </c>
      <c r="D155" s="2" t="s">
        <v>2541</v>
      </c>
      <c r="E155" s="2" t="n">
        <v>1606</v>
      </c>
      <c r="F155" s="2" t="n">
        <v>0</v>
      </c>
      <c r="G155" s="2" t="n">
        <v>108</v>
      </c>
      <c r="H155" s="2" t="n">
        <v>163</v>
      </c>
      <c r="I155" s="2" t="s">
        <v>1818</v>
      </c>
      <c r="J155" s="2"/>
      <c r="K155" s="2" t="s">
        <v>2542</v>
      </c>
      <c r="L155" s="2" t="s">
        <v>692</v>
      </c>
      <c r="M155" s="2" t="s">
        <v>2543</v>
      </c>
    </row>
    <row r="156" customFormat="false" ht="23.85" hidden="false" customHeight="false" outlineLevel="0" collapsed="false">
      <c r="A156" s="2" t="s">
        <v>1823</v>
      </c>
      <c r="B156" s="2" t="s">
        <v>483</v>
      </c>
      <c r="C156" s="2" t="s">
        <v>1242</v>
      </c>
      <c r="D156" s="2" t="s">
        <v>2541</v>
      </c>
      <c r="E156" s="2" t="n">
        <v>1682</v>
      </c>
      <c r="F156" s="2" t="n">
        <v>76</v>
      </c>
      <c r="G156" s="2" t="n">
        <v>115</v>
      </c>
      <c r="H156" s="2" t="n">
        <v>71</v>
      </c>
      <c r="I156" s="2" t="s">
        <v>1822</v>
      </c>
      <c r="J156" s="2"/>
      <c r="K156" s="2" t="s">
        <v>2542</v>
      </c>
      <c r="L156" s="2" t="s">
        <v>692</v>
      </c>
      <c r="M156" s="2" t="s">
        <v>2543</v>
      </c>
    </row>
    <row r="157" customFormat="false" ht="23.85" hidden="false" customHeight="false" outlineLevel="0" collapsed="false">
      <c r="A157" s="2" t="s">
        <v>1826</v>
      </c>
      <c r="B157" s="2" t="s">
        <v>485</v>
      </c>
      <c r="C157" s="2" t="s">
        <v>1242</v>
      </c>
      <c r="D157" s="2" t="s">
        <v>2541</v>
      </c>
      <c r="E157" s="2" t="n">
        <v>1580</v>
      </c>
      <c r="F157" s="2" t="n">
        <v>22</v>
      </c>
      <c r="G157" s="2" t="n">
        <v>71</v>
      </c>
      <c r="H157" s="2" t="n">
        <v>153</v>
      </c>
      <c r="I157" s="2" t="s">
        <v>1825</v>
      </c>
      <c r="J157" s="2"/>
      <c r="K157" s="2" t="s">
        <v>2542</v>
      </c>
      <c r="L157" s="2" t="s">
        <v>692</v>
      </c>
      <c r="M157" s="2" t="s">
        <v>2543</v>
      </c>
    </row>
    <row r="158" customFormat="false" ht="23.85" hidden="false" customHeight="false" outlineLevel="0" collapsed="false">
      <c r="A158" s="2" t="s">
        <v>1829</v>
      </c>
      <c r="B158" s="2" t="s">
        <v>486</v>
      </c>
      <c r="C158" s="2" t="s">
        <v>1242</v>
      </c>
      <c r="D158" s="2" t="s">
        <v>2541</v>
      </c>
      <c r="E158" s="2" t="n">
        <v>1693</v>
      </c>
      <c r="F158" s="2" t="n">
        <v>57</v>
      </c>
      <c r="G158" s="2" t="n">
        <v>50</v>
      </c>
      <c r="H158" s="2" t="n">
        <v>125</v>
      </c>
      <c r="I158" s="2" t="s">
        <v>1828</v>
      </c>
      <c r="J158" s="2"/>
      <c r="K158" s="2" t="s">
        <v>2542</v>
      </c>
      <c r="L158" s="2" t="s">
        <v>692</v>
      </c>
      <c r="M158" s="2" t="s">
        <v>2543</v>
      </c>
    </row>
    <row r="159" customFormat="false" ht="23.85" hidden="false" customHeight="false" outlineLevel="0" collapsed="false">
      <c r="A159" s="2" t="s">
        <v>1832</v>
      </c>
      <c r="B159" s="2" t="s">
        <v>487</v>
      </c>
      <c r="C159" s="2" t="s">
        <v>1242</v>
      </c>
      <c r="D159" s="2" t="s">
        <v>2541</v>
      </c>
      <c r="E159" s="2" t="n">
        <v>1524</v>
      </c>
      <c r="F159" s="2" t="n">
        <v>0</v>
      </c>
      <c r="G159" s="2" t="n">
        <v>131</v>
      </c>
      <c r="H159" s="2" t="n">
        <v>107</v>
      </c>
      <c r="I159" s="2" t="s">
        <v>1831</v>
      </c>
      <c r="J159" s="2"/>
      <c r="K159" s="2" t="s">
        <v>2542</v>
      </c>
      <c r="L159" s="2" t="s">
        <v>692</v>
      </c>
      <c r="M159" s="2" t="s">
        <v>2543</v>
      </c>
    </row>
    <row r="160" customFormat="false" ht="23.85" hidden="false" customHeight="false" outlineLevel="0" collapsed="false">
      <c r="A160" s="2" t="s">
        <v>1836</v>
      </c>
      <c r="B160" s="2" t="s">
        <v>488</v>
      </c>
      <c r="C160" s="2" t="s">
        <v>1242</v>
      </c>
      <c r="D160" s="2" t="s">
        <v>2541</v>
      </c>
      <c r="E160" s="2" t="n">
        <v>1554</v>
      </c>
      <c r="F160" s="2" t="n">
        <v>8</v>
      </c>
      <c r="G160" s="2" t="n">
        <v>82</v>
      </c>
      <c r="H160" s="2" t="n">
        <v>67</v>
      </c>
      <c r="I160" s="2" t="s">
        <v>1835</v>
      </c>
      <c r="J160" s="2"/>
      <c r="K160" s="2" t="s">
        <v>2542</v>
      </c>
      <c r="L160" s="2" t="s">
        <v>692</v>
      </c>
      <c r="M160" s="2" t="s">
        <v>2543</v>
      </c>
    </row>
    <row r="161" customFormat="false" ht="23.85" hidden="false" customHeight="false" outlineLevel="0" collapsed="false">
      <c r="A161" s="2" t="s">
        <v>1839</v>
      </c>
      <c r="B161" s="2" t="s">
        <v>490</v>
      </c>
      <c r="C161" s="2" t="s">
        <v>1242</v>
      </c>
      <c r="D161" s="2" t="s">
        <v>2541</v>
      </c>
      <c r="E161" s="2" t="n">
        <v>1520</v>
      </c>
      <c r="F161" s="2" t="n">
        <v>0</v>
      </c>
      <c r="G161" s="2" t="n">
        <v>163</v>
      </c>
      <c r="H161" s="2" t="n">
        <v>166</v>
      </c>
      <c r="I161" s="2" t="s">
        <v>1838</v>
      </c>
      <c r="J161" s="2"/>
      <c r="K161" s="2" t="s">
        <v>2542</v>
      </c>
      <c r="L161" s="2" t="s">
        <v>692</v>
      </c>
      <c r="M161" s="2" t="s">
        <v>2543</v>
      </c>
    </row>
    <row r="162" customFormat="false" ht="23.85" hidden="false" customHeight="false" outlineLevel="0" collapsed="false">
      <c r="A162" s="2" t="s">
        <v>1844</v>
      </c>
      <c r="B162" s="2" t="s">
        <v>491</v>
      </c>
      <c r="C162" s="2" t="s">
        <v>1242</v>
      </c>
      <c r="D162" s="2" t="s">
        <v>2541</v>
      </c>
      <c r="E162" s="2" t="n">
        <v>1448</v>
      </c>
      <c r="F162" s="2" t="n">
        <v>108</v>
      </c>
      <c r="G162" s="2" t="n">
        <v>101</v>
      </c>
      <c r="H162" s="2" t="n">
        <v>77</v>
      </c>
      <c r="I162" s="2" t="s">
        <v>1843</v>
      </c>
      <c r="J162" s="2"/>
      <c r="K162" s="2" t="s">
        <v>2542</v>
      </c>
      <c r="L162" s="2" t="s">
        <v>692</v>
      </c>
      <c r="M162" s="2" t="s">
        <v>2543</v>
      </c>
    </row>
    <row r="163" customFormat="false" ht="23.85" hidden="false" customHeight="false" outlineLevel="0" collapsed="false">
      <c r="A163" s="2" t="s">
        <v>1848</v>
      </c>
      <c r="B163" s="2" t="s">
        <v>493</v>
      </c>
      <c r="C163" s="2" t="s">
        <v>1242</v>
      </c>
      <c r="D163" s="2" t="s">
        <v>2541</v>
      </c>
      <c r="E163" s="2" t="n">
        <v>1213</v>
      </c>
      <c r="F163" s="2" t="n">
        <v>35</v>
      </c>
      <c r="G163" s="2" t="n">
        <v>29</v>
      </c>
      <c r="H163" s="2" t="n">
        <v>31</v>
      </c>
      <c r="I163" s="2" t="s">
        <v>1847</v>
      </c>
      <c r="J163" s="2"/>
      <c r="K163" s="2" t="s">
        <v>2542</v>
      </c>
      <c r="L163" s="2" t="s">
        <v>692</v>
      </c>
      <c r="M163" s="2" t="s">
        <v>2543</v>
      </c>
    </row>
    <row r="164" customFormat="false" ht="23.85" hidden="false" customHeight="false" outlineLevel="0" collapsed="false">
      <c r="A164" s="2" t="s">
        <v>1851</v>
      </c>
      <c r="B164" s="2" t="s">
        <v>496</v>
      </c>
      <c r="C164" s="2" t="s">
        <v>1242</v>
      </c>
      <c r="D164" s="2" t="s">
        <v>2541</v>
      </c>
      <c r="E164" s="2" t="n">
        <v>1295</v>
      </c>
      <c r="F164" s="2" t="n">
        <v>67</v>
      </c>
      <c r="G164" s="2" t="n">
        <v>72</v>
      </c>
      <c r="H164" s="2" t="n">
        <v>44</v>
      </c>
      <c r="I164" s="2" t="s">
        <v>1850</v>
      </c>
      <c r="J164" s="2"/>
      <c r="K164" s="2" t="s">
        <v>2542</v>
      </c>
      <c r="L164" s="2" t="s">
        <v>692</v>
      </c>
      <c r="M164" s="2" t="s">
        <v>2543</v>
      </c>
    </row>
    <row r="165" customFormat="false" ht="23.85" hidden="false" customHeight="false" outlineLevel="0" collapsed="false">
      <c r="A165" s="2" t="s">
        <v>1855</v>
      </c>
      <c r="B165" s="2" t="s">
        <v>497</v>
      </c>
      <c r="C165" s="2" t="s">
        <v>1242</v>
      </c>
      <c r="D165" s="2" t="s">
        <v>2541</v>
      </c>
      <c r="E165" s="2" t="n">
        <v>1279</v>
      </c>
      <c r="F165" s="2" t="n">
        <v>52</v>
      </c>
      <c r="G165" s="2" t="n">
        <v>64</v>
      </c>
      <c r="H165" s="2" t="n">
        <v>38</v>
      </c>
      <c r="I165" s="2" t="s">
        <v>1854</v>
      </c>
      <c r="J165" s="2"/>
      <c r="K165" s="2" t="s">
        <v>2542</v>
      </c>
      <c r="L165" s="2" t="s">
        <v>692</v>
      </c>
      <c r="M165" s="2" t="s">
        <v>2543</v>
      </c>
    </row>
    <row r="166" customFormat="false" ht="23.85" hidden="false" customHeight="false" outlineLevel="0" collapsed="false">
      <c r="A166" s="2" t="s">
        <v>1858</v>
      </c>
      <c r="B166" s="2" t="s">
        <v>498</v>
      </c>
      <c r="C166" s="2" t="s">
        <v>1242</v>
      </c>
      <c r="D166" s="2" t="s">
        <v>2541</v>
      </c>
      <c r="E166" s="2" t="n">
        <v>1263</v>
      </c>
      <c r="F166" s="2" t="n">
        <v>34</v>
      </c>
      <c r="G166" s="2" t="n">
        <v>21</v>
      </c>
      <c r="H166" s="2" t="n">
        <v>36</v>
      </c>
      <c r="I166" s="2" t="s">
        <v>1857</v>
      </c>
      <c r="J166" s="2"/>
      <c r="K166" s="2" t="s">
        <v>2542</v>
      </c>
      <c r="L166" s="2" t="s">
        <v>692</v>
      </c>
      <c r="M166" s="2" t="s">
        <v>2543</v>
      </c>
    </row>
    <row r="167" customFormat="false" ht="23.85" hidden="false" customHeight="false" outlineLevel="0" collapsed="false">
      <c r="A167" s="2" t="s">
        <v>1861</v>
      </c>
      <c r="B167" s="2" t="s">
        <v>499</v>
      </c>
      <c r="C167" s="2" t="s">
        <v>1242</v>
      </c>
      <c r="D167" s="2" t="s">
        <v>2541</v>
      </c>
      <c r="E167" s="2" t="n">
        <v>1359</v>
      </c>
      <c r="F167" s="2" t="n">
        <v>41</v>
      </c>
      <c r="G167" s="2" t="n">
        <v>41</v>
      </c>
      <c r="H167" s="2" t="n">
        <v>41</v>
      </c>
      <c r="I167" s="2" t="s">
        <v>1860</v>
      </c>
      <c r="J167" s="2"/>
      <c r="K167" s="2" t="s">
        <v>2542</v>
      </c>
      <c r="L167" s="2" t="s">
        <v>692</v>
      </c>
      <c r="M167" s="2" t="s">
        <v>2543</v>
      </c>
    </row>
    <row r="168" customFormat="false" ht="23.85" hidden="false" customHeight="false" outlineLevel="0" collapsed="false">
      <c r="A168" s="2" t="s">
        <v>1864</v>
      </c>
      <c r="B168" s="2" t="s">
        <v>500</v>
      </c>
      <c r="C168" s="2" t="s">
        <v>1242</v>
      </c>
      <c r="D168" s="2" t="s">
        <v>2541</v>
      </c>
      <c r="E168" s="2" t="n">
        <v>1233</v>
      </c>
      <c r="F168" s="2" t="n">
        <v>243</v>
      </c>
      <c r="G168" s="2" t="n">
        <v>224</v>
      </c>
      <c r="H168" s="2" t="n">
        <v>0</v>
      </c>
      <c r="I168" s="2" t="s">
        <v>1863</v>
      </c>
      <c r="J168" s="2"/>
      <c r="K168" s="2" t="s">
        <v>2542</v>
      </c>
      <c r="L168" s="2" t="s">
        <v>692</v>
      </c>
      <c r="M168" s="2" t="s">
        <v>2543</v>
      </c>
    </row>
    <row r="169" customFormat="false" ht="23.85" hidden="false" customHeight="false" outlineLevel="0" collapsed="false">
      <c r="A169" s="2" t="s">
        <v>1868</v>
      </c>
      <c r="B169" s="2" t="s">
        <v>501</v>
      </c>
      <c r="C169" s="2" t="s">
        <v>1242</v>
      </c>
      <c r="D169" s="2" t="s">
        <v>2541</v>
      </c>
      <c r="E169" s="2" t="n">
        <v>1421</v>
      </c>
      <c r="F169" s="2" t="n">
        <v>158</v>
      </c>
      <c r="G169" s="2" t="n">
        <v>75</v>
      </c>
      <c r="H169" s="2" t="n">
        <v>53</v>
      </c>
      <c r="I169" s="2" t="s">
        <v>1867</v>
      </c>
      <c r="J169" s="2"/>
      <c r="K169" s="2" t="s">
        <v>2542</v>
      </c>
      <c r="L169" s="2" t="s">
        <v>692</v>
      </c>
      <c r="M169" s="2" t="s">
        <v>2543</v>
      </c>
    </row>
    <row r="170" customFormat="false" ht="23.85" hidden="false" customHeight="false" outlineLevel="0" collapsed="false">
      <c r="A170" s="2" t="s">
        <v>1871</v>
      </c>
      <c r="B170" s="2" t="s">
        <v>503</v>
      </c>
      <c r="C170" s="2" t="s">
        <v>1242</v>
      </c>
      <c r="D170" s="2" t="s">
        <v>2541</v>
      </c>
      <c r="E170" s="2" t="n">
        <v>1550</v>
      </c>
      <c r="F170" s="2" t="n">
        <v>46</v>
      </c>
      <c r="G170" s="2" t="n">
        <v>45</v>
      </c>
      <c r="H170" s="2" t="n">
        <v>44</v>
      </c>
      <c r="I170" s="2" t="s">
        <v>1870</v>
      </c>
      <c r="J170" s="2"/>
      <c r="K170" s="2" t="s">
        <v>2542</v>
      </c>
      <c r="L170" s="2" t="s">
        <v>692</v>
      </c>
      <c r="M170" s="2" t="s">
        <v>2543</v>
      </c>
    </row>
    <row r="171" customFormat="false" ht="23.85" hidden="false" customHeight="false" outlineLevel="0" collapsed="false">
      <c r="A171" s="2" t="s">
        <v>1875</v>
      </c>
      <c r="B171" s="2" t="s">
        <v>504</v>
      </c>
      <c r="C171" s="2" t="s">
        <v>1242</v>
      </c>
      <c r="D171" s="2" t="s">
        <v>2541</v>
      </c>
      <c r="E171" s="2" t="n">
        <v>1236</v>
      </c>
      <c r="F171" s="2" t="n">
        <v>188</v>
      </c>
      <c r="G171" s="2" t="n">
        <v>14</v>
      </c>
      <c r="H171" s="2" t="n">
        <v>3</v>
      </c>
      <c r="I171" s="2" t="s">
        <v>1874</v>
      </c>
      <c r="J171" s="2"/>
      <c r="K171" s="2" t="s">
        <v>2542</v>
      </c>
      <c r="L171" s="2" t="s">
        <v>692</v>
      </c>
      <c r="M171" s="2" t="s">
        <v>2543</v>
      </c>
    </row>
    <row r="172" customFormat="false" ht="23.85" hidden="false" customHeight="false" outlineLevel="0" collapsed="false">
      <c r="A172" s="2" t="s">
        <v>1879</v>
      </c>
      <c r="B172" s="2" t="s">
        <v>506</v>
      </c>
      <c r="C172" s="2" t="s">
        <v>1242</v>
      </c>
      <c r="D172" s="2" t="s">
        <v>2541</v>
      </c>
      <c r="E172" s="2" t="n">
        <v>1235</v>
      </c>
      <c r="F172" s="2" t="n">
        <v>175</v>
      </c>
      <c r="G172" s="2" t="n">
        <v>0</v>
      </c>
      <c r="H172" s="2" t="n">
        <v>7</v>
      </c>
      <c r="I172" s="2" t="s">
        <v>1878</v>
      </c>
      <c r="J172" s="2"/>
      <c r="K172" s="2" t="s">
        <v>2542</v>
      </c>
      <c r="L172" s="2" t="s">
        <v>692</v>
      </c>
      <c r="M172" s="2" t="s">
        <v>2543</v>
      </c>
    </row>
    <row r="173" customFormat="false" ht="23.85" hidden="false" customHeight="false" outlineLevel="0" collapsed="false">
      <c r="A173" s="2" t="s">
        <v>1882</v>
      </c>
      <c r="B173" s="2" t="s">
        <v>508</v>
      </c>
      <c r="C173" s="2" t="s">
        <v>1242</v>
      </c>
      <c r="D173" s="2" t="s">
        <v>2541</v>
      </c>
      <c r="E173" s="2" t="n">
        <v>1491</v>
      </c>
      <c r="F173" s="2" t="n">
        <v>235</v>
      </c>
      <c r="G173" s="2" t="n">
        <v>165</v>
      </c>
      <c r="H173" s="2" t="n">
        <v>63</v>
      </c>
      <c r="I173" s="2" t="s">
        <v>1881</v>
      </c>
      <c r="J173" s="2"/>
      <c r="K173" s="2" t="s">
        <v>2542</v>
      </c>
      <c r="L173" s="2" t="s">
        <v>692</v>
      </c>
      <c r="M173" s="2" t="s">
        <v>2543</v>
      </c>
    </row>
    <row r="174" customFormat="false" ht="23.85" hidden="false" customHeight="false" outlineLevel="0" collapsed="false">
      <c r="A174" s="2" t="s">
        <v>1886</v>
      </c>
      <c r="B174" s="2" t="s">
        <v>509</v>
      </c>
      <c r="C174" s="2" t="s">
        <v>1242</v>
      </c>
      <c r="D174" s="2" t="s">
        <v>2541</v>
      </c>
      <c r="E174" s="2" t="n">
        <v>1312</v>
      </c>
      <c r="F174" s="2" t="n">
        <v>131</v>
      </c>
      <c r="G174" s="2" t="n">
        <v>92</v>
      </c>
      <c r="H174" s="2" t="n">
        <v>2</v>
      </c>
      <c r="I174" s="2" t="s">
        <v>1885</v>
      </c>
      <c r="J174" s="2"/>
      <c r="K174" s="2" t="s">
        <v>2542</v>
      </c>
      <c r="L174" s="2" t="s">
        <v>692</v>
      </c>
      <c r="M174" s="2" t="s">
        <v>2543</v>
      </c>
    </row>
    <row r="175" customFormat="false" ht="23.85" hidden="false" customHeight="false" outlineLevel="0" collapsed="false">
      <c r="A175" s="2" t="s">
        <v>1890</v>
      </c>
      <c r="B175" s="2" t="s">
        <v>511</v>
      </c>
      <c r="C175" s="2" t="s">
        <v>1242</v>
      </c>
      <c r="D175" s="2" t="s">
        <v>2541</v>
      </c>
      <c r="E175" s="2" t="n">
        <v>1263</v>
      </c>
      <c r="F175" s="2" t="n">
        <v>41</v>
      </c>
      <c r="G175" s="2" t="n">
        <v>50</v>
      </c>
      <c r="H175" s="2" t="n">
        <v>34</v>
      </c>
      <c r="I175" s="2" t="s">
        <v>1889</v>
      </c>
      <c r="J175" s="2"/>
      <c r="K175" s="2" t="s">
        <v>2542</v>
      </c>
      <c r="L175" s="2" t="s">
        <v>692</v>
      </c>
      <c r="M175" s="2" t="s">
        <v>2543</v>
      </c>
    </row>
    <row r="176" customFormat="false" ht="23.85" hidden="false" customHeight="false" outlineLevel="0" collapsed="false">
      <c r="A176" s="2" t="s">
        <v>1894</v>
      </c>
      <c r="B176" s="2" t="s">
        <v>512</v>
      </c>
      <c r="C176" s="2" t="s">
        <v>1242</v>
      </c>
      <c r="D176" s="2" t="s">
        <v>2541</v>
      </c>
      <c r="E176" s="2" t="n">
        <v>1265</v>
      </c>
      <c r="F176" s="2" t="n">
        <v>39</v>
      </c>
      <c r="G176" s="2" t="n">
        <v>32</v>
      </c>
      <c r="H176" s="2" t="n">
        <v>32</v>
      </c>
      <c r="I176" s="2" t="s">
        <v>1893</v>
      </c>
      <c r="J176" s="2"/>
      <c r="K176" s="2" t="s">
        <v>2542</v>
      </c>
      <c r="L176" s="2" t="s">
        <v>692</v>
      </c>
      <c r="M176" s="2" t="s">
        <v>2543</v>
      </c>
    </row>
    <row r="177" customFormat="false" ht="23.85" hidden="false" customHeight="false" outlineLevel="0" collapsed="false">
      <c r="A177" s="2" t="s">
        <v>1898</v>
      </c>
      <c r="B177" s="2" t="s">
        <v>514</v>
      </c>
      <c r="C177" s="2" t="s">
        <v>1242</v>
      </c>
      <c r="D177" s="2" t="s">
        <v>2541</v>
      </c>
      <c r="E177" s="2" t="n">
        <v>1289</v>
      </c>
      <c r="F177" s="2" t="n">
        <v>139</v>
      </c>
      <c r="G177" s="2" t="n">
        <v>0</v>
      </c>
      <c r="H177" s="2" t="n">
        <v>20</v>
      </c>
      <c r="I177" s="2" t="s">
        <v>1897</v>
      </c>
      <c r="J177" s="2"/>
      <c r="K177" s="2" t="s">
        <v>2542</v>
      </c>
      <c r="L177" s="2" t="s">
        <v>692</v>
      </c>
      <c r="M177" s="2" t="s">
        <v>2543</v>
      </c>
    </row>
    <row r="178" customFormat="false" ht="23.85" hidden="false" customHeight="false" outlineLevel="0" collapsed="false">
      <c r="A178" s="2" t="s">
        <v>1902</v>
      </c>
      <c r="B178" s="2" t="s">
        <v>516</v>
      </c>
      <c r="C178" s="2" t="s">
        <v>1242</v>
      </c>
      <c r="D178" s="2" t="s">
        <v>2541</v>
      </c>
      <c r="E178" s="2" t="n">
        <v>1191</v>
      </c>
      <c r="F178" s="2" t="n">
        <v>89</v>
      </c>
      <c r="G178" s="2" t="n">
        <v>26</v>
      </c>
      <c r="H178" s="2" t="n">
        <v>34</v>
      </c>
      <c r="I178" s="2" t="s">
        <v>1901</v>
      </c>
      <c r="J178" s="2"/>
      <c r="K178" s="2" t="s">
        <v>2542</v>
      </c>
      <c r="L178" s="2" t="s">
        <v>692</v>
      </c>
      <c r="M178" s="2" t="s">
        <v>2543</v>
      </c>
    </row>
    <row r="179" customFormat="false" ht="23.85" hidden="false" customHeight="false" outlineLevel="0" collapsed="false">
      <c r="A179" s="2" t="s">
        <v>1905</v>
      </c>
      <c r="B179" s="2" t="s">
        <v>517</v>
      </c>
      <c r="C179" s="2" t="s">
        <v>1242</v>
      </c>
      <c r="D179" s="2" t="s">
        <v>2541</v>
      </c>
      <c r="E179" s="2" t="n">
        <v>1239</v>
      </c>
      <c r="F179" s="2" t="n">
        <v>58</v>
      </c>
      <c r="G179" s="2" t="n">
        <v>22</v>
      </c>
      <c r="H179" s="2" t="n">
        <v>23</v>
      </c>
      <c r="I179" s="2" t="s">
        <v>1904</v>
      </c>
      <c r="J179" s="2"/>
      <c r="K179" s="2" t="s">
        <v>2542</v>
      </c>
      <c r="L179" s="2" t="s">
        <v>692</v>
      </c>
      <c r="M179" s="2" t="s">
        <v>2543</v>
      </c>
    </row>
    <row r="180" customFormat="false" ht="23.85" hidden="false" customHeight="false" outlineLevel="0" collapsed="false">
      <c r="A180" s="2" t="s">
        <v>1910</v>
      </c>
      <c r="B180" s="2" t="s">
        <v>518</v>
      </c>
      <c r="C180" s="2" t="s">
        <v>1242</v>
      </c>
      <c r="D180" s="2" t="s">
        <v>2541</v>
      </c>
      <c r="E180" s="2" t="n">
        <v>1289</v>
      </c>
      <c r="F180" s="2" t="n">
        <v>24</v>
      </c>
      <c r="G180" s="2" t="n">
        <v>38</v>
      </c>
      <c r="H180" s="2" t="n">
        <v>21</v>
      </c>
      <c r="I180" s="2" t="s">
        <v>1909</v>
      </c>
      <c r="J180" s="2"/>
      <c r="K180" s="2" t="s">
        <v>2542</v>
      </c>
      <c r="L180" s="2" t="s">
        <v>692</v>
      </c>
      <c r="M180" s="2" t="s">
        <v>2543</v>
      </c>
    </row>
    <row r="181" customFormat="false" ht="23.85" hidden="false" customHeight="false" outlineLevel="0" collapsed="false">
      <c r="A181" s="2" t="s">
        <v>1913</v>
      </c>
      <c r="B181" s="2" t="s">
        <v>520</v>
      </c>
      <c r="C181" s="2" t="s">
        <v>1242</v>
      </c>
      <c r="D181" s="2" t="s">
        <v>2541</v>
      </c>
      <c r="E181" s="2" t="n">
        <v>1225</v>
      </c>
      <c r="F181" s="2" t="n">
        <v>76</v>
      </c>
      <c r="G181" s="2" t="n">
        <v>20</v>
      </c>
      <c r="H181" s="2" t="n">
        <v>22</v>
      </c>
      <c r="I181" s="2" t="s">
        <v>1912</v>
      </c>
      <c r="J181" s="2"/>
      <c r="K181" s="2" t="s">
        <v>2542</v>
      </c>
      <c r="L181" s="2" t="s">
        <v>692</v>
      </c>
      <c r="M181" s="2" t="s">
        <v>2543</v>
      </c>
    </row>
    <row r="182" customFormat="false" ht="23.85" hidden="false" customHeight="false" outlineLevel="0" collapsed="false">
      <c r="A182" s="2" t="s">
        <v>1917</v>
      </c>
      <c r="B182" s="2" t="s">
        <v>521</v>
      </c>
      <c r="C182" s="2" t="s">
        <v>1242</v>
      </c>
      <c r="D182" s="2" t="s">
        <v>2541</v>
      </c>
      <c r="E182" s="2" t="n">
        <v>1097</v>
      </c>
      <c r="F182" s="2" t="n">
        <v>25</v>
      </c>
      <c r="G182" s="2" t="n">
        <v>14</v>
      </c>
      <c r="H182" s="2" t="n">
        <v>58</v>
      </c>
      <c r="I182" s="2" t="s">
        <v>1916</v>
      </c>
      <c r="J182" s="2"/>
      <c r="K182" s="2" t="s">
        <v>2542</v>
      </c>
      <c r="L182" s="2" t="s">
        <v>692</v>
      </c>
      <c r="M182" s="2" t="s">
        <v>2543</v>
      </c>
    </row>
    <row r="183" customFormat="false" ht="23.85" hidden="false" customHeight="false" outlineLevel="0" collapsed="false">
      <c r="A183" s="2" t="s">
        <v>1921</v>
      </c>
      <c r="B183" s="2" t="s">
        <v>523</v>
      </c>
      <c r="C183" s="2" t="s">
        <v>1242</v>
      </c>
      <c r="D183" s="2" t="s">
        <v>2541</v>
      </c>
      <c r="E183" s="2" t="n">
        <v>1268</v>
      </c>
      <c r="F183" s="2" t="n">
        <v>16</v>
      </c>
      <c r="G183" s="2" t="n">
        <v>36</v>
      </c>
      <c r="H183" s="2" t="n">
        <v>53</v>
      </c>
      <c r="I183" s="2" t="s">
        <v>1920</v>
      </c>
      <c r="J183" s="2"/>
      <c r="K183" s="2" t="s">
        <v>2542</v>
      </c>
      <c r="L183" s="2" t="s">
        <v>692</v>
      </c>
      <c r="M183" s="2" t="s">
        <v>2543</v>
      </c>
    </row>
    <row r="184" customFormat="false" ht="23.85" hidden="false" customHeight="false" outlineLevel="0" collapsed="false">
      <c r="A184" s="2" t="s">
        <v>1925</v>
      </c>
      <c r="B184" s="2" t="s">
        <v>525</v>
      </c>
      <c r="C184" s="2" t="s">
        <v>1242</v>
      </c>
      <c r="D184" s="2" t="s">
        <v>2541</v>
      </c>
      <c r="E184" s="2" t="n">
        <v>1246</v>
      </c>
      <c r="F184" s="2" t="n">
        <v>244</v>
      </c>
      <c r="G184" s="2" t="n">
        <v>66</v>
      </c>
      <c r="H184" s="2" t="n">
        <v>0</v>
      </c>
      <c r="I184" s="2" t="s">
        <v>1924</v>
      </c>
      <c r="J184" s="2"/>
      <c r="K184" s="2" t="s">
        <v>2542</v>
      </c>
      <c r="L184" s="2" t="s">
        <v>692</v>
      </c>
      <c r="M184" s="2" t="s">
        <v>2543</v>
      </c>
    </row>
    <row r="185" customFormat="false" ht="23.85" hidden="false" customHeight="false" outlineLevel="0" collapsed="false">
      <c r="A185" s="2" t="s">
        <v>1929</v>
      </c>
      <c r="B185" s="2" t="s">
        <v>527</v>
      </c>
      <c r="C185" s="2" t="s">
        <v>1242</v>
      </c>
      <c r="D185" s="2" t="s">
        <v>2541</v>
      </c>
      <c r="E185" s="2" t="n">
        <v>1286</v>
      </c>
      <c r="F185" s="2" t="n">
        <v>0</v>
      </c>
      <c r="G185" s="2" t="n">
        <v>47</v>
      </c>
      <c r="H185" s="2" t="n">
        <v>42</v>
      </c>
      <c r="I185" s="2" t="s">
        <v>1928</v>
      </c>
      <c r="J185" s="2"/>
      <c r="K185" s="2" t="s">
        <v>2542</v>
      </c>
      <c r="L185" s="2" t="s">
        <v>692</v>
      </c>
      <c r="M185" s="2" t="s">
        <v>2543</v>
      </c>
    </row>
    <row r="186" customFormat="false" ht="23.85" hidden="false" customHeight="false" outlineLevel="0" collapsed="false">
      <c r="A186" s="2" t="s">
        <v>1932</v>
      </c>
      <c r="B186" s="2" t="s">
        <v>529</v>
      </c>
      <c r="C186" s="2" t="s">
        <v>1242</v>
      </c>
      <c r="D186" s="2" t="s">
        <v>2541</v>
      </c>
      <c r="E186" s="2" t="n">
        <v>1289</v>
      </c>
      <c r="F186" s="2" t="n">
        <v>2</v>
      </c>
      <c r="G186" s="2" t="n">
        <v>33</v>
      </c>
      <c r="H186" s="2" t="n">
        <v>39</v>
      </c>
      <c r="I186" s="2" t="s">
        <v>1931</v>
      </c>
      <c r="J186" s="2"/>
      <c r="K186" s="2" t="s">
        <v>2542</v>
      </c>
      <c r="L186" s="2" t="s">
        <v>692</v>
      </c>
      <c r="M186" s="2" t="s">
        <v>2543</v>
      </c>
    </row>
    <row r="187" customFormat="false" ht="23.85" hidden="false" customHeight="false" outlineLevel="0" collapsed="false">
      <c r="A187" s="2" t="s">
        <v>1936</v>
      </c>
      <c r="B187" s="2" t="s">
        <v>531</v>
      </c>
      <c r="C187" s="2" t="s">
        <v>1242</v>
      </c>
      <c r="D187" s="2" t="s">
        <v>2541</v>
      </c>
      <c r="E187" s="2" t="n">
        <v>1253</v>
      </c>
      <c r="F187" s="2" t="n">
        <v>0</v>
      </c>
      <c r="G187" s="2" t="n">
        <v>55</v>
      </c>
      <c r="H187" s="2" t="n">
        <v>60</v>
      </c>
      <c r="I187" s="2" t="s">
        <v>1935</v>
      </c>
      <c r="J187" s="2"/>
      <c r="K187" s="2" t="s">
        <v>2542</v>
      </c>
      <c r="L187" s="2" t="s">
        <v>692</v>
      </c>
      <c r="M187" s="2" t="s">
        <v>2543</v>
      </c>
    </row>
    <row r="188" customFormat="false" ht="23.85" hidden="false" customHeight="false" outlineLevel="0" collapsed="false">
      <c r="A188" s="2" t="s">
        <v>1940</v>
      </c>
      <c r="B188" s="2" t="s">
        <v>533</v>
      </c>
      <c r="C188" s="2" t="s">
        <v>1242</v>
      </c>
      <c r="D188" s="2" t="s">
        <v>2541</v>
      </c>
      <c r="E188" s="2" t="n">
        <v>1252</v>
      </c>
      <c r="F188" s="2" t="n">
        <v>193</v>
      </c>
      <c r="G188" s="2" t="n">
        <v>0</v>
      </c>
      <c r="H188" s="2" t="n">
        <v>28</v>
      </c>
      <c r="I188" s="2" t="s">
        <v>1939</v>
      </c>
      <c r="J188" s="2"/>
      <c r="K188" s="2" t="s">
        <v>2542</v>
      </c>
      <c r="L188" s="2" t="s">
        <v>692</v>
      </c>
      <c r="M188" s="2" t="s">
        <v>2543</v>
      </c>
    </row>
    <row r="189" customFormat="false" ht="23.85" hidden="false" customHeight="false" outlineLevel="0" collapsed="false">
      <c r="A189" s="2" t="s">
        <v>1944</v>
      </c>
      <c r="B189" s="2" t="s">
        <v>535</v>
      </c>
      <c r="C189" s="2" t="s">
        <v>1242</v>
      </c>
      <c r="D189" s="2" t="s">
        <v>2541</v>
      </c>
      <c r="E189" s="2" t="n">
        <v>1241</v>
      </c>
      <c r="F189" s="2" t="n">
        <v>215</v>
      </c>
      <c r="G189" s="2" t="n">
        <v>34</v>
      </c>
      <c r="H189" s="2" t="n">
        <v>34</v>
      </c>
      <c r="I189" s="2" t="s">
        <v>1943</v>
      </c>
      <c r="J189" s="2"/>
      <c r="K189" s="2" t="s">
        <v>2542</v>
      </c>
      <c r="L189" s="2" t="s">
        <v>692</v>
      </c>
      <c r="M189" s="2" t="s">
        <v>2543</v>
      </c>
    </row>
    <row r="190" customFormat="false" ht="23.85" hidden="false" customHeight="false" outlineLevel="0" collapsed="false">
      <c r="A190" s="2" t="s">
        <v>1947</v>
      </c>
      <c r="B190" s="2" t="s">
        <v>537</v>
      </c>
      <c r="C190" s="2" t="s">
        <v>1242</v>
      </c>
      <c r="D190" s="2" t="s">
        <v>2541</v>
      </c>
      <c r="E190" s="2" t="n">
        <v>1380</v>
      </c>
      <c r="F190" s="2" t="n">
        <v>129</v>
      </c>
      <c r="G190" s="2" t="n">
        <v>67</v>
      </c>
      <c r="H190" s="2" t="n">
        <v>78</v>
      </c>
      <c r="I190" s="2" t="s">
        <v>1946</v>
      </c>
      <c r="J190" s="2"/>
      <c r="K190" s="2" t="s">
        <v>2542</v>
      </c>
      <c r="L190" s="2" t="s">
        <v>692</v>
      </c>
      <c r="M190" s="2" t="s">
        <v>2543</v>
      </c>
    </row>
    <row r="191" customFormat="false" ht="23.85" hidden="false" customHeight="false" outlineLevel="0" collapsed="false">
      <c r="A191" s="2" t="s">
        <v>1950</v>
      </c>
      <c r="B191" s="2" t="s">
        <v>539</v>
      </c>
      <c r="C191" s="2" t="s">
        <v>1242</v>
      </c>
      <c r="D191" s="2" t="s">
        <v>2541</v>
      </c>
      <c r="E191" s="2" t="n">
        <v>1260</v>
      </c>
      <c r="F191" s="2" t="n">
        <v>78</v>
      </c>
      <c r="G191" s="2" t="n">
        <v>17</v>
      </c>
      <c r="H191" s="2" t="n">
        <v>31</v>
      </c>
      <c r="I191" s="2" t="s">
        <v>1949</v>
      </c>
      <c r="J191" s="2"/>
      <c r="K191" s="2" t="s">
        <v>2542</v>
      </c>
      <c r="L191" s="2" t="s">
        <v>692</v>
      </c>
      <c r="M191" s="2" t="s">
        <v>2543</v>
      </c>
    </row>
    <row r="192" customFormat="false" ht="23.85" hidden="false" customHeight="false" outlineLevel="0" collapsed="false">
      <c r="A192" s="2" t="s">
        <v>1953</v>
      </c>
      <c r="B192" s="2" t="s">
        <v>540</v>
      </c>
      <c r="C192" s="2" t="s">
        <v>1242</v>
      </c>
      <c r="D192" s="2" t="s">
        <v>2541</v>
      </c>
      <c r="E192" s="2" t="n">
        <v>1302</v>
      </c>
      <c r="F192" s="2" t="n">
        <v>154</v>
      </c>
      <c r="G192" s="2" t="n">
        <v>21</v>
      </c>
      <c r="H192" s="2" t="n">
        <v>36</v>
      </c>
      <c r="I192" s="2" t="s">
        <v>1952</v>
      </c>
      <c r="J192" s="2"/>
      <c r="K192" s="2" t="s">
        <v>2542</v>
      </c>
      <c r="L192" s="2" t="s">
        <v>692</v>
      </c>
      <c r="M192" s="2" t="s">
        <v>2543</v>
      </c>
    </row>
    <row r="193" customFormat="false" ht="23.85" hidden="false" customHeight="false" outlineLevel="0" collapsed="false">
      <c r="A193" s="2" t="s">
        <v>1957</v>
      </c>
      <c r="B193" s="2" t="s">
        <v>541</v>
      </c>
      <c r="C193" s="2" t="s">
        <v>1242</v>
      </c>
      <c r="D193" s="2" t="s">
        <v>2541</v>
      </c>
      <c r="E193" s="2" t="n">
        <v>1268</v>
      </c>
      <c r="F193" s="2" t="n">
        <v>74</v>
      </c>
      <c r="G193" s="2" t="n">
        <v>36</v>
      </c>
      <c r="H193" s="2" t="n">
        <v>35</v>
      </c>
      <c r="I193" s="2" t="s">
        <v>1956</v>
      </c>
      <c r="J193" s="2"/>
      <c r="K193" s="2" t="s">
        <v>2542</v>
      </c>
      <c r="L193" s="2" t="s">
        <v>692</v>
      </c>
      <c r="M193" s="2" t="s">
        <v>2543</v>
      </c>
    </row>
    <row r="194" customFormat="false" ht="23.85" hidden="false" customHeight="false" outlineLevel="0" collapsed="false">
      <c r="A194" s="2" t="s">
        <v>1961</v>
      </c>
      <c r="B194" s="2" t="s">
        <v>543</v>
      </c>
      <c r="C194" s="2" t="s">
        <v>1242</v>
      </c>
      <c r="D194" s="2" t="s">
        <v>2541</v>
      </c>
      <c r="E194" s="2" t="n">
        <v>1274</v>
      </c>
      <c r="F194" s="2" t="n">
        <v>96</v>
      </c>
      <c r="G194" s="2" t="n">
        <v>22</v>
      </c>
      <c r="H194" s="2" t="n">
        <v>47</v>
      </c>
      <c r="I194" s="2" t="s">
        <v>1960</v>
      </c>
      <c r="J194" s="2"/>
      <c r="K194" s="2" t="s">
        <v>2542</v>
      </c>
      <c r="L194" s="2" t="s">
        <v>692</v>
      </c>
      <c r="M194" s="2" t="s">
        <v>2543</v>
      </c>
    </row>
    <row r="195" customFormat="false" ht="23.85" hidden="false" customHeight="false" outlineLevel="0" collapsed="false">
      <c r="A195" s="2" t="s">
        <v>1965</v>
      </c>
      <c r="B195" s="2" t="s">
        <v>545</v>
      </c>
      <c r="C195" s="2" t="s">
        <v>1242</v>
      </c>
      <c r="D195" s="2" t="s">
        <v>2541</v>
      </c>
      <c r="E195" s="2" t="n">
        <v>1346</v>
      </c>
      <c r="F195" s="2" t="n">
        <v>111</v>
      </c>
      <c r="G195" s="2" t="n">
        <v>69</v>
      </c>
      <c r="H195" s="2" t="n">
        <v>28</v>
      </c>
      <c r="I195" s="2" t="s">
        <v>1964</v>
      </c>
      <c r="J195" s="2"/>
      <c r="K195" s="2" t="s">
        <v>2542</v>
      </c>
      <c r="L195" s="2" t="s">
        <v>692</v>
      </c>
      <c r="M195" s="2" t="s">
        <v>2543</v>
      </c>
    </row>
    <row r="196" customFormat="false" ht="23.85" hidden="false" customHeight="false" outlineLevel="0" collapsed="false">
      <c r="A196" s="2" t="s">
        <v>1968</v>
      </c>
      <c r="B196" s="2" t="s">
        <v>546</v>
      </c>
      <c r="C196" s="2" t="s">
        <v>1242</v>
      </c>
      <c r="D196" s="2" t="s">
        <v>2541</v>
      </c>
      <c r="E196" s="2" t="n">
        <v>1329</v>
      </c>
      <c r="F196" s="2" t="n">
        <v>62</v>
      </c>
      <c r="G196" s="2" t="n">
        <v>54</v>
      </c>
      <c r="H196" s="2" t="n">
        <v>46</v>
      </c>
      <c r="I196" s="2" t="s">
        <v>1967</v>
      </c>
      <c r="J196" s="2"/>
      <c r="K196" s="2" t="s">
        <v>2542</v>
      </c>
      <c r="L196" s="2" t="s">
        <v>692</v>
      </c>
      <c r="M196" s="2" t="s">
        <v>2543</v>
      </c>
    </row>
    <row r="197" customFormat="false" ht="23.85" hidden="false" customHeight="false" outlineLevel="0" collapsed="false">
      <c r="A197" s="2" t="s">
        <v>1971</v>
      </c>
      <c r="B197" s="2" t="s">
        <v>547</v>
      </c>
      <c r="C197" s="2" t="s">
        <v>1242</v>
      </c>
      <c r="D197" s="2" t="s">
        <v>2541</v>
      </c>
      <c r="E197" s="2" t="n">
        <v>1728</v>
      </c>
      <c r="F197" s="2" t="n">
        <v>253</v>
      </c>
      <c r="G197" s="2" t="n">
        <v>254</v>
      </c>
      <c r="H197" s="2" t="n">
        <v>249</v>
      </c>
      <c r="I197" s="2" t="s">
        <v>1970</v>
      </c>
      <c r="J197" s="2"/>
      <c r="K197" s="2" t="s">
        <v>2542</v>
      </c>
      <c r="L197" s="2" t="s">
        <v>692</v>
      </c>
      <c r="M197" s="2" t="s">
        <v>2543</v>
      </c>
    </row>
    <row r="198" customFormat="false" ht="23.85" hidden="false" customHeight="false" outlineLevel="0" collapsed="false">
      <c r="A198" s="2" t="s">
        <v>1975</v>
      </c>
      <c r="B198" s="2" t="s">
        <v>548</v>
      </c>
      <c r="C198" s="2" t="s">
        <v>1242</v>
      </c>
      <c r="D198" s="2" t="s">
        <v>2541</v>
      </c>
      <c r="E198" s="2" t="n">
        <v>1385</v>
      </c>
      <c r="F198" s="2" t="n">
        <v>53</v>
      </c>
      <c r="G198" s="2" t="n">
        <v>48</v>
      </c>
      <c r="H198" s="2" t="n">
        <v>83</v>
      </c>
      <c r="I198" s="2" t="s">
        <v>1974</v>
      </c>
      <c r="J198" s="2"/>
      <c r="K198" s="2" t="s">
        <v>2542</v>
      </c>
      <c r="L198" s="2" t="s">
        <v>692</v>
      </c>
      <c r="M198" s="2" t="s">
        <v>2543</v>
      </c>
    </row>
    <row r="199" customFormat="false" ht="23.85" hidden="false" customHeight="false" outlineLevel="0" collapsed="false">
      <c r="A199" s="2" t="s">
        <v>1978</v>
      </c>
      <c r="B199" s="2" t="s">
        <v>550</v>
      </c>
      <c r="C199" s="2" t="s">
        <v>1242</v>
      </c>
      <c r="D199" s="2" t="s">
        <v>2541</v>
      </c>
      <c r="E199" s="2" t="n">
        <v>1435</v>
      </c>
      <c r="F199" s="2" t="n">
        <v>54</v>
      </c>
      <c r="G199" s="2" t="n">
        <v>52</v>
      </c>
      <c r="H199" s="2" t="n">
        <v>68</v>
      </c>
      <c r="I199" s="2" t="s">
        <v>1977</v>
      </c>
      <c r="J199" s="2"/>
      <c r="K199" s="2" t="s">
        <v>2542</v>
      </c>
      <c r="L199" s="2" t="s">
        <v>692</v>
      </c>
      <c r="M199" s="2" t="s">
        <v>2543</v>
      </c>
    </row>
    <row r="200" customFormat="false" ht="23.85" hidden="false" customHeight="false" outlineLevel="0" collapsed="false">
      <c r="A200" s="2" t="s">
        <v>1981</v>
      </c>
      <c r="B200" s="2" t="s">
        <v>551</v>
      </c>
      <c r="C200" s="2" t="s">
        <v>1242</v>
      </c>
      <c r="D200" s="2" t="s">
        <v>2541</v>
      </c>
      <c r="E200" s="2" t="n">
        <v>1436</v>
      </c>
      <c r="F200" s="2" t="n">
        <v>162</v>
      </c>
      <c r="G200" s="2" t="n">
        <v>109</v>
      </c>
      <c r="H200" s="2" t="n">
        <v>51</v>
      </c>
      <c r="I200" s="2" t="s">
        <v>1980</v>
      </c>
      <c r="J200" s="2"/>
      <c r="K200" s="2" t="s">
        <v>2542</v>
      </c>
      <c r="L200" s="2" t="s">
        <v>692</v>
      </c>
      <c r="M200" s="2" t="s">
        <v>2543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21"/>
    <col collapsed="false" customWidth="true" hidden="false" outlineLevel="0" max="12" min="12" style="0" width="19"/>
    <col collapsed="false" customWidth="true" hidden="false" outlineLevel="0" max="13" min="13" style="0" width="23"/>
    <col collapsed="false" customWidth="true" hidden="false" outlineLevel="0" max="14" min="14" style="0" width="35"/>
  </cols>
  <sheetData>
    <row r="1" customFormat="false" ht="15" hidden="false" customHeight="false" outlineLevel="0" collapsed="false">
      <c r="A1" s="3" t="s">
        <v>1229</v>
      </c>
      <c r="B1" s="3" t="s">
        <v>22</v>
      </c>
      <c r="C1" s="3" t="s">
        <v>12</v>
      </c>
      <c r="D1" s="3" t="s">
        <v>208</v>
      </c>
      <c r="E1" s="3" t="s">
        <v>13</v>
      </c>
      <c r="F1" s="3" t="s">
        <v>201</v>
      </c>
      <c r="G1" s="3" t="s">
        <v>203</v>
      </c>
      <c r="H1" s="3" t="s">
        <v>2544</v>
      </c>
      <c r="I1" s="3" t="s">
        <v>1116</v>
      </c>
      <c r="J1" s="3" t="s">
        <v>1115</v>
      </c>
      <c r="K1" s="3" t="s">
        <v>1117</v>
      </c>
      <c r="L1" s="3" t="s">
        <v>2545</v>
      </c>
      <c r="M1" s="3" t="s">
        <v>32</v>
      </c>
      <c r="N1" s="3" t="s">
        <v>1014</v>
      </c>
    </row>
    <row r="2" customFormat="false" ht="23.85" hidden="false" customHeight="false" outlineLevel="0" collapsed="false">
      <c r="A2" s="2" t="s">
        <v>1241</v>
      </c>
      <c r="B2" s="2" t="s">
        <v>209</v>
      </c>
      <c r="C2" s="2"/>
      <c r="D2" s="2" t="s">
        <v>211</v>
      </c>
      <c r="E2" s="2" t="s">
        <v>54</v>
      </c>
      <c r="F2" s="2"/>
      <c r="G2" s="2"/>
      <c r="H2" s="2"/>
      <c r="I2" s="2"/>
      <c r="J2" s="2"/>
      <c r="K2" s="2"/>
      <c r="L2" s="2" t="s">
        <v>1238</v>
      </c>
      <c r="M2" s="2" t="s">
        <v>212</v>
      </c>
      <c r="N2" s="2" t="s">
        <v>2546</v>
      </c>
    </row>
    <row r="3" customFormat="false" ht="23.85" hidden="false" customHeight="false" outlineLevel="0" collapsed="false">
      <c r="A3" s="2" t="s">
        <v>1247</v>
      </c>
      <c r="B3" s="2" t="s">
        <v>213</v>
      </c>
      <c r="C3" s="2"/>
      <c r="D3" s="2" t="s">
        <v>215</v>
      </c>
      <c r="E3" s="2" t="s">
        <v>40</v>
      </c>
      <c r="F3" s="2"/>
      <c r="G3" s="2"/>
      <c r="H3" s="2"/>
      <c r="I3" s="2"/>
      <c r="J3" s="2"/>
      <c r="K3" s="2"/>
      <c r="L3" s="2" t="s">
        <v>1238</v>
      </c>
      <c r="M3" s="2" t="s">
        <v>212</v>
      </c>
      <c r="N3" s="2" t="s">
        <v>2546</v>
      </c>
    </row>
    <row r="4" customFormat="false" ht="23.85" hidden="false" customHeight="false" outlineLevel="0" collapsed="false">
      <c r="A4" s="2" t="s">
        <v>1251</v>
      </c>
      <c r="B4" s="2" t="s">
        <v>216</v>
      </c>
      <c r="C4" s="2"/>
      <c r="D4" s="2" t="s">
        <v>211</v>
      </c>
      <c r="E4" s="2" t="s">
        <v>40</v>
      </c>
      <c r="F4" s="2"/>
      <c r="G4" s="2"/>
      <c r="H4" s="2"/>
      <c r="I4" s="2"/>
      <c r="J4" s="2"/>
      <c r="K4" s="2"/>
      <c r="L4" s="2" t="s">
        <v>1238</v>
      </c>
      <c r="M4" s="2" t="s">
        <v>212</v>
      </c>
      <c r="N4" s="2" t="s">
        <v>2546</v>
      </c>
    </row>
    <row r="5" customFormat="false" ht="23.85" hidden="false" customHeight="false" outlineLevel="0" collapsed="false">
      <c r="A5" s="2" t="s">
        <v>1255</v>
      </c>
      <c r="B5" s="2" t="s">
        <v>218</v>
      </c>
      <c r="C5" s="2"/>
      <c r="D5" s="2" t="s">
        <v>211</v>
      </c>
      <c r="E5" s="2" t="s">
        <v>47</v>
      </c>
      <c r="F5" s="2"/>
      <c r="G5" s="2"/>
      <c r="H5" s="2"/>
      <c r="I5" s="2"/>
      <c r="J5" s="2"/>
      <c r="K5" s="2"/>
      <c r="L5" s="2" t="s">
        <v>1238</v>
      </c>
      <c r="M5" s="2" t="s">
        <v>212</v>
      </c>
      <c r="N5" s="2" t="s">
        <v>2546</v>
      </c>
    </row>
    <row r="6" customFormat="false" ht="23.85" hidden="false" customHeight="false" outlineLevel="0" collapsed="false">
      <c r="A6" s="2" t="s">
        <v>1259</v>
      </c>
      <c r="B6" s="2" t="s">
        <v>220</v>
      </c>
      <c r="C6" s="2"/>
      <c r="D6" s="2" t="s">
        <v>215</v>
      </c>
      <c r="E6" s="2" t="s">
        <v>40</v>
      </c>
      <c r="F6" s="2"/>
      <c r="G6" s="2"/>
      <c r="H6" s="2"/>
      <c r="I6" s="2"/>
      <c r="J6" s="2"/>
      <c r="K6" s="2"/>
      <c r="L6" s="2" t="s">
        <v>1238</v>
      </c>
      <c r="M6" s="2" t="s">
        <v>212</v>
      </c>
      <c r="N6" s="2" t="s">
        <v>2546</v>
      </c>
    </row>
    <row r="7" customFormat="false" ht="23.85" hidden="false" customHeight="false" outlineLevel="0" collapsed="false">
      <c r="A7" s="2" t="s">
        <v>1263</v>
      </c>
      <c r="B7" s="2" t="s">
        <v>222</v>
      </c>
      <c r="C7" s="2"/>
      <c r="D7" s="2" t="s">
        <v>215</v>
      </c>
      <c r="E7" s="2" t="s">
        <v>40</v>
      </c>
      <c r="F7" s="2"/>
      <c r="G7" s="2"/>
      <c r="H7" s="2"/>
      <c r="I7" s="2"/>
      <c r="J7" s="2"/>
      <c r="K7" s="2"/>
      <c r="L7" s="2" t="s">
        <v>1238</v>
      </c>
      <c r="M7" s="2" t="s">
        <v>212</v>
      </c>
      <c r="N7" s="2" t="s">
        <v>2546</v>
      </c>
    </row>
    <row r="8" customFormat="false" ht="23.85" hidden="false" customHeight="false" outlineLevel="0" collapsed="false">
      <c r="A8" s="2" t="s">
        <v>1267</v>
      </c>
      <c r="B8" s="2" t="s">
        <v>224</v>
      </c>
      <c r="C8" s="2"/>
      <c r="D8" s="2" t="s">
        <v>215</v>
      </c>
      <c r="E8" s="2" t="s">
        <v>40</v>
      </c>
      <c r="F8" s="2"/>
      <c r="G8" s="2"/>
      <c r="H8" s="2"/>
      <c r="I8" s="2"/>
      <c r="J8" s="2"/>
      <c r="K8" s="2"/>
      <c r="L8" s="2" t="s">
        <v>1238</v>
      </c>
      <c r="M8" s="2" t="s">
        <v>212</v>
      </c>
      <c r="N8" s="2" t="s">
        <v>2546</v>
      </c>
    </row>
    <row r="9" customFormat="false" ht="23.85" hidden="false" customHeight="false" outlineLevel="0" collapsed="false">
      <c r="A9" s="2" t="s">
        <v>1271</v>
      </c>
      <c r="B9" s="2" t="s">
        <v>226</v>
      </c>
      <c r="C9" s="2"/>
      <c r="D9" s="2" t="s">
        <v>215</v>
      </c>
      <c r="E9" s="2" t="s">
        <v>40</v>
      </c>
      <c r="F9" s="2"/>
      <c r="G9" s="2"/>
      <c r="H9" s="2"/>
      <c r="I9" s="2"/>
      <c r="J9" s="2"/>
      <c r="K9" s="2"/>
      <c r="L9" s="2" t="s">
        <v>1238</v>
      </c>
      <c r="M9" s="2" t="s">
        <v>212</v>
      </c>
      <c r="N9" s="2" t="s">
        <v>2546</v>
      </c>
    </row>
    <row r="10" customFormat="false" ht="23.85" hidden="false" customHeight="false" outlineLevel="0" collapsed="false">
      <c r="A10" s="2" t="s">
        <v>1275</v>
      </c>
      <c r="B10" s="2" t="s">
        <v>228</v>
      </c>
      <c r="C10" s="2"/>
      <c r="D10" s="2" t="s">
        <v>230</v>
      </c>
      <c r="E10" s="2" t="s">
        <v>47</v>
      </c>
      <c r="F10" s="2"/>
      <c r="G10" s="2"/>
      <c r="H10" s="2"/>
      <c r="I10" s="2"/>
      <c r="J10" s="2"/>
      <c r="K10" s="2"/>
      <c r="L10" s="2" t="s">
        <v>1238</v>
      </c>
      <c r="M10" s="2" t="s">
        <v>212</v>
      </c>
      <c r="N10" s="2" t="s">
        <v>2546</v>
      </c>
    </row>
    <row r="11" customFormat="false" ht="23.85" hidden="false" customHeight="false" outlineLevel="0" collapsed="false">
      <c r="A11" s="2" t="s">
        <v>1279</v>
      </c>
      <c r="B11" s="2" t="s">
        <v>231</v>
      </c>
      <c r="C11" s="2"/>
      <c r="D11" s="2" t="s">
        <v>233</v>
      </c>
      <c r="E11" s="2" t="s">
        <v>47</v>
      </c>
      <c r="F11" s="2"/>
      <c r="G11" s="2"/>
      <c r="H11" s="2"/>
      <c r="I11" s="2"/>
      <c r="J11" s="2"/>
      <c r="K11" s="2"/>
      <c r="L11" s="2" t="s">
        <v>1238</v>
      </c>
      <c r="M11" s="2" t="s">
        <v>212</v>
      </c>
      <c r="N11" s="2" t="s">
        <v>2546</v>
      </c>
    </row>
    <row r="12" customFormat="false" ht="23.85" hidden="false" customHeight="false" outlineLevel="0" collapsed="false">
      <c r="A12" s="2" t="s">
        <v>1283</v>
      </c>
      <c r="B12" s="2" t="s">
        <v>234</v>
      </c>
      <c r="C12" s="2"/>
      <c r="D12" s="2" t="s">
        <v>233</v>
      </c>
      <c r="E12" s="2" t="s">
        <v>47</v>
      </c>
      <c r="F12" s="2"/>
      <c r="G12" s="2"/>
      <c r="H12" s="2"/>
      <c r="I12" s="2"/>
      <c r="J12" s="2"/>
      <c r="K12" s="2"/>
      <c r="L12" s="2" t="s">
        <v>1238</v>
      </c>
      <c r="M12" s="2" t="s">
        <v>212</v>
      </c>
      <c r="N12" s="2" t="s">
        <v>2546</v>
      </c>
    </row>
    <row r="13" customFormat="false" ht="23.85" hidden="false" customHeight="false" outlineLevel="0" collapsed="false">
      <c r="A13" s="2" t="s">
        <v>1287</v>
      </c>
      <c r="B13" s="2" t="s">
        <v>236</v>
      </c>
      <c r="C13" s="2"/>
      <c r="D13" s="2" t="s">
        <v>215</v>
      </c>
      <c r="E13" s="2" t="s">
        <v>47</v>
      </c>
      <c r="F13" s="2"/>
      <c r="G13" s="2"/>
      <c r="H13" s="2"/>
      <c r="I13" s="2"/>
      <c r="J13" s="2"/>
      <c r="K13" s="2"/>
      <c r="L13" s="2" t="s">
        <v>1238</v>
      </c>
      <c r="M13" s="2" t="s">
        <v>212</v>
      </c>
      <c r="N13" s="2" t="s">
        <v>2546</v>
      </c>
    </row>
    <row r="14" customFormat="false" ht="23.85" hidden="false" customHeight="false" outlineLevel="0" collapsed="false">
      <c r="A14" s="2" t="s">
        <v>1291</v>
      </c>
      <c r="B14" s="2" t="s">
        <v>238</v>
      </c>
      <c r="C14" s="2"/>
      <c r="D14" s="2" t="s">
        <v>230</v>
      </c>
      <c r="E14" s="2" t="s">
        <v>47</v>
      </c>
      <c r="F14" s="2"/>
      <c r="G14" s="2"/>
      <c r="H14" s="2"/>
      <c r="I14" s="2"/>
      <c r="J14" s="2"/>
      <c r="K14" s="2"/>
      <c r="L14" s="2" t="s">
        <v>1238</v>
      </c>
      <c r="M14" s="2" t="s">
        <v>212</v>
      </c>
      <c r="N14" s="2" t="s">
        <v>2546</v>
      </c>
    </row>
    <row r="15" customFormat="false" ht="23.85" hidden="false" customHeight="false" outlineLevel="0" collapsed="false">
      <c r="A15" s="2" t="s">
        <v>1295</v>
      </c>
      <c r="B15" s="2" t="s">
        <v>240</v>
      </c>
      <c r="C15" s="2"/>
      <c r="D15" s="2" t="s">
        <v>215</v>
      </c>
      <c r="E15" s="2" t="s">
        <v>47</v>
      </c>
      <c r="F15" s="2"/>
      <c r="G15" s="2"/>
      <c r="H15" s="2"/>
      <c r="I15" s="2"/>
      <c r="J15" s="2"/>
      <c r="K15" s="2"/>
      <c r="L15" s="2" t="s">
        <v>1238</v>
      </c>
      <c r="M15" s="2" t="s">
        <v>212</v>
      </c>
      <c r="N15" s="2" t="s">
        <v>2546</v>
      </c>
    </row>
    <row r="16" customFormat="false" ht="23.85" hidden="false" customHeight="false" outlineLevel="0" collapsed="false">
      <c r="A16" s="2" t="s">
        <v>1299</v>
      </c>
      <c r="B16" s="2" t="s">
        <v>242</v>
      </c>
      <c r="C16" s="2"/>
      <c r="D16" s="2" t="s">
        <v>215</v>
      </c>
      <c r="E16" s="2" t="s">
        <v>47</v>
      </c>
      <c r="F16" s="2"/>
      <c r="G16" s="2"/>
      <c r="H16" s="2"/>
      <c r="I16" s="2"/>
      <c r="J16" s="2"/>
      <c r="K16" s="2"/>
      <c r="L16" s="2" t="s">
        <v>1238</v>
      </c>
      <c r="M16" s="2" t="s">
        <v>212</v>
      </c>
      <c r="N16" s="2" t="s">
        <v>2546</v>
      </c>
    </row>
    <row r="17" customFormat="false" ht="23.85" hidden="false" customHeight="false" outlineLevel="0" collapsed="false">
      <c r="A17" s="2" t="s">
        <v>1303</v>
      </c>
      <c r="B17" s="2" t="s">
        <v>244</v>
      </c>
      <c r="C17" s="2"/>
      <c r="D17" s="2" t="s">
        <v>233</v>
      </c>
      <c r="E17" s="2" t="s">
        <v>47</v>
      </c>
      <c r="F17" s="2"/>
      <c r="G17" s="2"/>
      <c r="H17" s="2"/>
      <c r="I17" s="2"/>
      <c r="J17" s="2"/>
      <c r="K17" s="2"/>
      <c r="L17" s="2" t="s">
        <v>1238</v>
      </c>
      <c r="M17" s="2" t="s">
        <v>212</v>
      </c>
      <c r="N17" s="2" t="s">
        <v>2546</v>
      </c>
    </row>
    <row r="18" customFormat="false" ht="23.85" hidden="false" customHeight="false" outlineLevel="0" collapsed="false">
      <c r="A18" s="2" t="s">
        <v>1307</v>
      </c>
      <c r="B18" s="2" t="s">
        <v>246</v>
      </c>
      <c r="C18" s="2"/>
      <c r="D18" s="2" t="s">
        <v>211</v>
      </c>
      <c r="E18" s="2" t="s">
        <v>40</v>
      </c>
      <c r="F18" s="2"/>
      <c r="G18" s="2"/>
      <c r="H18" s="2"/>
      <c r="I18" s="2"/>
      <c r="J18" s="2"/>
      <c r="K18" s="2"/>
      <c r="L18" s="2" t="s">
        <v>1238</v>
      </c>
      <c r="M18" s="2" t="s">
        <v>212</v>
      </c>
      <c r="N18" s="2" t="s">
        <v>2546</v>
      </c>
    </row>
    <row r="19" customFormat="false" ht="23.85" hidden="false" customHeight="false" outlineLevel="0" collapsed="false">
      <c r="A19" s="2" t="s">
        <v>1311</v>
      </c>
      <c r="B19" s="2" t="s">
        <v>248</v>
      </c>
      <c r="C19" s="2"/>
      <c r="D19" s="2" t="s">
        <v>215</v>
      </c>
      <c r="E19" s="2" t="s">
        <v>47</v>
      </c>
      <c r="F19" s="2"/>
      <c r="G19" s="2"/>
      <c r="H19" s="2"/>
      <c r="I19" s="2"/>
      <c r="J19" s="2"/>
      <c r="K19" s="2"/>
      <c r="L19" s="2" t="s">
        <v>1238</v>
      </c>
      <c r="M19" s="2" t="s">
        <v>212</v>
      </c>
      <c r="N19" s="2" t="s">
        <v>2546</v>
      </c>
    </row>
    <row r="20" customFormat="false" ht="23.85" hidden="false" customHeight="false" outlineLevel="0" collapsed="false">
      <c r="A20" s="2" t="s">
        <v>1315</v>
      </c>
      <c r="B20" s="2" t="s">
        <v>250</v>
      </c>
      <c r="C20" s="2"/>
      <c r="D20" s="2" t="s">
        <v>211</v>
      </c>
      <c r="E20" s="2" t="s">
        <v>40</v>
      </c>
      <c r="F20" s="2"/>
      <c r="G20" s="2"/>
      <c r="H20" s="2"/>
      <c r="I20" s="2"/>
      <c r="J20" s="2"/>
      <c r="K20" s="2"/>
      <c r="L20" s="2" t="s">
        <v>1238</v>
      </c>
      <c r="M20" s="2" t="s">
        <v>212</v>
      </c>
      <c r="N20" s="2" t="s">
        <v>2546</v>
      </c>
    </row>
    <row r="21" customFormat="false" ht="23.85" hidden="false" customHeight="false" outlineLevel="0" collapsed="false">
      <c r="A21" s="2" t="s">
        <v>1319</v>
      </c>
      <c r="B21" s="2" t="s">
        <v>252</v>
      </c>
      <c r="C21" s="2"/>
      <c r="D21" s="2" t="s">
        <v>211</v>
      </c>
      <c r="E21" s="2" t="s">
        <v>40</v>
      </c>
      <c r="F21" s="2"/>
      <c r="G21" s="2"/>
      <c r="H21" s="2"/>
      <c r="I21" s="2"/>
      <c r="J21" s="2"/>
      <c r="K21" s="2"/>
      <c r="L21" s="2" t="s">
        <v>1238</v>
      </c>
      <c r="M21" s="2" t="s">
        <v>212</v>
      </c>
      <c r="N21" s="2" t="s">
        <v>2546</v>
      </c>
    </row>
    <row r="22" customFormat="false" ht="23.85" hidden="false" customHeight="false" outlineLevel="0" collapsed="false">
      <c r="A22" s="2" t="s">
        <v>1323</v>
      </c>
      <c r="B22" s="2" t="s">
        <v>254</v>
      </c>
      <c r="C22" s="2"/>
      <c r="D22" s="2" t="s">
        <v>211</v>
      </c>
      <c r="E22" s="2" t="s">
        <v>40</v>
      </c>
      <c r="F22" s="2"/>
      <c r="G22" s="2"/>
      <c r="H22" s="2"/>
      <c r="I22" s="2"/>
      <c r="J22" s="2"/>
      <c r="K22" s="2"/>
      <c r="L22" s="2" t="s">
        <v>1238</v>
      </c>
      <c r="M22" s="2" t="s">
        <v>212</v>
      </c>
      <c r="N22" s="2" t="s">
        <v>2546</v>
      </c>
    </row>
    <row r="23" customFormat="false" ht="23.85" hidden="false" customHeight="false" outlineLevel="0" collapsed="false">
      <c r="A23" s="2" t="s">
        <v>1327</v>
      </c>
      <c r="B23" s="2" t="s">
        <v>256</v>
      </c>
      <c r="C23" s="2"/>
      <c r="D23" s="2" t="s">
        <v>211</v>
      </c>
      <c r="E23" s="2" t="s">
        <v>40</v>
      </c>
      <c r="F23" s="2"/>
      <c r="G23" s="2"/>
      <c r="H23" s="2"/>
      <c r="I23" s="2"/>
      <c r="J23" s="2"/>
      <c r="K23" s="2"/>
      <c r="L23" s="2" t="s">
        <v>1238</v>
      </c>
      <c r="M23" s="2" t="s">
        <v>212</v>
      </c>
      <c r="N23" s="2" t="s">
        <v>2546</v>
      </c>
    </row>
    <row r="24" customFormat="false" ht="23.85" hidden="false" customHeight="false" outlineLevel="0" collapsed="false">
      <c r="A24" s="2" t="s">
        <v>1331</v>
      </c>
      <c r="B24" s="2" t="s">
        <v>258</v>
      </c>
      <c r="C24" s="2"/>
      <c r="D24" s="2" t="s">
        <v>230</v>
      </c>
      <c r="E24" s="2" t="s">
        <v>47</v>
      </c>
      <c r="F24" s="2"/>
      <c r="G24" s="2"/>
      <c r="H24" s="2"/>
      <c r="I24" s="2"/>
      <c r="J24" s="2"/>
      <c r="K24" s="2"/>
      <c r="L24" s="2" t="s">
        <v>1238</v>
      </c>
      <c r="M24" s="2" t="s">
        <v>212</v>
      </c>
      <c r="N24" s="2" t="s">
        <v>2546</v>
      </c>
    </row>
    <row r="25" customFormat="false" ht="23.85" hidden="false" customHeight="false" outlineLevel="0" collapsed="false">
      <c r="A25" s="2" t="s">
        <v>1335</v>
      </c>
      <c r="B25" s="2" t="s">
        <v>260</v>
      </c>
      <c r="C25" s="2"/>
      <c r="D25" s="2" t="s">
        <v>215</v>
      </c>
      <c r="E25" s="2" t="s">
        <v>47</v>
      </c>
      <c r="F25" s="2"/>
      <c r="G25" s="2"/>
      <c r="H25" s="2"/>
      <c r="I25" s="2"/>
      <c r="J25" s="2"/>
      <c r="K25" s="2"/>
      <c r="L25" s="2" t="s">
        <v>1238</v>
      </c>
      <c r="M25" s="2" t="s">
        <v>212</v>
      </c>
      <c r="N25" s="2" t="s">
        <v>2546</v>
      </c>
    </row>
    <row r="26" customFormat="false" ht="23.85" hidden="false" customHeight="false" outlineLevel="0" collapsed="false">
      <c r="A26" s="2" t="s">
        <v>1339</v>
      </c>
      <c r="B26" s="2" t="s">
        <v>262</v>
      </c>
      <c r="C26" s="2"/>
      <c r="D26" s="2" t="s">
        <v>215</v>
      </c>
      <c r="E26" s="2" t="s">
        <v>47</v>
      </c>
      <c r="F26" s="2"/>
      <c r="G26" s="2"/>
      <c r="H26" s="2"/>
      <c r="I26" s="2"/>
      <c r="J26" s="2"/>
      <c r="K26" s="2"/>
      <c r="L26" s="2" t="s">
        <v>1238</v>
      </c>
      <c r="M26" s="2" t="s">
        <v>212</v>
      </c>
      <c r="N26" s="2" t="s">
        <v>2546</v>
      </c>
    </row>
    <row r="27" customFormat="false" ht="23.85" hidden="false" customHeight="false" outlineLevel="0" collapsed="false">
      <c r="A27" s="2" t="s">
        <v>1343</v>
      </c>
      <c r="B27" s="2" t="s">
        <v>264</v>
      </c>
      <c r="C27" s="2"/>
      <c r="D27" s="2" t="s">
        <v>215</v>
      </c>
      <c r="E27" s="2" t="s">
        <v>47</v>
      </c>
      <c r="F27" s="2"/>
      <c r="G27" s="2"/>
      <c r="H27" s="2"/>
      <c r="I27" s="2"/>
      <c r="J27" s="2"/>
      <c r="K27" s="2"/>
      <c r="L27" s="2" t="s">
        <v>1238</v>
      </c>
      <c r="M27" s="2" t="s">
        <v>212</v>
      </c>
      <c r="N27" s="2" t="s">
        <v>2546</v>
      </c>
    </row>
    <row r="28" customFormat="false" ht="23.85" hidden="false" customHeight="false" outlineLevel="0" collapsed="false">
      <c r="A28" s="2" t="s">
        <v>1347</v>
      </c>
      <c r="B28" s="2" t="s">
        <v>266</v>
      </c>
      <c r="C28" s="2"/>
      <c r="D28" s="2" t="s">
        <v>215</v>
      </c>
      <c r="E28" s="2" t="s">
        <v>47</v>
      </c>
      <c r="F28" s="2"/>
      <c r="G28" s="2"/>
      <c r="H28" s="2"/>
      <c r="I28" s="2"/>
      <c r="J28" s="2"/>
      <c r="K28" s="2"/>
      <c r="L28" s="2" t="s">
        <v>1238</v>
      </c>
      <c r="M28" s="2" t="s">
        <v>212</v>
      </c>
      <c r="N28" s="2" t="s">
        <v>2546</v>
      </c>
    </row>
    <row r="29" customFormat="false" ht="23.85" hidden="false" customHeight="false" outlineLevel="0" collapsed="false">
      <c r="A29" s="2" t="s">
        <v>1351</v>
      </c>
      <c r="B29" s="2" t="s">
        <v>268</v>
      </c>
      <c r="C29" s="2"/>
      <c r="D29" s="2" t="s">
        <v>215</v>
      </c>
      <c r="E29" s="2" t="s">
        <v>40</v>
      </c>
      <c r="F29" s="2"/>
      <c r="G29" s="2"/>
      <c r="H29" s="2"/>
      <c r="I29" s="2"/>
      <c r="J29" s="2"/>
      <c r="K29" s="2"/>
      <c r="L29" s="2" t="s">
        <v>1238</v>
      </c>
      <c r="M29" s="2" t="s">
        <v>212</v>
      </c>
      <c r="N29" s="2" t="s">
        <v>2546</v>
      </c>
    </row>
    <row r="30" customFormat="false" ht="23.85" hidden="false" customHeight="false" outlineLevel="0" collapsed="false">
      <c r="A30" s="2" t="s">
        <v>1355</v>
      </c>
      <c r="B30" s="2" t="s">
        <v>270</v>
      </c>
      <c r="C30" s="2"/>
      <c r="D30" s="2" t="s">
        <v>211</v>
      </c>
      <c r="E30" s="2" t="s">
        <v>40</v>
      </c>
      <c r="F30" s="2"/>
      <c r="G30" s="2"/>
      <c r="H30" s="2"/>
      <c r="I30" s="2"/>
      <c r="J30" s="2"/>
      <c r="K30" s="2"/>
      <c r="L30" s="2" t="s">
        <v>1238</v>
      </c>
      <c r="M30" s="2" t="s">
        <v>212</v>
      </c>
      <c r="N30" s="2" t="s">
        <v>2546</v>
      </c>
    </row>
    <row r="31" customFormat="false" ht="23.85" hidden="false" customHeight="false" outlineLevel="0" collapsed="false">
      <c r="A31" s="2" t="s">
        <v>1359</v>
      </c>
      <c r="B31" s="2" t="s">
        <v>272</v>
      </c>
      <c r="C31" s="2"/>
      <c r="D31" s="2" t="s">
        <v>215</v>
      </c>
      <c r="E31" s="2" t="s">
        <v>47</v>
      </c>
      <c r="F31" s="2"/>
      <c r="G31" s="2"/>
      <c r="H31" s="2"/>
      <c r="I31" s="2"/>
      <c r="J31" s="2"/>
      <c r="K31" s="2"/>
      <c r="L31" s="2" t="s">
        <v>1238</v>
      </c>
      <c r="M31" s="2" t="s">
        <v>212</v>
      </c>
      <c r="N31" s="2" t="s">
        <v>2546</v>
      </c>
    </row>
    <row r="32" customFormat="false" ht="23.85" hidden="false" customHeight="false" outlineLevel="0" collapsed="false">
      <c r="A32" s="2" t="s">
        <v>1363</v>
      </c>
      <c r="B32" s="2" t="s">
        <v>274</v>
      </c>
      <c r="C32" s="2"/>
      <c r="D32" s="2" t="s">
        <v>211</v>
      </c>
      <c r="E32" s="2" t="s">
        <v>40</v>
      </c>
      <c r="F32" s="2"/>
      <c r="G32" s="2"/>
      <c r="H32" s="2"/>
      <c r="I32" s="2"/>
      <c r="J32" s="2"/>
      <c r="K32" s="2"/>
      <c r="L32" s="2" t="s">
        <v>1238</v>
      </c>
      <c r="M32" s="2" t="s">
        <v>212</v>
      </c>
      <c r="N32" s="2" t="s">
        <v>2546</v>
      </c>
    </row>
    <row r="33" customFormat="false" ht="23.85" hidden="false" customHeight="false" outlineLevel="0" collapsed="false">
      <c r="A33" s="2" t="s">
        <v>1367</v>
      </c>
      <c r="B33" s="2" t="s">
        <v>276</v>
      </c>
      <c r="C33" s="2"/>
      <c r="D33" s="2" t="s">
        <v>211</v>
      </c>
      <c r="E33" s="2" t="s">
        <v>40</v>
      </c>
      <c r="F33" s="2"/>
      <c r="G33" s="2"/>
      <c r="H33" s="2"/>
      <c r="I33" s="2"/>
      <c r="J33" s="2"/>
      <c r="K33" s="2"/>
      <c r="L33" s="2" t="s">
        <v>1238</v>
      </c>
      <c r="M33" s="2" t="s">
        <v>212</v>
      </c>
      <c r="N33" s="2" t="s">
        <v>2546</v>
      </c>
    </row>
    <row r="34" customFormat="false" ht="23.85" hidden="false" customHeight="false" outlineLevel="0" collapsed="false">
      <c r="A34" s="2" t="s">
        <v>1371</v>
      </c>
      <c r="B34" s="2" t="s">
        <v>278</v>
      </c>
      <c r="C34" s="2"/>
      <c r="D34" s="2" t="s">
        <v>233</v>
      </c>
      <c r="E34" s="2" t="s">
        <v>47</v>
      </c>
      <c r="F34" s="2"/>
      <c r="G34" s="2"/>
      <c r="H34" s="2"/>
      <c r="I34" s="2"/>
      <c r="J34" s="2"/>
      <c r="K34" s="2"/>
      <c r="L34" s="2" t="s">
        <v>1238</v>
      </c>
      <c r="M34" s="2" t="s">
        <v>212</v>
      </c>
      <c r="N34" s="2" t="s">
        <v>2546</v>
      </c>
    </row>
    <row r="35" customFormat="false" ht="23.85" hidden="false" customHeight="false" outlineLevel="0" collapsed="false">
      <c r="A35" s="2" t="s">
        <v>1375</v>
      </c>
      <c r="B35" s="2" t="s">
        <v>280</v>
      </c>
      <c r="C35" s="2"/>
      <c r="D35" s="2" t="s">
        <v>233</v>
      </c>
      <c r="E35" s="2" t="s">
        <v>40</v>
      </c>
      <c r="F35" s="2"/>
      <c r="G35" s="2"/>
      <c r="H35" s="2"/>
      <c r="I35" s="2"/>
      <c r="J35" s="2"/>
      <c r="K35" s="2"/>
      <c r="L35" s="2" t="s">
        <v>1238</v>
      </c>
      <c r="M35" s="2" t="s">
        <v>212</v>
      </c>
      <c r="N35" s="2" t="s">
        <v>2546</v>
      </c>
    </row>
    <row r="36" customFormat="false" ht="23.85" hidden="false" customHeight="false" outlineLevel="0" collapsed="false">
      <c r="A36" s="2" t="s">
        <v>1379</v>
      </c>
      <c r="B36" s="2" t="s">
        <v>282</v>
      </c>
      <c r="C36" s="2"/>
      <c r="D36" s="2" t="s">
        <v>211</v>
      </c>
      <c r="E36" s="2" t="s">
        <v>40</v>
      </c>
      <c r="F36" s="2"/>
      <c r="G36" s="2"/>
      <c r="H36" s="2"/>
      <c r="I36" s="2"/>
      <c r="J36" s="2"/>
      <c r="K36" s="2"/>
      <c r="L36" s="2" t="s">
        <v>1238</v>
      </c>
      <c r="M36" s="2" t="s">
        <v>212</v>
      </c>
      <c r="N36" s="2" t="s">
        <v>2546</v>
      </c>
    </row>
    <row r="37" customFormat="false" ht="23.85" hidden="false" customHeight="false" outlineLevel="0" collapsed="false">
      <c r="A37" s="2" t="s">
        <v>1383</v>
      </c>
      <c r="B37" s="2" t="s">
        <v>284</v>
      </c>
      <c r="C37" s="2"/>
      <c r="D37" s="2" t="s">
        <v>211</v>
      </c>
      <c r="E37" s="2" t="s">
        <v>40</v>
      </c>
      <c r="F37" s="2"/>
      <c r="G37" s="2"/>
      <c r="H37" s="2"/>
      <c r="I37" s="2"/>
      <c r="J37" s="2"/>
      <c r="K37" s="2"/>
      <c r="L37" s="2" t="s">
        <v>1238</v>
      </c>
      <c r="M37" s="2" t="s">
        <v>212</v>
      </c>
      <c r="N37" s="2" t="s">
        <v>2546</v>
      </c>
    </row>
    <row r="38" customFormat="false" ht="23.85" hidden="false" customHeight="false" outlineLevel="0" collapsed="false">
      <c r="A38" s="2" t="s">
        <v>1387</v>
      </c>
      <c r="B38" s="2" t="s">
        <v>286</v>
      </c>
      <c r="C38" s="2"/>
      <c r="D38" s="2" t="s">
        <v>211</v>
      </c>
      <c r="E38" s="2" t="s">
        <v>40</v>
      </c>
      <c r="F38" s="2"/>
      <c r="G38" s="2"/>
      <c r="H38" s="2"/>
      <c r="I38" s="2"/>
      <c r="J38" s="2"/>
      <c r="K38" s="2"/>
      <c r="L38" s="2" t="s">
        <v>1238</v>
      </c>
      <c r="M38" s="2" t="s">
        <v>212</v>
      </c>
      <c r="N38" s="2" t="s">
        <v>2546</v>
      </c>
    </row>
    <row r="39" customFormat="false" ht="23.85" hidden="false" customHeight="false" outlineLevel="0" collapsed="false">
      <c r="A39" s="2" t="s">
        <v>1391</v>
      </c>
      <c r="B39" s="2" t="s">
        <v>288</v>
      </c>
      <c r="C39" s="2"/>
      <c r="D39" s="2" t="s">
        <v>233</v>
      </c>
      <c r="E39" s="2" t="s">
        <v>47</v>
      </c>
      <c r="F39" s="2"/>
      <c r="G39" s="2"/>
      <c r="H39" s="2"/>
      <c r="I39" s="2"/>
      <c r="J39" s="2"/>
      <c r="K39" s="2"/>
      <c r="L39" s="2" t="s">
        <v>1238</v>
      </c>
      <c r="M39" s="2" t="s">
        <v>212</v>
      </c>
      <c r="N39" s="2" t="s">
        <v>2546</v>
      </c>
    </row>
    <row r="40" customFormat="false" ht="23.85" hidden="false" customHeight="false" outlineLevel="0" collapsed="false">
      <c r="A40" s="2" t="s">
        <v>1395</v>
      </c>
      <c r="B40" s="2" t="s">
        <v>290</v>
      </c>
      <c r="C40" s="2"/>
      <c r="D40" s="2" t="s">
        <v>233</v>
      </c>
      <c r="E40" s="2" t="s">
        <v>47</v>
      </c>
      <c r="F40" s="2"/>
      <c r="G40" s="2"/>
      <c r="H40" s="2"/>
      <c r="I40" s="2"/>
      <c r="J40" s="2"/>
      <c r="K40" s="2"/>
      <c r="L40" s="2" t="s">
        <v>1238</v>
      </c>
      <c r="M40" s="2" t="s">
        <v>212</v>
      </c>
      <c r="N40" s="2" t="s">
        <v>2546</v>
      </c>
    </row>
    <row r="41" customFormat="false" ht="23.85" hidden="false" customHeight="false" outlineLevel="0" collapsed="false">
      <c r="A41" s="2" t="s">
        <v>1399</v>
      </c>
      <c r="B41" s="2" t="s">
        <v>292</v>
      </c>
      <c r="C41" s="2"/>
      <c r="D41" s="2" t="s">
        <v>211</v>
      </c>
      <c r="E41" s="2" t="s">
        <v>40</v>
      </c>
      <c r="F41" s="2"/>
      <c r="G41" s="2"/>
      <c r="H41" s="2"/>
      <c r="I41" s="2"/>
      <c r="J41" s="2"/>
      <c r="K41" s="2"/>
      <c r="L41" s="2" t="s">
        <v>1238</v>
      </c>
      <c r="M41" s="2" t="s">
        <v>212</v>
      </c>
      <c r="N41" s="2" t="s">
        <v>2546</v>
      </c>
    </row>
    <row r="42" customFormat="false" ht="23.85" hidden="false" customHeight="false" outlineLevel="0" collapsed="false">
      <c r="A42" s="2" t="s">
        <v>1403</v>
      </c>
      <c r="B42" s="2" t="s">
        <v>294</v>
      </c>
      <c r="C42" s="2"/>
      <c r="D42" s="2" t="s">
        <v>230</v>
      </c>
      <c r="E42" s="2" t="s">
        <v>40</v>
      </c>
      <c r="F42" s="2"/>
      <c r="G42" s="2"/>
      <c r="H42" s="2"/>
      <c r="I42" s="2"/>
      <c r="J42" s="2"/>
      <c r="K42" s="2"/>
      <c r="L42" s="2" t="s">
        <v>1238</v>
      </c>
      <c r="M42" s="2" t="s">
        <v>212</v>
      </c>
      <c r="N42" s="2" t="s">
        <v>2546</v>
      </c>
    </row>
    <row r="43" customFormat="false" ht="23.85" hidden="false" customHeight="false" outlineLevel="0" collapsed="false">
      <c r="A43" s="2" t="s">
        <v>1407</v>
      </c>
      <c r="B43" s="2" t="s">
        <v>296</v>
      </c>
      <c r="C43" s="2"/>
      <c r="D43" s="2" t="s">
        <v>215</v>
      </c>
      <c r="E43" s="2" t="s">
        <v>47</v>
      </c>
      <c r="F43" s="2"/>
      <c r="G43" s="2"/>
      <c r="H43" s="2"/>
      <c r="I43" s="2"/>
      <c r="J43" s="2"/>
      <c r="K43" s="2"/>
      <c r="L43" s="2" t="s">
        <v>1238</v>
      </c>
      <c r="M43" s="2" t="s">
        <v>212</v>
      </c>
      <c r="N43" s="2" t="s">
        <v>2546</v>
      </c>
    </row>
    <row r="44" customFormat="false" ht="23.85" hidden="false" customHeight="false" outlineLevel="0" collapsed="false">
      <c r="A44" s="2" t="s">
        <v>1411</v>
      </c>
      <c r="B44" s="2" t="s">
        <v>298</v>
      </c>
      <c r="C44" s="2"/>
      <c r="D44" s="2" t="s">
        <v>211</v>
      </c>
      <c r="E44" s="2" t="s">
        <v>47</v>
      </c>
      <c r="F44" s="2"/>
      <c r="G44" s="2"/>
      <c r="H44" s="2"/>
      <c r="I44" s="2"/>
      <c r="J44" s="2"/>
      <c r="K44" s="2"/>
      <c r="L44" s="2" t="s">
        <v>1238</v>
      </c>
      <c r="M44" s="2" t="s">
        <v>212</v>
      </c>
      <c r="N44" s="2" t="s">
        <v>2546</v>
      </c>
    </row>
    <row r="45" customFormat="false" ht="23.85" hidden="false" customHeight="false" outlineLevel="0" collapsed="false">
      <c r="A45" s="2" t="s">
        <v>1415</v>
      </c>
      <c r="B45" s="2" t="s">
        <v>300</v>
      </c>
      <c r="C45" s="2"/>
      <c r="D45" s="2" t="s">
        <v>215</v>
      </c>
      <c r="E45" s="2" t="s">
        <v>47</v>
      </c>
      <c r="F45" s="2"/>
      <c r="G45" s="2"/>
      <c r="H45" s="2"/>
      <c r="I45" s="2"/>
      <c r="J45" s="2"/>
      <c r="K45" s="2"/>
      <c r="L45" s="2" t="s">
        <v>1238</v>
      </c>
      <c r="M45" s="2" t="s">
        <v>212</v>
      </c>
      <c r="N45" s="2" t="s">
        <v>2546</v>
      </c>
    </row>
    <row r="46" customFormat="false" ht="23.85" hidden="false" customHeight="false" outlineLevel="0" collapsed="false">
      <c r="A46" s="2" t="s">
        <v>1419</v>
      </c>
      <c r="B46" s="2" t="s">
        <v>302</v>
      </c>
      <c r="C46" s="2"/>
      <c r="D46" s="2" t="s">
        <v>233</v>
      </c>
      <c r="E46" s="2" t="s">
        <v>47</v>
      </c>
      <c r="F46" s="2"/>
      <c r="G46" s="2"/>
      <c r="H46" s="2"/>
      <c r="I46" s="2"/>
      <c r="J46" s="2"/>
      <c r="K46" s="2"/>
      <c r="L46" s="2" t="s">
        <v>1238</v>
      </c>
      <c r="M46" s="2" t="s">
        <v>212</v>
      </c>
      <c r="N46" s="2" t="s">
        <v>2546</v>
      </c>
    </row>
    <row r="47" customFormat="false" ht="23.85" hidden="false" customHeight="false" outlineLevel="0" collapsed="false">
      <c r="A47" s="2" t="s">
        <v>1423</v>
      </c>
      <c r="B47" s="2" t="s">
        <v>304</v>
      </c>
      <c r="C47" s="2"/>
      <c r="D47" s="2" t="s">
        <v>211</v>
      </c>
      <c r="E47" s="2" t="s">
        <v>40</v>
      </c>
      <c r="F47" s="2"/>
      <c r="G47" s="2"/>
      <c r="H47" s="2"/>
      <c r="I47" s="2"/>
      <c r="J47" s="2"/>
      <c r="K47" s="2"/>
      <c r="L47" s="2" t="s">
        <v>1238</v>
      </c>
      <c r="M47" s="2" t="s">
        <v>212</v>
      </c>
      <c r="N47" s="2" t="s">
        <v>2546</v>
      </c>
    </row>
    <row r="48" customFormat="false" ht="23.85" hidden="false" customHeight="false" outlineLevel="0" collapsed="false">
      <c r="A48" s="2" t="s">
        <v>1427</v>
      </c>
      <c r="B48" s="2" t="s">
        <v>306</v>
      </c>
      <c r="C48" s="2"/>
      <c r="D48" s="2" t="s">
        <v>211</v>
      </c>
      <c r="E48" s="2" t="s">
        <v>40</v>
      </c>
      <c r="F48" s="2"/>
      <c r="G48" s="2"/>
      <c r="H48" s="2"/>
      <c r="I48" s="2"/>
      <c r="J48" s="2"/>
      <c r="K48" s="2"/>
      <c r="L48" s="2" t="s">
        <v>1238</v>
      </c>
      <c r="M48" s="2" t="s">
        <v>212</v>
      </c>
      <c r="N48" s="2" t="s">
        <v>2546</v>
      </c>
    </row>
    <row r="49" customFormat="false" ht="23.85" hidden="false" customHeight="false" outlineLevel="0" collapsed="false">
      <c r="A49" s="2" t="s">
        <v>1431</v>
      </c>
      <c r="B49" s="2" t="s">
        <v>308</v>
      </c>
      <c r="C49" s="2"/>
      <c r="D49" s="2" t="s">
        <v>211</v>
      </c>
      <c r="E49" s="2" t="s">
        <v>40</v>
      </c>
      <c r="F49" s="2"/>
      <c r="G49" s="2"/>
      <c r="H49" s="2"/>
      <c r="I49" s="2"/>
      <c r="J49" s="2"/>
      <c r="K49" s="2"/>
      <c r="L49" s="2" t="s">
        <v>1238</v>
      </c>
      <c r="M49" s="2" t="s">
        <v>212</v>
      </c>
      <c r="N49" s="2" t="s">
        <v>2546</v>
      </c>
    </row>
    <row r="50" customFormat="false" ht="23.85" hidden="false" customHeight="false" outlineLevel="0" collapsed="false">
      <c r="A50" s="2" t="s">
        <v>1435</v>
      </c>
      <c r="B50" s="2" t="s">
        <v>310</v>
      </c>
      <c r="C50" s="2"/>
      <c r="D50" s="2" t="s">
        <v>211</v>
      </c>
      <c r="E50" s="2" t="s">
        <v>40</v>
      </c>
      <c r="F50" s="2"/>
      <c r="G50" s="2"/>
      <c r="H50" s="2"/>
      <c r="I50" s="2"/>
      <c r="J50" s="2"/>
      <c r="K50" s="2"/>
      <c r="L50" s="2" t="s">
        <v>1238</v>
      </c>
      <c r="M50" s="2" t="s">
        <v>212</v>
      </c>
      <c r="N50" s="2" t="s">
        <v>2546</v>
      </c>
    </row>
    <row r="51" customFormat="false" ht="23.85" hidden="false" customHeight="false" outlineLevel="0" collapsed="false">
      <c r="A51" s="2" t="s">
        <v>1439</v>
      </c>
      <c r="B51" s="2" t="s">
        <v>312</v>
      </c>
      <c r="C51" s="2"/>
      <c r="D51" s="2" t="s">
        <v>215</v>
      </c>
      <c r="E51" s="2" t="s">
        <v>47</v>
      </c>
      <c r="F51" s="2"/>
      <c r="G51" s="2"/>
      <c r="H51" s="2"/>
      <c r="I51" s="2"/>
      <c r="J51" s="2"/>
      <c r="K51" s="2"/>
      <c r="L51" s="2" t="s">
        <v>1238</v>
      </c>
      <c r="M51" s="2" t="s">
        <v>212</v>
      </c>
      <c r="N51" s="2" t="s">
        <v>2546</v>
      </c>
    </row>
    <row r="52" customFormat="false" ht="23.85" hidden="false" customHeight="false" outlineLevel="0" collapsed="false">
      <c r="A52" s="2" t="s">
        <v>1443</v>
      </c>
      <c r="B52" s="2" t="s">
        <v>314</v>
      </c>
      <c r="C52" s="2"/>
      <c r="D52" s="2" t="s">
        <v>211</v>
      </c>
      <c r="E52" s="2" t="s">
        <v>47</v>
      </c>
      <c r="F52" s="2"/>
      <c r="G52" s="2"/>
      <c r="H52" s="2"/>
      <c r="I52" s="2"/>
      <c r="J52" s="2"/>
      <c r="K52" s="2"/>
      <c r="L52" s="2" t="s">
        <v>1238</v>
      </c>
      <c r="M52" s="2" t="s">
        <v>212</v>
      </c>
      <c r="N52" s="2" t="s">
        <v>2546</v>
      </c>
    </row>
    <row r="53" customFormat="false" ht="23.85" hidden="false" customHeight="false" outlineLevel="0" collapsed="false">
      <c r="A53" s="2" t="s">
        <v>1447</v>
      </c>
      <c r="B53" s="2" t="s">
        <v>316</v>
      </c>
      <c r="C53" s="2"/>
      <c r="D53" s="2" t="s">
        <v>215</v>
      </c>
      <c r="E53" s="2" t="s">
        <v>40</v>
      </c>
      <c r="F53" s="2"/>
      <c r="G53" s="2"/>
      <c r="H53" s="2"/>
      <c r="I53" s="2"/>
      <c r="J53" s="2"/>
      <c r="K53" s="2"/>
      <c r="L53" s="2" t="s">
        <v>1238</v>
      </c>
      <c r="M53" s="2" t="s">
        <v>212</v>
      </c>
      <c r="N53" s="2" t="s">
        <v>2546</v>
      </c>
    </row>
    <row r="54" customFormat="false" ht="23.85" hidden="false" customHeight="false" outlineLevel="0" collapsed="false">
      <c r="A54" s="2" t="s">
        <v>1451</v>
      </c>
      <c r="B54" s="2" t="s">
        <v>318</v>
      </c>
      <c r="C54" s="2"/>
      <c r="D54" s="2" t="s">
        <v>211</v>
      </c>
      <c r="E54" s="2" t="s">
        <v>40</v>
      </c>
      <c r="F54" s="2"/>
      <c r="G54" s="2"/>
      <c r="H54" s="2"/>
      <c r="I54" s="2"/>
      <c r="J54" s="2"/>
      <c r="K54" s="2"/>
      <c r="L54" s="2" t="s">
        <v>1238</v>
      </c>
      <c r="M54" s="2" t="s">
        <v>212</v>
      </c>
      <c r="N54" s="2" t="s">
        <v>2546</v>
      </c>
    </row>
    <row r="55" customFormat="false" ht="23.85" hidden="false" customHeight="false" outlineLevel="0" collapsed="false">
      <c r="A55" s="2" t="s">
        <v>1455</v>
      </c>
      <c r="B55" s="2" t="s">
        <v>320</v>
      </c>
      <c r="C55" s="2"/>
      <c r="D55" s="2" t="s">
        <v>211</v>
      </c>
      <c r="E55" s="2" t="s">
        <v>40</v>
      </c>
      <c r="F55" s="2"/>
      <c r="G55" s="2"/>
      <c r="H55" s="2"/>
      <c r="I55" s="2"/>
      <c r="J55" s="2"/>
      <c r="K55" s="2"/>
      <c r="L55" s="2" t="s">
        <v>1238</v>
      </c>
      <c r="M55" s="2" t="s">
        <v>212</v>
      </c>
      <c r="N55" s="2" t="s">
        <v>2546</v>
      </c>
    </row>
    <row r="56" customFormat="false" ht="23.85" hidden="false" customHeight="false" outlineLevel="0" collapsed="false">
      <c r="A56" s="2" t="s">
        <v>1459</v>
      </c>
      <c r="B56" s="2" t="s">
        <v>322</v>
      </c>
      <c r="C56" s="2"/>
      <c r="D56" s="2" t="s">
        <v>233</v>
      </c>
      <c r="E56" s="2" t="s">
        <v>40</v>
      </c>
      <c r="F56" s="2"/>
      <c r="G56" s="2"/>
      <c r="H56" s="2"/>
      <c r="I56" s="2"/>
      <c r="J56" s="2"/>
      <c r="K56" s="2"/>
      <c r="L56" s="2" t="s">
        <v>1238</v>
      </c>
      <c r="M56" s="2" t="s">
        <v>212</v>
      </c>
      <c r="N56" s="2" t="s">
        <v>2546</v>
      </c>
    </row>
    <row r="57" customFormat="false" ht="23.85" hidden="false" customHeight="false" outlineLevel="0" collapsed="false">
      <c r="A57" s="2" t="s">
        <v>1463</v>
      </c>
      <c r="B57" s="2" t="s">
        <v>324</v>
      </c>
      <c r="C57" s="2"/>
      <c r="D57" s="2" t="s">
        <v>230</v>
      </c>
      <c r="E57" s="2" t="s">
        <v>40</v>
      </c>
      <c r="F57" s="2"/>
      <c r="G57" s="2"/>
      <c r="H57" s="2"/>
      <c r="I57" s="2"/>
      <c r="J57" s="2"/>
      <c r="K57" s="2"/>
      <c r="L57" s="2" t="s">
        <v>1238</v>
      </c>
      <c r="M57" s="2" t="s">
        <v>212</v>
      </c>
      <c r="N57" s="2" t="s">
        <v>2546</v>
      </c>
    </row>
    <row r="58" customFormat="false" ht="23.85" hidden="false" customHeight="false" outlineLevel="0" collapsed="false">
      <c r="A58" s="2" t="s">
        <v>1467</v>
      </c>
      <c r="B58" s="2" t="s">
        <v>326</v>
      </c>
      <c r="C58" s="2"/>
      <c r="D58" s="2" t="s">
        <v>233</v>
      </c>
      <c r="E58" s="2" t="s">
        <v>40</v>
      </c>
      <c r="F58" s="2"/>
      <c r="G58" s="2"/>
      <c r="H58" s="2"/>
      <c r="I58" s="2"/>
      <c r="J58" s="2"/>
      <c r="K58" s="2"/>
      <c r="L58" s="2" t="s">
        <v>1238</v>
      </c>
      <c r="M58" s="2" t="s">
        <v>212</v>
      </c>
      <c r="N58" s="2" t="s">
        <v>2546</v>
      </c>
    </row>
    <row r="59" customFormat="false" ht="23.85" hidden="false" customHeight="false" outlineLevel="0" collapsed="false">
      <c r="A59" s="2" t="s">
        <v>1471</v>
      </c>
      <c r="B59" s="2" t="s">
        <v>328</v>
      </c>
      <c r="C59" s="2"/>
      <c r="D59" s="2" t="s">
        <v>233</v>
      </c>
      <c r="E59" s="2" t="s">
        <v>40</v>
      </c>
      <c r="F59" s="2"/>
      <c r="G59" s="2"/>
      <c r="H59" s="2"/>
      <c r="I59" s="2"/>
      <c r="J59" s="2"/>
      <c r="K59" s="2"/>
      <c r="L59" s="2" t="s">
        <v>1238</v>
      </c>
      <c r="M59" s="2" t="s">
        <v>212</v>
      </c>
      <c r="N59" s="2" t="s">
        <v>2546</v>
      </c>
    </row>
    <row r="60" customFormat="false" ht="23.85" hidden="false" customHeight="false" outlineLevel="0" collapsed="false">
      <c r="A60" s="2" t="s">
        <v>1475</v>
      </c>
      <c r="B60" s="2" t="s">
        <v>330</v>
      </c>
      <c r="C60" s="2"/>
      <c r="D60" s="2" t="s">
        <v>233</v>
      </c>
      <c r="E60" s="2" t="s">
        <v>40</v>
      </c>
      <c r="F60" s="2"/>
      <c r="G60" s="2"/>
      <c r="H60" s="2"/>
      <c r="I60" s="2"/>
      <c r="J60" s="2"/>
      <c r="K60" s="2"/>
      <c r="L60" s="2" t="s">
        <v>1238</v>
      </c>
      <c r="M60" s="2" t="s">
        <v>212</v>
      </c>
      <c r="N60" s="2" t="s">
        <v>2546</v>
      </c>
    </row>
    <row r="61" customFormat="false" ht="23.85" hidden="false" customHeight="false" outlineLevel="0" collapsed="false">
      <c r="A61" s="2" t="s">
        <v>1479</v>
      </c>
      <c r="B61" s="2" t="s">
        <v>332</v>
      </c>
      <c r="C61" s="2"/>
      <c r="D61" s="2" t="s">
        <v>211</v>
      </c>
      <c r="E61" s="2" t="s">
        <v>40</v>
      </c>
      <c r="F61" s="2"/>
      <c r="G61" s="2"/>
      <c r="H61" s="2"/>
      <c r="I61" s="2"/>
      <c r="J61" s="2"/>
      <c r="K61" s="2"/>
      <c r="L61" s="2" t="s">
        <v>1238</v>
      </c>
      <c r="M61" s="2" t="s">
        <v>212</v>
      </c>
      <c r="N61" s="2" t="s">
        <v>2546</v>
      </c>
    </row>
    <row r="62" customFormat="false" ht="23.85" hidden="false" customHeight="false" outlineLevel="0" collapsed="false">
      <c r="A62" s="2" t="s">
        <v>1483</v>
      </c>
      <c r="B62" s="2" t="s">
        <v>334</v>
      </c>
      <c r="C62" s="2"/>
      <c r="D62" s="2" t="s">
        <v>215</v>
      </c>
      <c r="E62" s="2" t="s">
        <v>47</v>
      </c>
      <c r="F62" s="2"/>
      <c r="G62" s="2"/>
      <c r="H62" s="2"/>
      <c r="I62" s="2"/>
      <c r="J62" s="2"/>
      <c r="K62" s="2"/>
      <c r="L62" s="2" t="s">
        <v>1238</v>
      </c>
      <c r="M62" s="2" t="s">
        <v>212</v>
      </c>
      <c r="N62" s="2" t="s">
        <v>2546</v>
      </c>
    </row>
    <row r="63" customFormat="false" ht="23.85" hidden="false" customHeight="false" outlineLevel="0" collapsed="false">
      <c r="A63" s="2" t="s">
        <v>1486</v>
      </c>
      <c r="B63" s="2" t="s">
        <v>336</v>
      </c>
      <c r="C63" s="2"/>
      <c r="D63" s="2" t="s">
        <v>230</v>
      </c>
      <c r="E63" s="2" t="s">
        <v>54</v>
      </c>
      <c r="F63" s="2"/>
      <c r="G63" s="2"/>
      <c r="H63" s="2"/>
      <c r="I63" s="2"/>
      <c r="J63" s="2"/>
      <c r="K63" s="2"/>
      <c r="L63" s="2" t="s">
        <v>1238</v>
      </c>
      <c r="M63" s="2" t="s">
        <v>212</v>
      </c>
      <c r="N63" s="2" t="s">
        <v>2546</v>
      </c>
    </row>
    <row r="64" customFormat="false" ht="23.85" hidden="false" customHeight="false" outlineLevel="0" collapsed="false">
      <c r="A64" s="2" t="s">
        <v>1489</v>
      </c>
      <c r="B64" s="2" t="s">
        <v>337</v>
      </c>
      <c r="C64" s="2"/>
      <c r="D64" s="2" t="s">
        <v>230</v>
      </c>
      <c r="E64" s="2" t="s">
        <v>47</v>
      </c>
      <c r="F64" s="2"/>
      <c r="G64" s="2"/>
      <c r="H64" s="2"/>
      <c r="I64" s="2"/>
      <c r="J64" s="2"/>
      <c r="K64" s="2"/>
      <c r="L64" s="2" t="s">
        <v>1238</v>
      </c>
      <c r="M64" s="2" t="s">
        <v>212</v>
      </c>
      <c r="N64" s="2" t="s">
        <v>2546</v>
      </c>
    </row>
    <row r="65" customFormat="false" ht="23.85" hidden="false" customHeight="false" outlineLevel="0" collapsed="false">
      <c r="A65" s="2" t="s">
        <v>1493</v>
      </c>
      <c r="B65" s="2" t="s">
        <v>338</v>
      </c>
      <c r="C65" s="2"/>
      <c r="D65" s="2" t="s">
        <v>215</v>
      </c>
      <c r="E65" s="2" t="s">
        <v>47</v>
      </c>
      <c r="F65" s="2"/>
      <c r="G65" s="2"/>
      <c r="H65" s="2"/>
      <c r="I65" s="2"/>
      <c r="J65" s="2"/>
      <c r="K65" s="2"/>
      <c r="L65" s="2" t="s">
        <v>1238</v>
      </c>
      <c r="M65" s="2" t="s">
        <v>212</v>
      </c>
      <c r="N65" s="2" t="s">
        <v>2546</v>
      </c>
    </row>
    <row r="66" customFormat="false" ht="23.85" hidden="false" customHeight="false" outlineLevel="0" collapsed="false">
      <c r="A66" s="2" t="s">
        <v>1496</v>
      </c>
      <c r="B66" s="2" t="s">
        <v>340</v>
      </c>
      <c r="C66" s="2"/>
      <c r="D66" s="2" t="s">
        <v>215</v>
      </c>
      <c r="E66" s="2" t="s">
        <v>40</v>
      </c>
      <c r="F66" s="2"/>
      <c r="G66" s="2"/>
      <c r="H66" s="2"/>
      <c r="I66" s="2"/>
      <c r="J66" s="2"/>
      <c r="K66" s="2"/>
      <c r="L66" s="2" t="s">
        <v>1238</v>
      </c>
      <c r="M66" s="2" t="s">
        <v>212</v>
      </c>
      <c r="N66" s="2" t="s">
        <v>2546</v>
      </c>
    </row>
    <row r="67" customFormat="false" ht="23.85" hidden="false" customHeight="false" outlineLevel="0" collapsed="false">
      <c r="A67" s="2" t="s">
        <v>1500</v>
      </c>
      <c r="B67" s="2" t="s">
        <v>341</v>
      </c>
      <c r="C67" s="2"/>
      <c r="D67" s="2" t="s">
        <v>215</v>
      </c>
      <c r="E67" s="2" t="s">
        <v>40</v>
      </c>
      <c r="F67" s="2"/>
      <c r="G67" s="2"/>
      <c r="H67" s="2"/>
      <c r="I67" s="2"/>
      <c r="J67" s="2"/>
      <c r="K67" s="2"/>
      <c r="L67" s="2" t="s">
        <v>1238</v>
      </c>
      <c r="M67" s="2" t="s">
        <v>212</v>
      </c>
      <c r="N67" s="2" t="s">
        <v>2546</v>
      </c>
    </row>
    <row r="68" customFormat="false" ht="23.85" hidden="false" customHeight="false" outlineLevel="0" collapsed="false">
      <c r="A68" s="2" t="s">
        <v>1503</v>
      </c>
      <c r="B68" s="2" t="s">
        <v>343</v>
      </c>
      <c r="C68" s="2"/>
      <c r="D68" s="2" t="s">
        <v>215</v>
      </c>
      <c r="E68" s="2" t="s">
        <v>40</v>
      </c>
      <c r="F68" s="2"/>
      <c r="G68" s="2"/>
      <c r="H68" s="2"/>
      <c r="I68" s="2"/>
      <c r="J68" s="2"/>
      <c r="K68" s="2"/>
      <c r="L68" s="2" t="s">
        <v>1238</v>
      </c>
      <c r="M68" s="2" t="s">
        <v>212</v>
      </c>
      <c r="N68" s="2" t="s">
        <v>2546</v>
      </c>
    </row>
    <row r="69" customFormat="false" ht="23.85" hidden="false" customHeight="false" outlineLevel="0" collapsed="false">
      <c r="A69" s="2" t="s">
        <v>1507</v>
      </c>
      <c r="B69" s="2" t="s">
        <v>344</v>
      </c>
      <c r="C69" s="2"/>
      <c r="D69" s="2" t="s">
        <v>215</v>
      </c>
      <c r="E69" s="2" t="s">
        <v>40</v>
      </c>
      <c r="F69" s="2"/>
      <c r="G69" s="2"/>
      <c r="H69" s="2"/>
      <c r="I69" s="2"/>
      <c r="J69" s="2"/>
      <c r="K69" s="2"/>
      <c r="L69" s="2" t="s">
        <v>1238</v>
      </c>
      <c r="M69" s="2" t="s">
        <v>212</v>
      </c>
      <c r="N69" s="2" t="s">
        <v>2546</v>
      </c>
    </row>
    <row r="70" customFormat="false" ht="23.85" hidden="false" customHeight="false" outlineLevel="0" collapsed="false">
      <c r="A70" s="2" t="s">
        <v>1510</v>
      </c>
      <c r="B70" s="2" t="s">
        <v>346</v>
      </c>
      <c r="C70" s="2"/>
      <c r="D70" s="2" t="s">
        <v>215</v>
      </c>
      <c r="E70" s="2" t="s">
        <v>40</v>
      </c>
      <c r="F70" s="2"/>
      <c r="G70" s="2"/>
      <c r="H70" s="2"/>
      <c r="I70" s="2"/>
      <c r="J70" s="2"/>
      <c r="K70" s="2"/>
      <c r="L70" s="2" t="s">
        <v>1238</v>
      </c>
      <c r="M70" s="2" t="s">
        <v>212</v>
      </c>
      <c r="N70" s="2" t="s">
        <v>2546</v>
      </c>
    </row>
    <row r="71" customFormat="false" ht="23.85" hidden="false" customHeight="false" outlineLevel="0" collapsed="false">
      <c r="A71" s="2" t="s">
        <v>1513</v>
      </c>
      <c r="B71" s="2" t="s">
        <v>347</v>
      </c>
      <c r="C71" s="2"/>
      <c r="D71" s="2" t="s">
        <v>215</v>
      </c>
      <c r="E71" s="2" t="s">
        <v>47</v>
      </c>
      <c r="F71" s="2"/>
      <c r="G71" s="2"/>
      <c r="H71" s="2"/>
      <c r="I71" s="2"/>
      <c r="J71" s="2"/>
      <c r="K71" s="2"/>
      <c r="L71" s="2" t="s">
        <v>1238</v>
      </c>
      <c r="M71" s="2" t="s">
        <v>212</v>
      </c>
      <c r="N71" s="2" t="s">
        <v>2546</v>
      </c>
    </row>
    <row r="72" customFormat="false" ht="23.85" hidden="false" customHeight="false" outlineLevel="0" collapsed="false">
      <c r="A72" s="2" t="s">
        <v>1516</v>
      </c>
      <c r="B72" s="2" t="s">
        <v>348</v>
      </c>
      <c r="C72" s="2"/>
      <c r="D72" s="2" t="s">
        <v>215</v>
      </c>
      <c r="E72" s="2" t="s">
        <v>47</v>
      </c>
      <c r="F72" s="2"/>
      <c r="G72" s="2"/>
      <c r="H72" s="2"/>
      <c r="I72" s="2"/>
      <c r="J72" s="2"/>
      <c r="K72" s="2"/>
      <c r="L72" s="2" t="s">
        <v>1238</v>
      </c>
      <c r="M72" s="2" t="s">
        <v>212</v>
      </c>
      <c r="N72" s="2" t="s">
        <v>2546</v>
      </c>
    </row>
    <row r="73" customFormat="false" ht="23.85" hidden="false" customHeight="false" outlineLevel="0" collapsed="false">
      <c r="A73" s="2" t="s">
        <v>1519</v>
      </c>
      <c r="B73" s="2" t="s">
        <v>349</v>
      </c>
      <c r="C73" s="2"/>
      <c r="D73" s="2" t="s">
        <v>215</v>
      </c>
      <c r="E73" s="2" t="s">
        <v>47</v>
      </c>
      <c r="F73" s="2"/>
      <c r="G73" s="2"/>
      <c r="H73" s="2"/>
      <c r="I73" s="2"/>
      <c r="J73" s="2"/>
      <c r="K73" s="2"/>
      <c r="L73" s="2" t="s">
        <v>1238</v>
      </c>
      <c r="M73" s="2" t="s">
        <v>212</v>
      </c>
      <c r="N73" s="2" t="s">
        <v>2546</v>
      </c>
    </row>
    <row r="74" customFormat="false" ht="23.85" hidden="false" customHeight="false" outlineLevel="0" collapsed="false">
      <c r="A74" s="2" t="s">
        <v>1523</v>
      </c>
      <c r="B74" s="2" t="s">
        <v>350</v>
      </c>
      <c r="C74" s="2"/>
      <c r="D74" s="2" t="s">
        <v>215</v>
      </c>
      <c r="E74" s="2" t="s">
        <v>40</v>
      </c>
      <c r="F74" s="2"/>
      <c r="G74" s="2"/>
      <c r="H74" s="2"/>
      <c r="I74" s="2"/>
      <c r="J74" s="2"/>
      <c r="K74" s="2"/>
      <c r="L74" s="2" t="s">
        <v>1238</v>
      </c>
      <c r="M74" s="2" t="s">
        <v>212</v>
      </c>
      <c r="N74" s="2" t="s">
        <v>2546</v>
      </c>
    </row>
    <row r="75" customFormat="false" ht="23.85" hidden="false" customHeight="false" outlineLevel="0" collapsed="false">
      <c r="A75" s="2" t="s">
        <v>1527</v>
      </c>
      <c r="B75" s="2" t="s">
        <v>352</v>
      </c>
      <c r="C75" s="2"/>
      <c r="D75" s="2" t="s">
        <v>215</v>
      </c>
      <c r="E75" s="2" t="s">
        <v>40</v>
      </c>
      <c r="F75" s="2"/>
      <c r="G75" s="2"/>
      <c r="H75" s="2"/>
      <c r="I75" s="2"/>
      <c r="J75" s="2"/>
      <c r="K75" s="2"/>
      <c r="L75" s="2" t="s">
        <v>1238</v>
      </c>
      <c r="M75" s="2" t="s">
        <v>212</v>
      </c>
      <c r="N75" s="2" t="s">
        <v>2546</v>
      </c>
    </row>
    <row r="76" customFormat="false" ht="23.85" hidden="false" customHeight="false" outlineLevel="0" collapsed="false">
      <c r="A76" s="2" t="s">
        <v>1530</v>
      </c>
      <c r="B76" s="2" t="s">
        <v>354</v>
      </c>
      <c r="C76" s="2"/>
      <c r="D76" s="2" t="s">
        <v>215</v>
      </c>
      <c r="E76" s="2" t="s">
        <v>47</v>
      </c>
      <c r="F76" s="2"/>
      <c r="G76" s="2"/>
      <c r="H76" s="2"/>
      <c r="I76" s="2"/>
      <c r="J76" s="2"/>
      <c r="K76" s="2"/>
      <c r="L76" s="2" t="s">
        <v>1238</v>
      </c>
      <c r="M76" s="2" t="s">
        <v>212</v>
      </c>
      <c r="N76" s="2" t="s">
        <v>2546</v>
      </c>
    </row>
    <row r="77" customFormat="false" ht="23.85" hidden="false" customHeight="false" outlineLevel="0" collapsed="false">
      <c r="A77" s="2" t="s">
        <v>1534</v>
      </c>
      <c r="B77" s="2" t="s">
        <v>355</v>
      </c>
      <c r="C77" s="2"/>
      <c r="D77" s="2" t="s">
        <v>215</v>
      </c>
      <c r="E77" s="2" t="s">
        <v>40</v>
      </c>
      <c r="F77" s="2"/>
      <c r="G77" s="2"/>
      <c r="H77" s="2"/>
      <c r="I77" s="2"/>
      <c r="J77" s="2"/>
      <c r="K77" s="2"/>
      <c r="L77" s="2" t="s">
        <v>1238</v>
      </c>
      <c r="M77" s="2" t="s">
        <v>212</v>
      </c>
      <c r="N77" s="2" t="s">
        <v>2546</v>
      </c>
    </row>
    <row r="78" customFormat="false" ht="23.85" hidden="false" customHeight="false" outlineLevel="0" collapsed="false">
      <c r="A78" s="2" t="s">
        <v>1537</v>
      </c>
      <c r="B78" s="2" t="s">
        <v>357</v>
      </c>
      <c r="C78" s="2"/>
      <c r="D78" s="2" t="s">
        <v>215</v>
      </c>
      <c r="E78" s="2" t="s">
        <v>47</v>
      </c>
      <c r="F78" s="2"/>
      <c r="G78" s="2"/>
      <c r="H78" s="2"/>
      <c r="I78" s="2"/>
      <c r="J78" s="2"/>
      <c r="K78" s="2"/>
      <c r="L78" s="2" t="s">
        <v>1238</v>
      </c>
      <c r="M78" s="2" t="s">
        <v>212</v>
      </c>
      <c r="N78" s="2" t="s">
        <v>2546</v>
      </c>
    </row>
    <row r="79" customFormat="false" ht="23.85" hidden="false" customHeight="false" outlineLevel="0" collapsed="false">
      <c r="A79" s="2" t="s">
        <v>1541</v>
      </c>
      <c r="B79" s="2" t="s">
        <v>358</v>
      </c>
      <c r="C79" s="2"/>
      <c r="D79" s="2" t="s">
        <v>230</v>
      </c>
      <c r="E79" s="2" t="s">
        <v>40</v>
      </c>
      <c r="F79" s="2"/>
      <c r="G79" s="2"/>
      <c r="H79" s="2"/>
      <c r="I79" s="2"/>
      <c r="J79" s="2"/>
      <c r="K79" s="2"/>
      <c r="L79" s="2" t="s">
        <v>1238</v>
      </c>
      <c r="M79" s="2" t="s">
        <v>212</v>
      </c>
      <c r="N79" s="2" t="s">
        <v>2546</v>
      </c>
    </row>
    <row r="80" customFormat="false" ht="23.85" hidden="false" customHeight="false" outlineLevel="0" collapsed="false">
      <c r="A80" s="2" t="s">
        <v>1545</v>
      </c>
      <c r="B80" s="2" t="s">
        <v>360</v>
      </c>
      <c r="C80" s="2"/>
      <c r="D80" s="2" t="s">
        <v>215</v>
      </c>
      <c r="E80" s="2" t="s">
        <v>54</v>
      </c>
      <c r="F80" s="2"/>
      <c r="G80" s="2"/>
      <c r="H80" s="2"/>
      <c r="I80" s="2"/>
      <c r="J80" s="2"/>
      <c r="K80" s="2"/>
      <c r="L80" s="2" t="s">
        <v>1238</v>
      </c>
      <c r="M80" s="2" t="s">
        <v>212</v>
      </c>
      <c r="N80" s="2" t="s">
        <v>2546</v>
      </c>
    </row>
    <row r="81" customFormat="false" ht="23.85" hidden="false" customHeight="false" outlineLevel="0" collapsed="false">
      <c r="A81" s="2" t="s">
        <v>1549</v>
      </c>
      <c r="B81" s="2" t="s">
        <v>362</v>
      </c>
      <c r="C81" s="2"/>
      <c r="D81" s="2" t="s">
        <v>233</v>
      </c>
      <c r="E81" s="2" t="s">
        <v>60</v>
      </c>
      <c r="F81" s="2"/>
      <c r="G81" s="2"/>
      <c r="H81" s="2"/>
      <c r="I81" s="2"/>
      <c r="J81" s="2"/>
      <c r="K81" s="2"/>
      <c r="L81" s="2" t="s">
        <v>1238</v>
      </c>
      <c r="M81" s="2" t="s">
        <v>212</v>
      </c>
      <c r="N81" s="2" t="s">
        <v>2546</v>
      </c>
    </row>
    <row r="82" customFormat="false" ht="23.85" hidden="false" customHeight="false" outlineLevel="0" collapsed="false">
      <c r="A82" s="2" t="s">
        <v>1553</v>
      </c>
      <c r="B82" s="2" t="s">
        <v>364</v>
      </c>
      <c r="C82" s="2"/>
      <c r="D82" s="2" t="s">
        <v>230</v>
      </c>
      <c r="E82" s="2" t="s">
        <v>40</v>
      </c>
      <c r="F82" s="2"/>
      <c r="G82" s="2"/>
      <c r="H82" s="2"/>
      <c r="I82" s="2"/>
      <c r="J82" s="2"/>
      <c r="K82" s="2"/>
      <c r="L82" s="2" t="s">
        <v>1238</v>
      </c>
      <c r="M82" s="2" t="s">
        <v>212</v>
      </c>
      <c r="N82" s="2" t="s">
        <v>2546</v>
      </c>
    </row>
    <row r="83" customFormat="false" ht="23.85" hidden="false" customHeight="false" outlineLevel="0" collapsed="false">
      <c r="A83" s="2" t="s">
        <v>1556</v>
      </c>
      <c r="B83" s="2" t="s">
        <v>366</v>
      </c>
      <c r="C83" s="2"/>
      <c r="D83" s="2" t="s">
        <v>215</v>
      </c>
      <c r="E83" s="2" t="s">
        <v>47</v>
      </c>
      <c r="F83" s="2"/>
      <c r="G83" s="2"/>
      <c r="H83" s="2"/>
      <c r="I83" s="2"/>
      <c r="J83" s="2"/>
      <c r="K83" s="2"/>
      <c r="L83" s="2" t="s">
        <v>1238</v>
      </c>
      <c r="M83" s="2" t="s">
        <v>212</v>
      </c>
      <c r="N83" s="2" t="s">
        <v>2546</v>
      </c>
    </row>
    <row r="84" customFormat="false" ht="23.85" hidden="false" customHeight="false" outlineLevel="0" collapsed="false">
      <c r="A84" s="2" t="s">
        <v>1560</v>
      </c>
      <c r="B84" s="2" t="s">
        <v>367</v>
      </c>
      <c r="C84" s="2"/>
      <c r="D84" s="2" t="s">
        <v>230</v>
      </c>
      <c r="E84" s="2" t="s">
        <v>40</v>
      </c>
      <c r="F84" s="2"/>
      <c r="G84" s="2"/>
      <c r="H84" s="2"/>
      <c r="I84" s="2"/>
      <c r="J84" s="2"/>
      <c r="K84" s="2"/>
      <c r="L84" s="2" t="s">
        <v>1238</v>
      </c>
      <c r="M84" s="2" t="s">
        <v>212</v>
      </c>
      <c r="N84" s="2" t="s">
        <v>2546</v>
      </c>
    </row>
    <row r="85" customFormat="false" ht="23.85" hidden="false" customHeight="false" outlineLevel="0" collapsed="false">
      <c r="A85" s="2" t="s">
        <v>1563</v>
      </c>
      <c r="B85" s="2" t="s">
        <v>369</v>
      </c>
      <c r="C85" s="2"/>
      <c r="D85" s="2" t="s">
        <v>215</v>
      </c>
      <c r="E85" s="2" t="s">
        <v>40</v>
      </c>
      <c r="F85" s="2"/>
      <c r="G85" s="2"/>
      <c r="H85" s="2"/>
      <c r="I85" s="2"/>
      <c r="J85" s="2"/>
      <c r="K85" s="2"/>
      <c r="L85" s="2" t="s">
        <v>1238</v>
      </c>
      <c r="M85" s="2" t="s">
        <v>212</v>
      </c>
      <c r="N85" s="2" t="s">
        <v>2546</v>
      </c>
    </row>
    <row r="86" customFormat="false" ht="23.85" hidden="false" customHeight="false" outlineLevel="0" collapsed="false">
      <c r="A86" s="2" t="s">
        <v>1567</v>
      </c>
      <c r="B86" s="2" t="s">
        <v>370</v>
      </c>
      <c r="C86" s="2"/>
      <c r="D86" s="2" t="s">
        <v>230</v>
      </c>
      <c r="E86" s="2" t="s">
        <v>40</v>
      </c>
      <c r="F86" s="2"/>
      <c r="G86" s="2"/>
      <c r="H86" s="2"/>
      <c r="I86" s="2"/>
      <c r="J86" s="2"/>
      <c r="K86" s="2"/>
      <c r="L86" s="2" t="s">
        <v>1238</v>
      </c>
      <c r="M86" s="2" t="s">
        <v>212</v>
      </c>
      <c r="N86" s="2" t="s">
        <v>2546</v>
      </c>
    </row>
    <row r="87" customFormat="false" ht="23.85" hidden="false" customHeight="false" outlineLevel="0" collapsed="false">
      <c r="A87" s="2" t="s">
        <v>1571</v>
      </c>
      <c r="B87" s="2" t="s">
        <v>371</v>
      </c>
      <c r="C87" s="2"/>
      <c r="D87" s="2" t="s">
        <v>215</v>
      </c>
      <c r="E87" s="2" t="s">
        <v>40</v>
      </c>
      <c r="F87" s="2"/>
      <c r="G87" s="2"/>
      <c r="H87" s="2"/>
      <c r="I87" s="2"/>
      <c r="J87" s="2"/>
      <c r="K87" s="2"/>
      <c r="L87" s="2" t="s">
        <v>1238</v>
      </c>
      <c r="M87" s="2" t="s">
        <v>212</v>
      </c>
      <c r="N87" s="2" t="s">
        <v>2546</v>
      </c>
    </row>
    <row r="88" customFormat="false" ht="23.85" hidden="false" customHeight="false" outlineLevel="0" collapsed="false">
      <c r="A88" s="2" t="s">
        <v>1575</v>
      </c>
      <c r="B88" s="2" t="s">
        <v>373</v>
      </c>
      <c r="C88" s="2"/>
      <c r="D88" s="2" t="s">
        <v>215</v>
      </c>
      <c r="E88" s="2" t="s">
        <v>40</v>
      </c>
      <c r="F88" s="2"/>
      <c r="G88" s="2"/>
      <c r="H88" s="2"/>
      <c r="I88" s="2"/>
      <c r="J88" s="2"/>
      <c r="K88" s="2"/>
      <c r="L88" s="2" t="s">
        <v>1238</v>
      </c>
      <c r="M88" s="2" t="s">
        <v>212</v>
      </c>
      <c r="N88" s="2" t="s">
        <v>2546</v>
      </c>
    </row>
    <row r="89" customFormat="false" ht="23.85" hidden="false" customHeight="false" outlineLevel="0" collapsed="false">
      <c r="A89" s="2" t="s">
        <v>1578</v>
      </c>
      <c r="B89" s="2" t="s">
        <v>375</v>
      </c>
      <c r="C89" s="2"/>
      <c r="D89" s="2" t="s">
        <v>215</v>
      </c>
      <c r="E89" s="2" t="s">
        <v>40</v>
      </c>
      <c r="F89" s="2"/>
      <c r="G89" s="2"/>
      <c r="H89" s="2"/>
      <c r="I89" s="2"/>
      <c r="J89" s="2"/>
      <c r="K89" s="2"/>
      <c r="L89" s="2" t="s">
        <v>1238</v>
      </c>
      <c r="M89" s="2" t="s">
        <v>212</v>
      </c>
      <c r="N89" s="2" t="s">
        <v>2546</v>
      </c>
    </row>
    <row r="90" customFormat="false" ht="23.85" hidden="false" customHeight="false" outlineLevel="0" collapsed="false">
      <c r="A90" s="2" t="s">
        <v>1582</v>
      </c>
      <c r="B90" s="2" t="s">
        <v>376</v>
      </c>
      <c r="C90" s="2"/>
      <c r="D90" s="2" t="s">
        <v>215</v>
      </c>
      <c r="E90" s="2" t="s">
        <v>40</v>
      </c>
      <c r="F90" s="2"/>
      <c r="G90" s="2"/>
      <c r="H90" s="2"/>
      <c r="I90" s="2"/>
      <c r="J90" s="2"/>
      <c r="K90" s="2"/>
      <c r="L90" s="2" t="s">
        <v>1238</v>
      </c>
      <c r="M90" s="2" t="s">
        <v>212</v>
      </c>
      <c r="N90" s="2" t="s">
        <v>2546</v>
      </c>
    </row>
    <row r="91" customFormat="false" ht="23.85" hidden="false" customHeight="false" outlineLevel="0" collapsed="false">
      <c r="A91" s="2" t="s">
        <v>1586</v>
      </c>
      <c r="B91" s="2" t="s">
        <v>378</v>
      </c>
      <c r="C91" s="2"/>
      <c r="D91" s="2" t="s">
        <v>230</v>
      </c>
      <c r="E91" s="2" t="s">
        <v>40</v>
      </c>
      <c r="F91" s="2"/>
      <c r="G91" s="2"/>
      <c r="H91" s="2"/>
      <c r="I91" s="2"/>
      <c r="J91" s="2"/>
      <c r="K91" s="2"/>
      <c r="L91" s="2" t="s">
        <v>1238</v>
      </c>
      <c r="M91" s="2" t="s">
        <v>212</v>
      </c>
      <c r="N91" s="2" t="s">
        <v>2546</v>
      </c>
    </row>
    <row r="92" customFormat="false" ht="23.85" hidden="false" customHeight="false" outlineLevel="0" collapsed="false">
      <c r="A92" s="2" t="s">
        <v>1590</v>
      </c>
      <c r="B92" s="2" t="s">
        <v>380</v>
      </c>
      <c r="C92" s="2"/>
      <c r="D92" s="2" t="s">
        <v>215</v>
      </c>
      <c r="E92" s="2" t="s">
        <v>40</v>
      </c>
      <c r="F92" s="2"/>
      <c r="G92" s="2"/>
      <c r="H92" s="2"/>
      <c r="I92" s="2"/>
      <c r="J92" s="2"/>
      <c r="K92" s="2"/>
      <c r="L92" s="2" t="s">
        <v>1238</v>
      </c>
      <c r="M92" s="2" t="s">
        <v>212</v>
      </c>
      <c r="N92" s="2" t="s">
        <v>2546</v>
      </c>
    </row>
    <row r="93" customFormat="false" ht="23.85" hidden="false" customHeight="false" outlineLevel="0" collapsed="false">
      <c r="A93" s="2" t="s">
        <v>1594</v>
      </c>
      <c r="B93" s="2" t="s">
        <v>382</v>
      </c>
      <c r="C93" s="2"/>
      <c r="D93" s="2" t="s">
        <v>215</v>
      </c>
      <c r="E93" s="2" t="s">
        <v>40</v>
      </c>
      <c r="F93" s="2"/>
      <c r="G93" s="2"/>
      <c r="H93" s="2"/>
      <c r="I93" s="2"/>
      <c r="J93" s="2"/>
      <c r="K93" s="2"/>
      <c r="L93" s="2" t="s">
        <v>1238</v>
      </c>
      <c r="M93" s="2" t="s">
        <v>212</v>
      </c>
      <c r="N93" s="2" t="s">
        <v>2546</v>
      </c>
    </row>
    <row r="94" customFormat="false" ht="23.85" hidden="false" customHeight="false" outlineLevel="0" collapsed="false">
      <c r="A94" s="2" t="s">
        <v>1598</v>
      </c>
      <c r="B94" s="2" t="s">
        <v>384</v>
      </c>
      <c r="C94" s="2"/>
      <c r="D94" s="2" t="s">
        <v>230</v>
      </c>
      <c r="E94" s="2" t="s">
        <v>54</v>
      </c>
      <c r="F94" s="2"/>
      <c r="G94" s="2"/>
      <c r="H94" s="2"/>
      <c r="I94" s="2"/>
      <c r="J94" s="2"/>
      <c r="K94" s="2"/>
      <c r="L94" s="2" t="s">
        <v>1238</v>
      </c>
      <c r="M94" s="2" t="s">
        <v>212</v>
      </c>
      <c r="N94" s="2" t="s">
        <v>2546</v>
      </c>
    </row>
    <row r="95" customFormat="false" ht="23.85" hidden="false" customHeight="false" outlineLevel="0" collapsed="false">
      <c r="A95" s="2" t="s">
        <v>1601</v>
      </c>
      <c r="B95" s="2" t="s">
        <v>386</v>
      </c>
      <c r="C95" s="2"/>
      <c r="D95" s="2" t="s">
        <v>230</v>
      </c>
      <c r="E95" s="2" t="s">
        <v>40</v>
      </c>
      <c r="F95" s="2"/>
      <c r="G95" s="2"/>
      <c r="H95" s="2"/>
      <c r="I95" s="2"/>
      <c r="J95" s="2"/>
      <c r="K95" s="2"/>
      <c r="L95" s="2" t="s">
        <v>1238</v>
      </c>
      <c r="M95" s="2" t="s">
        <v>212</v>
      </c>
      <c r="N95" s="2" t="s">
        <v>2546</v>
      </c>
    </row>
    <row r="96" customFormat="false" ht="23.85" hidden="false" customHeight="false" outlineLevel="0" collapsed="false">
      <c r="A96" s="2" t="s">
        <v>1604</v>
      </c>
      <c r="B96" s="2" t="s">
        <v>388</v>
      </c>
      <c r="C96" s="2"/>
      <c r="D96" s="2" t="s">
        <v>215</v>
      </c>
      <c r="E96" s="2" t="s">
        <v>40</v>
      </c>
      <c r="F96" s="2"/>
      <c r="G96" s="2"/>
      <c r="H96" s="2"/>
      <c r="I96" s="2"/>
      <c r="J96" s="2"/>
      <c r="K96" s="2"/>
      <c r="L96" s="2" t="s">
        <v>1238</v>
      </c>
      <c r="M96" s="2" t="s">
        <v>212</v>
      </c>
      <c r="N96" s="2" t="s">
        <v>2546</v>
      </c>
    </row>
    <row r="97" customFormat="false" ht="23.85" hidden="false" customHeight="false" outlineLevel="0" collapsed="false">
      <c r="A97" s="2" t="s">
        <v>1607</v>
      </c>
      <c r="B97" s="2" t="s">
        <v>389</v>
      </c>
      <c r="C97" s="2"/>
      <c r="D97" s="2" t="s">
        <v>215</v>
      </c>
      <c r="E97" s="2" t="s">
        <v>47</v>
      </c>
      <c r="F97" s="2"/>
      <c r="G97" s="2"/>
      <c r="H97" s="2"/>
      <c r="I97" s="2"/>
      <c r="J97" s="2"/>
      <c r="K97" s="2"/>
      <c r="L97" s="2" t="s">
        <v>1238</v>
      </c>
      <c r="M97" s="2" t="s">
        <v>212</v>
      </c>
      <c r="N97" s="2" t="s">
        <v>2546</v>
      </c>
    </row>
    <row r="98" customFormat="false" ht="23.85" hidden="false" customHeight="false" outlineLevel="0" collapsed="false">
      <c r="A98" s="2" t="s">
        <v>1610</v>
      </c>
      <c r="B98" s="2" t="s">
        <v>390</v>
      </c>
      <c r="C98" s="2"/>
      <c r="D98" s="2" t="s">
        <v>215</v>
      </c>
      <c r="E98" s="2" t="s">
        <v>47</v>
      </c>
      <c r="F98" s="2"/>
      <c r="G98" s="2"/>
      <c r="H98" s="2"/>
      <c r="I98" s="2"/>
      <c r="J98" s="2"/>
      <c r="K98" s="2"/>
      <c r="L98" s="2" t="s">
        <v>1238</v>
      </c>
      <c r="M98" s="2" t="s">
        <v>212</v>
      </c>
      <c r="N98" s="2" t="s">
        <v>2546</v>
      </c>
    </row>
    <row r="99" customFormat="false" ht="23.85" hidden="false" customHeight="false" outlineLevel="0" collapsed="false">
      <c r="A99" s="2" t="s">
        <v>1614</v>
      </c>
      <c r="B99" s="2" t="s">
        <v>391</v>
      </c>
      <c r="C99" s="2"/>
      <c r="D99" s="2" t="s">
        <v>215</v>
      </c>
      <c r="E99" s="2" t="s">
        <v>40</v>
      </c>
      <c r="F99" s="2"/>
      <c r="G99" s="2"/>
      <c r="H99" s="2"/>
      <c r="I99" s="2"/>
      <c r="J99" s="2"/>
      <c r="K99" s="2"/>
      <c r="L99" s="2" t="s">
        <v>1238</v>
      </c>
      <c r="M99" s="2" t="s">
        <v>212</v>
      </c>
      <c r="N99" s="2" t="s">
        <v>2546</v>
      </c>
    </row>
    <row r="100" customFormat="false" ht="23.85" hidden="false" customHeight="false" outlineLevel="0" collapsed="false">
      <c r="A100" s="2" t="s">
        <v>1618</v>
      </c>
      <c r="B100" s="2" t="s">
        <v>393</v>
      </c>
      <c r="C100" s="2"/>
      <c r="D100" s="2" t="s">
        <v>230</v>
      </c>
      <c r="E100" s="2" t="s">
        <v>60</v>
      </c>
      <c r="F100" s="2"/>
      <c r="G100" s="2"/>
      <c r="H100" s="2"/>
      <c r="I100" s="2"/>
      <c r="J100" s="2"/>
      <c r="K100" s="2"/>
      <c r="L100" s="2" t="s">
        <v>1238</v>
      </c>
      <c r="M100" s="2" t="s">
        <v>212</v>
      </c>
      <c r="N100" s="2" t="s">
        <v>2546</v>
      </c>
    </row>
    <row r="101" customFormat="false" ht="23.85" hidden="false" customHeight="false" outlineLevel="0" collapsed="false">
      <c r="A101" s="2" t="s">
        <v>1622</v>
      </c>
      <c r="B101" s="2" t="s">
        <v>395</v>
      </c>
      <c r="C101" s="2"/>
      <c r="D101" s="2" t="s">
        <v>215</v>
      </c>
      <c r="E101" s="2" t="s">
        <v>40</v>
      </c>
      <c r="F101" s="2"/>
      <c r="G101" s="2"/>
      <c r="H101" s="2"/>
      <c r="I101" s="2"/>
      <c r="J101" s="2"/>
      <c r="K101" s="2"/>
      <c r="L101" s="2" t="s">
        <v>1238</v>
      </c>
      <c r="M101" s="2" t="s">
        <v>212</v>
      </c>
      <c r="N101" s="2" t="s">
        <v>2546</v>
      </c>
    </row>
    <row r="102" customFormat="false" ht="23.85" hidden="false" customHeight="false" outlineLevel="0" collapsed="false">
      <c r="A102" s="2" t="s">
        <v>1626</v>
      </c>
      <c r="B102" s="2" t="s">
        <v>397</v>
      </c>
      <c r="C102" s="2"/>
      <c r="D102" s="2" t="s">
        <v>215</v>
      </c>
      <c r="E102" s="2" t="s">
        <v>54</v>
      </c>
      <c r="F102" s="2"/>
      <c r="G102" s="2"/>
      <c r="H102" s="2"/>
      <c r="I102" s="2"/>
      <c r="J102" s="2"/>
      <c r="K102" s="2"/>
      <c r="L102" s="2" t="s">
        <v>1238</v>
      </c>
      <c r="M102" s="2" t="s">
        <v>212</v>
      </c>
      <c r="N102" s="2" t="s">
        <v>2546</v>
      </c>
    </row>
    <row r="103" customFormat="false" ht="23.85" hidden="false" customHeight="false" outlineLevel="0" collapsed="false">
      <c r="A103" s="2" t="s">
        <v>1630</v>
      </c>
      <c r="B103" s="2" t="s">
        <v>399</v>
      </c>
      <c r="C103" s="2"/>
      <c r="D103" s="2" t="s">
        <v>215</v>
      </c>
      <c r="E103" s="2" t="s">
        <v>40</v>
      </c>
      <c r="F103" s="2"/>
      <c r="G103" s="2"/>
      <c r="H103" s="2"/>
      <c r="I103" s="2"/>
      <c r="J103" s="2"/>
      <c r="K103" s="2"/>
      <c r="L103" s="2" t="s">
        <v>1238</v>
      </c>
      <c r="M103" s="2" t="s">
        <v>212</v>
      </c>
      <c r="N103" s="2" t="s">
        <v>2546</v>
      </c>
    </row>
    <row r="104" customFormat="false" ht="23.85" hidden="false" customHeight="false" outlineLevel="0" collapsed="false">
      <c r="A104" s="2" t="s">
        <v>1634</v>
      </c>
      <c r="B104" s="2" t="s">
        <v>401</v>
      </c>
      <c r="C104" s="2"/>
      <c r="D104" s="2" t="s">
        <v>215</v>
      </c>
      <c r="E104" s="2" t="s">
        <v>40</v>
      </c>
      <c r="F104" s="2"/>
      <c r="G104" s="2"/>
      <c r="H104" s="2"/>
      <c r="I104" s="2"/>
      <c r="J104" s="2"/>
      <c r="K104" s="2"/>
      <c r="L104" s="2" t="s">
        <v>1238</v>
      </c>
      <c r="M104" s="2" t="s">
        <v>212</v>
      </c>
      <c r="N104" s="2" t="s">
        <v>2546</v>
      </c>
    </row>
    <row r="105" customFormat="false" ht="23.85" hidden="false" customHeight="false" outlineLevel="0" collapsed="false">
      <c r="A105" s="2" t="s">
        <v>1637</v>
      </c>
      <c r="B105" s="2" t="s">
        <v>403</v>
      </c>
      <c r="C105" s="2"/>
      <c r="D105" s="2" t="s">
        <v>211</v>
      </c>
      <c r="E105" s="2" t="s">
        <v>47</v>
      </c>
      <c r="F105" s="2"/>
      <c r="G105" s="2"/>
      <c r="H105" s="2"/>
      <c r="I105" s="2"/>
      <c r="J105" s="2"/>
      <c r="K105" s="2"/>
      <c r="L105" s="2" t="s">
        <v>1238</v>
      </c>
      <c r="M105" s="2" t="s">
        <v>212</v>
      </c>
      <c r="N105" s="2" t="s">
        <v>2546</v>
      </c>
    </row>
    <row r="106" customFormat="false" ht="23.85" hidden="false" customHeight="false" outlineLevel="0" collapsed="false">
      <c r="A106" s="2" t="s">
        <v>1641</v>
      </c>
      <c r="B106" s="2" t="s">
        <v>404</v>
      </c>
      <c r="C106" s="2"/>
      <c r="D106" s="2" t="s">
        <v>215</v>
      </c>
      <c r="E106" s="2" t="s">
        <v>40</v>
      </c>
      <c r="F106" s="2"/>
      <c r="G106" s="2"/>
      <c r="H106" s="2"/>
      <c r="I106" s="2"/>
      <c r="J106" s="2"/>
      <c r="K106" s="2"/>
      <c r="L106" s="2" t="s">
        <v>1238</v>
      </c>
      <c r="M106" s="2" t="s">
        <v>212</v>
      </c>
      <c r="N106" s="2" t="s">
        <v>2546</v>
      </c>
    </row>
    <row r="107" customFormat="false" ht="23.85" hidden="false" customHeight="false" outlineLevel="0" collapsed="false">
      <c r="A107" s="2" t="s">
        <v>1644</v>
      </c>
      <c r="B107" s="2" t="s">
        <v>406</v>
      </c>
      <c r="C107" s="2"/>
      <c r="D107" s="2" t="s">
        <v>215</v>
      </c>
      <c r="E107" s="2" t="s">
        <v>40</v>
      </c>
      <c r="F107" s="2"/>
      <c r="G107" s="2"/>
      <c r="H107" s="2"/>
      <c r="I107" s="2"/>
      <c r="J107" s="2"/>
      <c r="K107" s="2"/>
      <c r="L107" s="2" t="s">
        <v>1238</v>
      </c>
      <c r="M107" s="2" t="s">
        <v>212</v>
      </c>
      <c r="N107" s="2" t="s">
        <v>2546</v>
      </c>
    </row>
    <row r="108" customFormat="false" ht="23.85" hidden="false" customHeight="false" outlineLevel="0" collapsed="false">
      <c r="A108" s="2" t="s">
        <v>1647</v>
      </c>
      <c r="B108" s="2" t="s">
        <v>408</v>
      </c>
      <c r="C108" s="2"/>
      <c r="D108" s="2" t="s">
        <v>215</v>
      </c>
      <c r="E108" s="2" t="s">
        <v>40</v>
      </c>
      <c r="F108" s="2"/>
      <c r="G108" s="2"/>
      <c r="H108" s="2"/>
      <c r="I108" s="2"/>
      <c r="J108" s="2"/>
      <c r="K108" s="2"/>
      <c r="L108" s="2" t="s">
        <v>1238</v>
      </c>
      <c r="M108" s="2" t="s">
        <v>212</v>
      </c>
      <c r="N108" s="2" t="s">
        <v>2546</v>
      </c>
    </row>
    <row r="109" customFormat="false" ht="23.85" hidden="false" customHeight="false" outlineLevel="0" collapsed="false">
      <c r="A109" s="2" t="s">
        <v>1651</v>
      </c>
      <c r="B109" s="2" t="s">
        <v>409</v>
      </c>
      <c r="C109" s="2"/>
      <c r="D109" s="2" t="s">
        <v>215</v>
      </c>
      <c r="E109" s="2" t="s">
        <v>47</v>
      </c>
      <c r="F109" s="2"/>
      <c r="G109" s="2"/>
      <c r="H109" s="2"/>
      <c r="I109" s="2"/>
      <c r="J109" s="2"/>
      <c r="K109" s="2"/>
      <c r="L109" s="2" t="s">
        <v>1238</v>
      </c>
      <c r="M109" s="2" t="s">
        <v>212</v>
      </c>
      <c r="N109" s="2" t="s">
        <v>2546</v>
      </c>
    </row>
    <row r="110" customFormat="false" ht="23.85" hidden="false" customHeight="false" outlineLevel="0" collapsed="false">
      <c r="A110" s="2" t="s">
        <v>1654</v>
      </c>
      <c r="B110" s="2" t="s">
        <v>411</v>
      </c>
      <c r="C110" s="2"/>
      <c r="D110" s="2" t="s">
        <v>215</v>
      </c>
      <c r="E110" s="2" t="s">
        <v>40</v>
      </c>
      <c r="F110" s="2"/>
      <c r="G110" s="2"/>
      <c r="H110" s="2"/>
      <c r="I110" s="2"/>
      <c r="J110" s="2"/>
      <c r="K110" s="2"/>
      <c r="L110" s="2" t="s">
        <v>1238</v>
      </c>
      <c r="M110" s="2" t="s">
        <v>212</v>
      </c>
      <c r="N110" s="2" t="s">
        <v>2546</v>
      </c>
    </row>
    <row r="111" customFormat="false" ht="23.85" hidden="false" customHeight="false" outlineLevel="0" collapsed="false">
      <c r="A111" s="2" t="s">
        <v>1658</v>
      </c>
      <c r="B111" s="2" t="s">
        <v>412</v>
      </c>
      <c r="C111" s="2"/>
      <c r="D111" s="2" t="s">
        <v>215</v>
      </c>
      <c r="E111" s="2" t="s">
        <v>47</v>
      </c>
      <c r="F111" s="2"/>
      <c r="G111" s="2"/>
      <c r="H111" s="2"/>
      <c r="I111" s="2"/>
      <c r="J111" s="2"/>
      <c r="K111" s="2"/>
      <c r="L111" s="2" t="s">
        <v>1238</v>
      </c>
      <c r="M111" s="2" t="s">
        <v>212</v>
      </c>
      <c r="N111" s="2" t="s">
        <v>2546</v>
      </c>
    </row>
    <row r="112" customFormat="false" ht="23.85" hidden="false" customHeight="false" outlineLevel="0" collapsed="false">
      <c r="A112" s="2" t="s">
        <v>1661</v>
      </c>
      <c r="B112" s="2" t="s">
        <v>414</v>
      </c>
      <c r="C112" s="2"/>
      <c r="D112" s="2" t="s">
        <v>211</v>
      </c>
      <c r="E112" s="2" t="s">
        <v>47</v>
      </c>
      <c r="F112" s="2"/>
      <c r="G112" s="2"/>
      <c r="H112" s="2"/>
      <c r="I112" s="2"/>
      <c r="J112" s="2"/>
      <c r="K112" s="2"/>
      <c r="L112" s="2" t="s">
        <v>1238</v>
      </c>
      <c r="M112" s="2" t="s">
        <v>212</v>
      </c>
      <c r="N112" s="2" t="s">
        <v>2546</v>
      </c>
    </row>
    <row r="113" customFormat="false" ht="23.85" hidden="false" customHeight="false" outlineLevel="0" collapsed="false">
      <c r="A113" s="2" t="s">
        <v>1664</v>
      </c>
      <c r="B113" s="2" t="s">
        <v>415</v>
      </c>
      <c r="C113" s="2"/>
      <c r="D113" s="2" t="s">
        <v>230</v>
      </c>
      <c r="E113" s="2" t="s">
        <v>47</v>
      </c>
      <c r="F113" s="2"/>
      <c r="G113" s="2"/>
      <c r="H113" s="2"/>
      <c r="I113" s="2"/>
      <c r="J113" s="2"/>
      <c r="K113" s="2"/>
      <c r="L113" s="2" t="s">
        <v>1238</v>
      </c>
      <c r="M113" s="2" t="s">
        <v>212</v>
      </c>
      <c r="N113" s="2" t="s">
        <v>2546</v>
      </c>
    </row>
    <row r="114" customFormat="false" ht="23.85" hidden="false" customHeight="false" outlineLevel="0" collapsed="false">
      <c r="A114" s="2" t="s">
        <v>1668</v>
      </c>
      <c r="B114" s="2" t="s">
        <v>416</v>
      </c>
      <c r="C114" s="2"/>
      <c r="D114" s="2" t="s">
        <v>230</v>
      </c>
      <c r="E114" s="2" t="s">
        <v>40</v>
      </c>
      <c r="F114" s="2"/>
      <c r="G114" s="2"/>
      <c r="H114" s="2"/>
      <c r="I114" s="2"/>
      <c r="J114" s="2"/>
      <c r="K114" s="2"/>
      <c r="L114" s="2" t="s">
        <v>1238</v>
      </c>
      <c r="M114" s="2" t="s">
        <v>212</v>
      </c>
      <c r="N114" s="2" t="s">
        <v>2546</v>
      </c>
    </row>
    <row r="115" customFormat="false" ht="23.85" hidden="false" customHeight="false" outlineLevel="0" collapsed="false">
      <c r="A115" s="2" t="s">
        <v>1672</v>
      </c>
      <c r="B115" s="2" t="s">
        <v>418</v>
      </c>
      <c r="C115" s="2"/>
      <c r="D115" s="2" t="s">
        <v>230</v>
      </c>
      <c r="E115" s="2" t="s">
        <v>40</v>
      </c>
      <c r="F115" s="2"/>
      <c r="G115" s="2"/>
      <c r="H115" s="2"/>
      <c r="I115" s="2"/>
      <c r="J115" s="2"/>
      <c r="K115" s="2"/>
      <c r="L115" s="2" t="s">
        <v>1238</v>
      </c>
      <c r="M115" s="2" t="s">
        <v>212</v>
      </c>
      <c r="N115" s="2" t="s">
        <v>2546</v>
      </c>
    </row>
    <row r="116" customFormat="false" ht="23.85" hidden="false" customHeight="false" outlineLevel="0" collapsed="false">
      <c r="A116" s="2" t="s">
        <v>1676</v>
      </c>
      <c r="B116" s="2" t="s">
        <v>420</v>
      </c>
      <c r="C116" s="2"/>
      <c r="D116" s="2" t="s">
        <v>215</v>
      </c>
      <c r="E116" s="2" t="s">
        <v>40</v>
      </c>
      <c r="F116" s="2"/>
      <c r="G116" s="2"/>
      <c r="H116" s="2"/>
      <c r="I116" s="2"/>
      <c r="J116" s="2"/>
      <c r="K116" s="2"/>
      <c r="L116" s="2" t="s">
        <v>1238</v>
      </c>
      <c r="M116" s="2" t="s">
        <v>212</v>
      </c>
      <c r="N116" s="2" t="s">
        <v>2546</v>
      </c>
    </row>
    <row r="117" customFormat="false" ht="23.85" hidden="false" customHeight="false" outlineLevel="0" collapsed="false">
      <c r="A117" s="2" t="s">
        <v>1680</v>
      </c>
      <c r="B117" s="2" t="s">
        <v>422</v>
      </c>
      <c r="C117" s="2"/>
      <c r="D117" s="2" t="s">
        <v>230</v>
      </c>
      <c r="E117" s="2" t="s">
        <v>47</v>
      </c>
      <c r="F117" s="2"/>
      <c r="G117" s="2"/>
      <c r="H117" s="2"/>
      <c r="I117" s="2"/>
      <c r="J117" s="2"/>
      <c r="K117" s="2"/>
      <c r="L117" s="2" t="s">
        <v>1238</v>
      </c>
      <c r="M117" s="2" t="s">
        <v>212</v>
      </c>
      <c r="N117" s="2" t="s">
        <v>2546</v>
      </c>
    </row>
    <row r="118" customFormat="false" ht="23.85" hidden="false" customHeight="false" outlineLevel="0" collapsed="false">
      <c r="A118" s="2" t="s">
        <v>1684</v>
      </c>
      <c r="B118" s="2" t="s">
        <v>424</v>
      </c>
      <c r="C118" s="2"/>
      <c r="D118" s="2" t="s">
        <v>211</v>
      </c>
      <c r="E118" s="2" t="s">
        <v>40</v>
      </c>
      <c r="F118" s="2"/>
      <c r="G118" s="2"/>
      <c r="H118" s="2"/>
      <c r="I118" s="2"/>
      <c r="J118" s="2"/>
      <c r="K118" s="2"/>
      <c r="L118" s="2" t="s">
        <v>1238</v>
      </c>
      <c r="M118" s="2" t="s">
        <v>212</v>
      </c>
      <c r="N118" s="2" t="s">
        <v>2546</v>
      </c>
    </row>
    <row r="119" customFormat="false" ht="23.85" hidden="false" customHeight="false" outlineLevel="0" collapsed="false">
      <c r="A119" s="2" t="s">
        <v>1687</v>
      </c>
      <c r="B119" s="2" t="s">
        <v>426</v>
      </c>
      <c r="C119" s="2"/>
      <c r="D119" s="2" t="s">
        <v>233</v>
      </c>
      <c r="E119" s="2" t="s">
        <v>40</v>
      </c>
      <c r="F119" s="2"/>
      <c r="G119" s="2"/>
      <c r="H119" s="2"/>
      <c r="I119" s="2"/>
      <c r="J119" s="2"/>
      <c r="K119" s="2"/>
      <c r="L119" s="2" t="s">
        <v>1238</v>
      </c>
      <c r="M119" s="2" t="s">
        <v>212</v>
      </c>
      <c r="N119" s="2" t="s">
        <v>2546</v>
      </c>
    </row>
    <row r="120" customFormat="false" ht="23.85" hidden="false" customHeight="false" outlineLevel="0" collapsed="false">
      <c r="A120" s="2" t="s">
        <v>1691</v>
      </c>
      <c r="B120" s="2" t="s">
        <v>427</v>
      </c>
      <c r="C120" s="2"/>
      <c r="D120" s="2" t="s">
        <v>230</v>
      </c>
      <c r="E120" s="2" t="s">
        <v>47</v>
      </c>
      <c r="F120" s="2"/>
      <c r="G120" s="2"/>
      <c r="H120" s="2"/>
      <c r="I120" s="2"/>
      <c r="J120" s="2"/>
      <c r="K120" s="2"/>
      <c r="L120" s="2" t="s">
        <v>1238</v>
      </c>
      <c r="M120" s="2" t="s">
        <v>212</v>
      </c>
      <c r="N120" s="2" t="s">
        <v>2546</v>
      </c>
    </row>
    <row r="121" customFormat="false" ht="23.85" hidden="false" customHeight="false" outlineLevel="0" collapsed="false">
      <c r="A121" s="2" t="s">
        <v>1694</v>
      </c>
      <c r="B121" s="2" t="s">
        <v>429</v>
      </c>
      <c r="C121" s="2"/>
      <c r="D121" s="2" t="s">
        <v>230</v>
      </c>
      <c r="E121" s="2" t="s">
        <v>47</v>
      </c>
      <c r="F121" s="2"/>
      <c r="G121" s="2"/>
      <c r="H121" s="2"/>
      <c r="I121" s="2"/>
      <c r="J121" s="2"/>
      <c r="K121" s="2"/>
      <c r="L121" s="2" t="s">
        <v>1238</v>
      </c>
      <c r="M121" s="2" t="s">
        <v>212</v>
      </c>
      <c r="N121" s="2" t="s">
        <v>2546</v>
      </c>
    </row>
    <row r="122" customFormat="false" ht="23.85" hidden="false" customHeight="false" outlineLevel="0" collapsed="false">
      <c r="A122" s="2" t="s">
        <v>1697</v>
      </c>
      <c r="B122" s="2" t="s">
        <v>430</v>
      </c>
      <c r="C122" s="2"/>
      <c r="D122" s="2" t="s">
        <v>215</v>
      </c>
      <c r="E122" s="2" t="s">
        <v>47</v>
      </c>
      <c r="F122" s="2"/>
      <c r="G122" s="2"/>
      <c r="H122" s="2"/>
      <c r="I122" s="2"/>
      <c r="J122" s="2"/>
      <c r="K122" s="2"/>
      <c r="L122" s="2" t="s">
        <v>1238</v>
      </c>
      <c r="M122" s="2" t="s">
        <v>212</v>
      </c>
      <c r="N122" s="2" t="s">
        <v>2546</v>
      </c>
    </row>
    <row r="123" customFormat="false" ht="23.85" hidden="false" customHeight="false" outlineLevel="0" collapsed="false">
      <c r="A123" s="2" t="s">
        <v>1701</v>
      </c>
      <c r="B123" s="2" t="s">
        <v>431</v>
      </c>
      <c r="C123" s="2"/>
      <c r="D123" s="2" t="s">
        <v>233</v>
      </c>
      <c r="E123" s="2" t="s">
        <v>40</v>
      </c>
      <c r="F123" s="2"/>
      <c r="G123" s="2"/>
      <c r="H123" s="2"/>
      <c r="I123" s="2"/>
      <c r="J123" s="2"/>
      <c r="K123" s="2"/>
      <c r="L123" s="2" t="s">
        <v>1238</v>
      </c>
      <c r="M123" s="2" t="s">
        <v>212</v>
      </c>
      <c r="N123" s="2" t="s">
        <v>2546</v>
      </c>
    </row>
    <row r="124" customFormat="false" ht="23.85" hidden="false" customHeight="false" outlineLevel="0" collapsed="false">
      <c r="A124" s="2" t="s">
        <v>1705</v>
      </c>
      <c r="B124" s="2" t="s">
        <v>432</v>
      </c>
      <c r="C124" s="2"/>
      <c r="D124" s="2" t="s">
        <v>233</v>
      </c>
      <c r="E124" s="2" t="s">
        <v>47</v>
      </c>
      <c r="F124" s="2"/>
      <c r="G124" s="2"/>
      <c r="H124" s="2"/>
      <c r="I124" s="2"/>
      <c r="J124" s="2"/>
      <c r="K124" s="2"/>
      <c r="L124" s="2" t="s">
        <v>1238</v>
      </c>
      <c r="M124" s="2" t="s">
        <v>212</v>
      </c>
      <c r="N124" s="2" t="s">
        <v>2546</v>
      </c>
    </row>
    <row r="125" customFormat="false" ht="23.85" hidden="false" customHeight="false" outlineLevel="0" collapsed="false">
      <c r="A125" s="2" t="s">
        <v>1709</v>
      </c>
      <c r="B125" s="2" t="s">
        <v>434</v>
      </c>
      <c r="C125" s="2"/>
      <c r="D125" s="2" t="s">
        <v>211</v>
      </c>
      <c r="E125" s="2" t="s">
        <v>40</v>
      </c>
      <c r="F125" s="2"/>
      <c r="G125" s="2"/>
      <c r="H125" s="2"/>
      <c r="I125" s="2"/>
      <c r="J125" s="2"/>
      <c r="K125" s="2"/>
      <c r="L125" s="2" t="s">
        <v>1238</v>
      </c>
      <c r="M125" s="2" t="s">
        <v>212</v>
      </c>
      <c r="N125" s="2" t="s">
        <v>2546</v>
      </c>
    </row>
    <row r="126" customFormat="false" ht="23.85" hidden="false" customHeight="false" outlineLevel="0" collapsed="false">
      <c r="A126" s="2" t="s">
        <v>1713</v>
      </c>
      <c r="B126" s="2" t="s">
        <v>435</v>
      </c>
      <c r="C126" s="2"/>
      <c r="D126" s="2" t="s">
        <v>211</v>
      </c>
      <c r="E126" s="2" t="s">
        <v>40</v>
      </c>
      <c r="F126" s="2"/>
      <c r="G126" s="2"/>
      <c r="H126" s="2"/>
      <c r="I126" s="2"/>
      <c r="J126" s="2"/>
      <c r="K126" s="2"/>
      <c r="L126" s="2" t="s">
        <v>1238</v>
      </c>
      <c r="M126" s="2" t="s">
        <v>212</v>
      </c>
      <c r="N126" s="2" t="s">
        <v>2546</v>
      </c>
    </row>
    <row r="127" customFormat="false" ht="23.85" hidden="false" customHeight="false" outlineLevel="0" collapsed="false">
      <c r="A127" s="2" t="s">
        <v>1717</v>
      </c>
      <c r="B127" s="2" t="s">
        <v>437</v>
      </c>
      <c r="C127" s="2"/>
      <c r="D127" s="2" t="s">
        <v>211</v>
      </c>
      <c r="E127" s="2" t="s">
        <v>40</v>
      </c>
      <c r="F127" s="2"/>
      <c r="G127" s="2"/>
      <c r="H127" s="2"/>
      <c r="I127" s="2"/>
      <c r="J127" s="2"/>
      <c r="K127" s="2"/>
      <c r="L127" s="2" t="s">
        <v>1238</v>
      </c>
      <c r="M127" s="2" t="s">
        <v>212</v>
      </c>
      <c r="N127" s="2" t="s">
        <v>2546</v>
      </c>
    </row>
    <row r="128" customFormat="false" ht="23.85" hidden="false" customHeight="false" outlineLevel="0" collapsed="false">
      <c r="A128" s="2" t="s">
        <v>1721</v>
      </c>
      <c r="B128" s="2" t="s">
        <v>439</v>
      </c>
      <c r="C128" s="2"/>
      <c r="D128" s="2" t="s">
        <v>233</v>
      </c>
      <c r="E128" s="2" t="s">
        <v>40</v>
      </c>
      <c r="F128" s="2"/>
      <c r="G128" s="2"/>
      <c r="H128" s="2"/>
      <c r="I128" s="2"/>
      <c r="J128" s="2"/>
      <c r="K128" s="2"/>
      <c r="L128" s="2" t="s">
        <v>1238</v>
      </c>
      <c r="M128" s="2" t="s">
        <v>212</v>
      </c>
      <c r="N128" s="2" t="s">
        <v>2546</v>
      </c>
    </row>
    <row r="129" customFormat="false" ht="23.85" hidden="false" customHeight="false" outlineLevel="0" collapsed="false">
      <c r="A129" s="2" t="s">
        <v>1725</v>
      </c>
      <c r="B129" s="2" t="s">
        <v>441</v>
      </c>
      <c r="C129" s="2"/>
      <c r="D129" s="2" t="s">
        <v>233</v>
      </c>
      <c r="E129" s="2" t="s">
        <v>40</v>
      </c>
      <c r="F129" s="2"/>
      <c r="G129" s="2"/>
      <c r="H129" s="2"/>
      <c r="I129" s="2"/>
      <c r="J129" s="2"/>
      <c r="K129" s="2"/>
      <c r="L129" s="2" t="s">
        <v>1238</v>
      </c>
      <c r="M129" s="2" t="s">
        <v>212</v>
      </c>
      <c r="N129" s="2" t="s">
        <v>2546</v>
      </c>
    </row>
    <row r="130" customFormat="false" ht="23.85" hidden="false" customHeight="false" outlineLevel="0" collapsed="false">
      <c r="A130" s="2" t="s">
        <v>1729</v>
      </c>
      <c r="B130" s="2" t="s">
        <v>443</v>
      </c>
      <c r="C130" s="2"/>
      <c r="D130" s="2" t="s">
        <v>230</v>
      </c>
      <c r="E130" s="2" t="s">
        <v>40</v>
      </c>
      <c r="F130" s="2"/>
      <c r="G130" s="2"/>
      <c r="H130" s="2"/>
      <c r="I130" s="2"/>
      <c r="J130" s="2"/>
      <c r="K130" s="2"/>
      <c r="L130" s="2" t="s">
        <v>1238</v>
      </c>
      <c r="M130" s="2" t="s">
        <v>212</v>
      </c>
      <c r="N130" s="2" t="s">
        <v>2546</v>
      </c>
    </row>
    <row r="131" customFormat="false" ht="23.85" hidden="false" customHeight="false" outlineLevel="0" collapsed="false">
      <c r="A131" s="2" t="s">
        <v>1732</v>
      </c>
      <c r="B131" s="2" t="s">
        <v>445</v>
      </c>
      <c r="C131" s="2"/>
      <c r="D131" s="2" t="s">
        <v>211</v>
      </c>
      <c r="E131" s="2" t="s">
        <v>47</v>
      </c>
      <c r="F131" s="2"/>
      <c r="G131" s="2"/>
      <c r="H131" s="2"/>
      <c r="I131" s="2"/>
      <c r="J131" s="2"/>
      <c r="K131" s="2"/>
      <c r="L131" s="2" t="s">
        <v>1238</v>
      </c>
      <c r="M131" s="2" t="s">
        <v>212</v>
      </c>
      <c r="N131" s="2" t="s">
        <v>2546</v>
      </c>
    </row>
    <row r="132" customFormat="false" ht="23.85" hidden="false" customHeight="false" outlineLevel="0" collapsed="false">
      <c r="A132" s="2" t="s">
        <v>1735</v>
      </c>
      <c r="B132" s="2" t="s">
        <v>446</v>
      </c>
      <c r="C132" s="2"/>
      <c r="D132" s="2" t="s">
        <v>230</v>
      </c>
      <c r="E132" s="2" t="s">
        <v>47</v>
      </c>
      <c r="F132" s="2"/>
      <c r="G132" s="2"/>
      <c r="H132" s="2"/>
      <c r="I132" s="2"/>
      <c r="J132" s="2"/>
      <c r="K132" s="2"/>
      <c r="L132" s="2" t="s">
        <v>1238</v>
      </c>
      <c r="M132" s="2" t="s">
        <v>212</v>
      </c>
      <c r="N132" s="2" t="s">
        <v>2546</v>
      </c>
    </row>
    <row r="133" customFormat="false" ht="23.85" hidden="false" customHeight="false" outlineLevel="0" collapsed="false">
      <c r="A133" s="2" t="s">
        <v>1738</v>
      </c>
      <c r="B133" s="2" t="s">
        <v>447</v>
      </c>
      <c r="C133" s="2"/>
      <c r="D133" s="2" t="s">
        <v>448</v>
      </c>
      <c r="E133" s="2" t="s">
        <v>47</v>
      </c>
      <c r="F133" s="2"/>
      <c r="G133" s="2"/>
      <c r="H133" s="2"/>
      <c r="I133" s="2"/>
      <c r="J133" s="2"/>
      <c r="K133" s="2"/>
      <c r="L133" s="2" t="s">
        <v>1238</v>
      </c>
      <c r="M133" s="2" t="s">
        <v>212</v>
      </c>
      <c r="N133" s="2" t="s">
        <v>2546</v>
      </c>
    </row>
    <row r="134" customFormat="false" ht="23.85" hidden="false" customHeight="false" outlineLevel="0" collapsed="false">
      <c r="A134" s="2" t="s">
        <v>1742</v>
      </c>
      <c r="B134" s="2" t="s">
        <v>449</v>
      </c>
      <c r="C134" s="2"/>
      <c r="D134" s="2" t="s">
        <v>230</v>
      </c>
      <c r="E134" s="2" t="s">
        <v>40</v>
      </c>
      <c r="F134" s="2"/>
      <c r="G134" s="2"/>
      <c r="H134" s="2"/>
      <c r="I134" s="2"/>
      <c r="J134" s="2"/>
      <c r="K134" s="2"/>
      <c r="L134" s="2" t="s">
        <v>1238</v>
      </c>
      <c r="M134" s="2" t="s">
        <v>212</v>
      </c>
      <c r="N134" s="2" t="s">
        <v>2546</v>
      </c>
    </row>
    <row r="135" customFormat="false" ht="23.85" hidden="false" customHeight="false" outlineLevel="0" collapsed="false">
      <c r="A135" s="2" t="s">
        <v>1745</v>
      </c>
      <c r="B135" s="2" t="s">
        <v>451</v>
      </c>
      <c r="C135" s="2"/>
      <c r="D135" s="2" t="s">
        <v>215</v>
      </c>
      <c r="E135" s="2" t="s">
        <v>47</v>
      </c>
      <c r="F135" s="2"/>
      <c r="G135" s="2"/>
      <c r="H135" s="2"/>
      <c r="I135" s="2"/>
      <c r="J135" s="2"/>
      <c r="K135" s="2"/>
      <c r="L135" s="2" t="s">
        <v>1238</v>
      </c>
      <c r="M135" s="2" t="s">
        <v>212</v>
      </c>
      <c r="N135" s="2" t="s">
        <v>2546</v>
      </c>
    </row>
    <row r="136" customFormat="false" ht="23.85" hidden="false" customHeight="false" outlineLevel="0" collapsed="false">
      <c r="A136" s="2" t="s">
        <v>1748</v>
      </c>
      <c r="B136" s="2" t="s">
        <v>452</v>
      </c>
      <c r="C136" s="2"/>
      <c r="D136" s="2" t="s">
        <v>211</v>
      </c>
      <c r="E136" s="2" t="s">
        <v>40</v>
      </c>
      <c r="F136" s="2"/>
      <c r="G136" s="2"/>
      <c r="H136" s="2"/>
      <c r="I136" s="2"/>
      <c r="J136" s="2"/>
      <c r="K136" s="2"/>
      <c r="L136" s="2" t="s">
        <v>1238</v>
      </c>
      <c r="M136" s="2" t="s">
        <v>212</v>
      </c>
      <c r="N136" s="2" t="s">
        <v>2546</v>
      </c>
    </row>
    <row r="137" customFormat="false" ht="23.85" hidden="false" customHeight="false" outlineLevel="0" collapsed="false">
      <c r="A137" s="2" t="s">
        <v>1751</v>
      </c>
      <c r="B137" s="2" t="s">
        <v>453</v>
      </c>
      <c r="C137" s="2"/>
      <c r="D137" s="2" t="s">
        <v>211</v>
      </c>
      <c r="E137" s="2" t="s">
        <v>40</v>
      </c>
      <c r="F137" s="2"/>
      <c r="G137" s="2"/>
      <c r="H137" s="2"/>
      <c r="I137" s="2"/>
      <c r="J137" s="2"/>
      <c r="K137" s="2"/>
      <c r="L137" s="2" t="s">
        <v>1238</v>
      </c>
      <c r="M137" s="2" t="s">
        <v>212</v>
      </c>
      <c r="N137" s="2" t="s">
        <v>2546</v>
      </c>
    </row>
    <row r="138" customFormat="false" ht="23.85" hidden="false" customHeight="false" outlineLevel="0" collapsed="false">
      <c r="A138" s="2" t="s">
        <v>1755</v>
      </c>
      <c r="B138" s="2" t="s">
        <v>454</v>
      </c>
      <c r="C138" s="2"/>
      <c r="D138" s="2" t="s">
        <v>230</v>
      </c>
      <c r="E138" s="2" t="s">
        <v>40</v>
      </c>
      <c r="F138" s="2"/>
      <c r="G138" s="2"/>
      <c r="H138" s="2"/>
      <c r="I138" s="2"/>
      <c r="J138" s="2"/>
      <c r="K138" s="2"/>
      <c r="L138" s="2" t="s">
        <v>1238</v>
      </c>
      <c r="M138" s="2" t="s">
        <v>212</v>
      </c>
      <c r="N138" s="2" t="s">
        <v>2546</v>
      </c>
    </row>
    <row r="139" customFormat="false" ht="23.85" hidden="false" customHeight="false" outlineLevel="0" collapsed="false">
      <c r="A139" s="2" t="s">
        <v>1759</v>
      </c>
      <c r="B139" s="2" t="s">
        <v>456</v>
      </c>
      <c r="C139" s="2"/>
      <c r="D139" s="2" t="s">
        <v>211</v>
      </c>
      <c r="E139" s="2" t="s">
        <v>40</v>
      </c>
      <c r="F139" s="2"/>
      <c r="G139" s="2"/>
      <c r="H139" s="2"/>
      <c r="I139" s="2"/>
      <c r="J139" s="2"/>
      <c r="K139" s="2"/>
      <c r="L139" s="2" t="s">
        <v>1238</v>
      </c>
      <c r="M139" s="2" t="s">
        <v>212</v>
      </c>
      <c r="N139" s="2" t="s">
        <v>2546</v>
      </c>
    </row>
    <row r="140" customFormat="false" ht="23.85" hidden="false" customHeight="false" outlineLevel="0" collapsed="false">
      <c r="A140" s="2" t="s">
        <v>1762</v>
      </c>
      <c r="B140" s="2" t="s">
        <v>458</v>
      </c>
      <c r="C140" s="2"/>
      <c r="D140" s="2" t="s">
        <v>215</v>
      </c>
      <c r="E140" s="2" t="s">
        <v>47</v>
      </c>
      <c r="F140" s="2"/>
      <c r="G140" s="2"/>
      <c r="H140" s="2"/>
      <c r="I140" s="2"/>
      <c r="J140" s="2"/>
      <c r="K140" s="2"/>
      <c r="L140" s="2" t="s">
        <v>1238</v>
      </c>
      <c r="M140" s="2" t="s">
        <v>212</v>
      </c>
      <c r="N140" s="2" t="s">
        <v>2546</v>
      </c>
    </row>
    <row r="141" customFormat="false" ht="23.85" hidden="false" customHeight="false" outlineLevel="0" collapsed="false">
      <c r="A141" s="2" t="s">
        <v>1767</v>
      </c>
      <c r="B141" s="2" t="s">
        <v>459</v>
      </c>
      <c r="C141" s="2"/>
      <c r="D141" s="2"/>
      <c r="E141" s="2"/>
      <c r="F141" s="2"/>
      <c r="G141" s="2"/>
      <c r="H141" s="2"/>
      <c r="I141" s="2"/>
      <c r="J141" s="2"/>
      <c r="K141" s="2"/>
      <c r="L141" s="2" t="s">
        <v>1238</v>
      </c>
      <c r="M141" s="2" t="s">
        <v>212</v>
      </c>
      <c r="N141" s="2" t="s">
        <v>2546</v>
      </c>
    </row>
    <row r="142" customFormat="false" ht="23.85" hidden="false" customHeight="false" outlineLevel="0" collapsed="false">
      <c r="A142" s="2" t="s">
        <v>1772</v>
      </c>
      <c r="B142" s="2" t="s">
        <v>463</v>
      </c>
      <c r="C142" s="2"/>
      <c r="D142" s="2"/>
      <c r="E142" s="2"/>
      <c r="F142" s="2"/>
      <c r="G142" s="2"/>
      <c r="H142" s="2"/>
      <c r="I142" s="2"/>
      <c r="J142" s="2"/>
      <c r="K142" s="2"/>
      <c r="L142" s="2" t="s">
        <v>1238</v>
      </c>
      <c r="M142" s="2" t="s">
        <v>212</v>
      </c>
      <c r="N142" s="2" t="s">
        <v>2546</v>
      </c>
    </row>
    <row r="143" customFormat="false" ht="23.85" hidden="false" customHeight="false" outlineLevel="0" collapsed="false">
      <c r="A143" s="2" t="s">
        <v>1776</v>
      </c>
      <c r="B143" s="2" t="s">
        <v>464</v>
      </c>
      <c r="C143" s="2"/>
      <c r="D143" s="2"/>
      <c r="E143" s="2"/>
      <c r="F143" s="2"/>
      <c r="G143" s="2"/>
      <c r="H143" s="2"/>
      <c r="I143" s="2"/>
      <c r="J143" s="2"/>
      <c r="K143" s="2"/>
      <c r="L143" s="2" t="s">
        <v>1238</v>
      </c>
      <c r="M143" s="2" t="s">
        <v>212</v>
      </c>
      <c r="N143" s="2" t="s">
        <v>2546</v>
      </c>
    </row>
    <row r="144" customFormat="false" ht="23.85" hidden="false" customHeight="false" outlineLevel="0" collapsed="false">
      <c r="A144" s="2" t="s">
        <v>1780</v>
      </c>
      <c r="B144" s="2" t="s">
        <v>466</v>
      </c>
      <c r="C144" s="2"/>
      <c r="D144" s="2"/>
      <c r="E144" s="2"/>
      <c r="F144" s="2"/>
      <c r="G144" s="2"/>
      <c r="H144" s="2"/>
      <c r="I144" s="2"/>
      <c r="J144" s="2"/>
      <c r="K144" s="2"/>
      <c r="L144" s="2" t="s">
        <v>1238</v>
      </c>
      <c r="M144" s="2" t="s">
        <v>212</v>
      </c>
      <c r="N144" s="2" t="s">
        <v>2546</v>
      </c>
    </row>
    <row r="145" customFormat="false" ht="23.85" hidden="false" customHeight="false" outlineLevel="0" collapsed="false">
      <c r="A145" s="2" t="s">
        <v>1783</v>
      </c>
      <c r="B145" s="2" t="s">
        <v>467</v>
      </c>
      <c r="C145" s="2"/>
      <c r="D145" s="2"/>
      <c r="E145" s="2"/>
      <c r="F145" s="2"/>
      <c r="G145" s="2"/>
      <c r="H145" s="2"/>
      <c r="I145" s="2"/>
      <c r="J145" s="2"/>
      <c r="K145" s="2"/>
      <c r="L145" s="2" t="s">
        <v>1238</v>
      </c>
      <c r="M145" s="2" t="s">
        <v>212</v>
      </c>
      <c r="N145" s="2" t="s">
        <v>2546</v>
      </c>
    </row>
    <row r="146" customFormat="false" ht="23.85" hidden="false" customHeight="false" outlineLevel="0" collapsed="false">
      <c r="A146" s="2" t="s">
        <v>1786</v>
      </c>
      <c r="B146" s="2" t="s">
        <v>468</v>
      </c>
      <c r="C146" s="2"/>
      <c r="D146" s="2"/>
      <c r="E146" s="2"/>
      <c r="F146" s="2"/>
      <c r="G146" s="2"/>
      <c r="H146" s="2"/>
      <c r="I146" s="2"/>
      <c r="J146" s="2"/>
      <c r="K146" s="2"/>
      <c r="L146" s="2" t="s">
        <v>1238</v>
      </c>
      <c r="M146" s="2" t="s">
        <v>212</v>
      </c>
      <c r="N146" s="2" t="s">
        <v>2546</v>
      </c>
    </row>
    <row r="147" customFormat="false" ht="23.85" hidden="false" customHeight="false" outlineLevel="0" collapsed="false">
      <c r="A147" s="2" t="s">
        <v>1789</v>
      </c>
      <c r="B147" s="2" t="s">
        <v>469</v>
      </c>
      <c r="C147" s="2"/>
      <c r="D147" s="2"/>
      <c r="E147" s="2"/>
      <c r="F147" s="2"/>
      <c r="G147" s="2"/>
      <c r="H147" s="2"/>
      <c r="I147" s="2"/>
      <c r="J147" s="2"/>
      <c r="K147" s="2"/>
      <c r="L147" s="2" t="s">
        <v>1238</v>
      </c>
      <c r="M147" s="2" t="s">
        <v>212</v>
      </c>
      <c r="N147" s="2" t="s">
        <v>2546</v>
      </c>
    </row>
    <row r="148" customFormat="false" ht="23.85" hidden="false" customHeight="false" outlineLevel="0" collapsed="false">
      <c r="A148" s="2" t="s">
        <v>1792</v>
      </c>
      <c r="B148" s="2" t="s">
        <v>470</v>
      </c>
      <c r="C148" s="2"/>
      <c r="D148" s="2"/>
      <c r="E148" s="2"/>
      <c r="F148" s="2"/>
      <c r="G148" s="2"/>
      <c r="H148" s="2"/>
      <c r="I148" s="2"/>
      <c r="J148" s="2"/>
      <c r="K148" s="2"/>
      <c r="L148" s="2" t="s">
        <v>1238</v>
      </c>
      <c r="M148" s="2" t="s">
        <v>212</v>
      </c>
      <c r="N148" s="2" t="s">
        <v>2546</v>
      </c>
    </row>
    <row r="149" customFormat="false" ht="23.85" hidden="false" customHeight="false" outlineLevel="0" collapsed="false">
      <c r="A149" s="2" t="s">
        <v>1796</v>
      </c>
      <c r="B149" s="2" t="s">
        <v>471</v>
      </c>
      <c r="C149" s="2"/>
      <c r="D149" s="2"/>
      <c r="E149" s="2"/>
      <c r="F149" s="2"/>
      <c r="G149" s="2"/>
      <c r="H149" s="2"/>
      <c r="I149" s="2"/>
      <c r="J149" s="2"/>
      <c r="K149" s="2"/>
      <c r="L149" s="2" t="s">
        <v>1238</v>
      </c>
      <c r="M149" s="2" t="s">
        <v>212</v>
      </c>
      <c r="N149" s="2" t="s">
        <v>2546</v>
      </c>
    </row>
    <row r="150" customFormat="false" ht="23.85" hidden="false" customHeight="false" outlineLevel="0" collapsed="false">
      <c r="A150" s="2" t="s">
        <v>1800</v>
      </c>
      <c r="B150" s="2" t="s">
        <v>473</v>
      </c>
      <c r="C150" s="2"/>
      <c r="D150" s="2"/>
      <c r="E150" s="2"/>
      <c r="F150" s="2"/>
      <c r="G150" s="2"/>
      <c r="H150" s="2"/>
      <c r="I150" s="2"/>
      <c r="J150" s="2"/>
      <c r="K150" s="2"/>
      <c r="L150" s="2" t="s">
        <v>1238</v>
      </c>
      <c r="M150" s="2" t="s">
        <v>212</v>
      </c>
      <c r="N150" s="2" t="s">
        <v>2546</v>
      </c>
    </row>
    <row r="151" customFormat="false" ht="23.85" hidden="false" customHeight="false" outlineLevel="0" collapsed="false">
      <c r="A151" s="2" t="s">
        <v>1805</v>
      </c>
      <c r="B151" s="2" t="s">
        <v>475</v>
      </c>
      <c r="C151" s="2"/>
      <c r="D151" s="2"/>
      <c r="E151" s="2"/>
      <c r="F151" s="2"/>
      <c r="G151" s="2"/>
      <c r="H151" s="2"/>
      <c r="I151" s="2"/>
      <c r="J151" s="2"/>
      <c r="K151" s="2"/>
      <c r="L151" s="2" t="s">
        <v>1238</v>
      </c>
      <c r="M151" s="2" t="s">
        <v>212</v>
      </c>
      <c r="N151" s="2" t="s">
        <v>2546</v>
      </c>
    </row>
    <row r="152" customFormat="false" ht="23.85" hidden="false" customHeight="false" outlineLevel="0" collapsed="false">
      <c r="A152" s="2" t="s">
        <v>1809</v>
      </c>
      <c r="B152" s="2" t="s">
        <v>477</v>
      </c>
      <c r="C152" s="2"/>
      <c r="D152" s="2"/>
      <c r="E152" s="2"/>
      <c r="F152" s="2"/>
      <c r="G152" s="2"/>
      <c r="H152" s="2"/>
      <c r="I152" s="2"/>
      <c r="J152" s="2"/>
      <c r="K152" s="2"/>
      <c r="L152" s="2" t="s">
        <v>1238</v>
      </c>
      <c r="M152" s="2" t="s">
        <v>212</v>
      </c>
      <c r="N152" s="2" t="s">
        <v>2546</v>
      </c>
    </row>
    <row r="153" customFormat="false" ht="23.85" hidden="false" customHeight="false" outlineLevel="0" collapsed="false">
      <c r="A153" s="2" t="s">
        <v>1813</v>
      </c>
      <c r="B153" s="2" t="s">
        <v>478</v>
      </c>
      <c r="C153" s="2"/>
      <c r="D153" s="2"/>
      <c r="E153" s="2"/>
      <c r="F153" s="2"/>
      <c r="G153" s="2"/>
      <c r="H153" s="2"/>
      <c r="I153" s="2"/>
      <c r="J153" s="2"/>
      <c r="K153" s="2"/>
      <c r="L153" s="2" t="s">
        <v>1238</v>
      </c>
      <c r="M153" s="2" t="s">
        <v>212</v>
      </c>
      <c r="N153" s="2" t="s">
        <v>2546</v>
      </c>
    </row>
    <row r="154" customFormat="false" ht="23.85" hidden="false" customHeight="false" outlineLevel="0" collapsed="false">
      <c r="A154" s="2" t="s">
        <v>1817</v>
      </c>
      <c r="B154" s="2" t="s">
        <v>480</v>
      </c>
      <c r="C154" s="2"/>
      <c r="D154" s="2"/>
      <c r="E154" s="2"/>
      <c r="F154" s="2"/>
      <c r="G154" s="2"/>
      <c r="H154" s="2"/>
      <c r="I154" s="2"/>
      <c r="J154" s="2"/>
      <c r="K154" s="2"/>
      <c r="L154" s="2" t="s">
        <v>1238</v>
      </c>
      <c r="M154" s="2" t="s">
        <v>212</v>
      </c>
      <c r="N154" s="2" t="s">
        <v>2546</v>
      </c>
    </row>
    <row r="155" customFormat="false" ht="23.85" hidden="false" customHeight="false" outlineLevel="0" collapsed="false">
      <c r="A155" s="2" t="s">
        <v>1820</v>
      </c>
      <c r="B155" s="2" t="s">
        <v>482</v>
      </c>
      <c r="C155" s="2"/>
      <c r="D155" s="2"/>
      <c r="E155" s="2"/>
      <c r="F155" s="2"/>
      <c r="G155" s="2"/>
      <c r="H155" s="2"/>
      <c r="I155" s="2"/>
      <c r="J155" s="2"/>
      <c r="K155" s="2"/>
      <c r="L155" s="2" t="s">
        <v>1238</v>
      </c>
      <c r="M155" s="2" t="s">
        <v>212</v>
      </c>
      <c r="N155" s="2" t="s">
        <v>2546</v>
      </c>
    </row>
    <row r="156" customFormat="false" ht="23.85" hidden="false" customHeight="false" outlineLevel="0" collapsed="false">
      <c r="A156" s="2" t="s">
        <v>1824</v>
      </c>
      <c r="B156" s="2" t="s">
        <v>483</v>
      </c>
      <c r="C156" s="2"/>
      <c r="D156" s="2"/>
      <c r="E156" s="2"/>
      <c r="F156" s="2"/>
      <c r="G156" s="2"/>
      <c r="H156" s="2"/>
      <c r="I156" s="2"/>
      <c r="J156" s="2"/>
      <c r="K156" s="2"/>
      <c r="L156" s="2" t="s">
        <v>1238</v>
      </c>
      <c r="M156" s="2" t="s">
        <v>212</v>
      </c>
      <c r="N156" s="2" t="s">
        <v>2546</v>
      </c>
    </row>
    <row r="157" customFormat="false" ht="23.85" hidden="false" customHeight="false" outlineLevel="0" collapsed="false">
      <c r="A157" s="2" t="s">
        <v>1827</v>
      </c>
      <c r="B157" s="2" t="s">
        <v>485</v>
      </c>
      <c r="C157" s="2"/>
      <c r="D157" s="2"/>
      <c r="E157" s="2"/>
      <c r="F157" s="2"/>
      <c r="G157" s="2"/>
      <c r="H157" s="2"/>
      <c r="I157" s="2"/>
      <c r="J157" s="2"/>
      <c r="K157" s="2"/>
      <c r="L157" s="2" t="s">
        <v>1238</v>
      </c>
      <c r="M157" s="2" t="s">
        <v>212</v>
      </c>
      <c r="N157" s="2" t="s">
        <v>2546</v>
      </c>
    </row>
    <row r="158" customFormat="false" ht="23.85" hidden="false" customHeight="false" outlineLevel="0" collapsed="false">
      <c r="A158" s="2" t="s">
        <v>1830</v>
      </c>
      <c r="B158" s="2" t="s">
        <v>486</v>
      </c>
      <c r="C158" s="2"/>
      <c r="D158" s="2"/>
      <c r="E158" s="2"/>
      <c r="F158" s="2"/>
      <c r="G158" s="2"/>
      <c r="H158" s="2"/>
      <c r="I158" s="2"/>
      <c r="J158" s="2"/>
      <c r="K158" s="2"/>
      <c r="L158" s="2" t="s">
        <v>1238</v>
      </c>
      <c r="M158" s="2" t="s">
        <v>212</v>
      </c>
      <c r="N158" s="2" t="s">
        <v>2546</v>
      </c>
    </row>
    <row r="159" customFormat="false" ht="23.85" hidden="false" customHeight="false" outlineLevel="0" collapsed="false">
      <c r="A159" s="2" t="s">
        <v>1833</v>
      </c>
      <c r="B159" s="2" t="s">
        <v>487</v>
      </c>
      <c r="C159" s="2"/>
      <c r="D159" s="2"/>
      <c r="E159" s="2"/>
      <c r="F159" s="2"/>
      <c r="G159" s="2"/>
      <c r="H159" s="2"/>
      <c r="I159" s="2"/>
      <c r="J159" s="2"/>
      <c r="K159" s="2"/>
      <c r="L159" s="2" t="s">
        <v>1238</v>
      </c>
      <c r="M159" s="2" t="s">
        <v>212</v>
      </c>
      <c r="N159" s="2" t="s">
        <v>2546</v>
      </c>
    </row>
    <row r="160" customFormat="false" ht="23.85" hidden="false" customHeight="false" outlineLevel="0" collapsed="false">
      <c r="A160" s="2" t="s">
        <v>1837</v>
      </c>
      <c r="B160" s="2" t="s">
        <v>488</v>
      </c>
      <c r="C160" s="2"/>
      <c r="D160" s="2"/>
      <c r="E160" s="2"/>
      <c r="F160" s="2"/>
      <c r="G160" s="2"/>
      <c r="H160" s="2"/>
      <c r="I160" s="2"/>
      <c r="J160" s="2"/>
      <c r="K160" s="2"/>
      <c r="L160" s="2" t="s">
        <v>1238</v>
      </c>
      <c r="M160" s="2" t="s">
        <v>212</v>
      </c>
      <c r="N160" s="2" t="s">
        <v>2546</v>
      </c>
    </row>
    <row r="161" customFormat="false" ht="23.85" hidden="false" customHeight="false" outlineLevel="0" collapsed="false">
      <c r="A161" s="2" t="s">
        <v>1840</v>
      </c>
      <c r="B161" s="2" t="s">
        <v>490</v>
      </c>
      <c r="C161" s="2"/>
      <c r="D161" s="2"/>
      <c r="E161" s="2"/>
      <c r="F161" s="2"/>
      <c r="G161" s="2"/>
      <c r="H161" s="2"/>
      <c r="I161" s="2"/>
      <c r="J161" s="2"/>
      <c r="K161" s="2"/>
      <c r="L161" s="2" t="s">
        <v>1238</v>
      </c>
      <c r="M161" s="2" t="s">
        <v>212</v>
      </c>
      <c r="N161" s="2" t="s">
        <v>2546</v>
      </c>
    </row>
    <row r="162" customFormat="false" ht="23.85" hidden="false" customHeight="false" outlineLevel="0" collapsed="false">
      <c r="A162" s="2" t="s">
        <v>1845</v>
      </c>
      <c r="B162" s="2" t="s">
        <v>491</v>
      </c>
      <c r="C162" s="2"/>
      <c r="D162" s="2"/>
      <c r="E162" s="2"/>
      <c r="F162" s="2"/>
      <c r="G162" s="2"/>
      <c r="H162" s="2"/>
      <c r="I162" s="2"/>
      <c r="J162" s="2"/>
      <c r="K162" s="2"/>
      <c r="L162" s="2" t="s">
        <v>1238</v>
      </c>
      <c r="M162" s="2" t="s">
        <v>212</v>
      </c>
      <c r="N162" s="2" t="s">
        <v>2546</v>
      </c>
    </row>
    <row r="163" customFormat="false" ht="23.85" hidden="false" customHeight="false" outlineLevel="0" collapsed="false">
      <c r="A163" s="2" t="s">
        <v>1849</v>
      </c>
      <c r="B163" s="2" t="s">
        <v>493</v>
      </c>
      <c r="C163" s="2"/>
      <c r="D163" s="2"/>
      <c r="E163" s="2"/>
      <c r="F163" s="2"/>
      <c r="G163" s="2"/>
      <c r="H163" s="2"/>
      <c r="I163" s="2"/>
      <c r="J163" s="2"/>
      <c r="K163" s="2"/>
      <c r="L163" s="2" t="s">
        <v>1238</v>
      </c>
      <c r="M163" s="2" t="s">
        <v>212</v>
      </c>
      <c r="N163" s="2" t="s">
        <v>2546</v>
      </c>
    </row>
    <row r="164" customFormat="false" ht="23.85" hidden="false" customHeight="false" outlineLevel="0" collapsed="false">
      <c r="A164" s="2" t="s">
        <v>1852</v>
      </c>
      <c r="B164" s="2" t="s">
        <v>496</v>
      </c>
      <c r="C164" s="2"/>
      <c r="D164" s="2"/>
      <c r="E164" s="2"/>
      <c r="F164" s="2"/>
      <c r="G164" s="2"/>
      <c r="H164" s="2"/>
      <c r="I164" s="2"/>
      <c r="J164" s="2"/>
      <c r="K164" s="2"/>
      <c r="L164" s="2" t="s">
        <v>1238</v>
      </c>
      <c r="M164" s="2" t="s">
        <v>212</v>
      </c>
      <c r="N164" s="2" t="s">
        <v>2546</v>
      </c>
    </row>
    <row r="165" customFormat="false" ht="23.85" hidden="false" customHeight="false" outlineLevel="0" collapsed="false">
      <c r="A165" s="2" t="s">
        <v>1856</v>
      </c>
      <c r="B165" s="2" t="s">
        <v>497</v>
      </c>
      <c r="C165" s="2"/>
      <c r="D165" s="2"/>
      <c r="E165" s="2"/>
      <c r="F165" s="2"/>
      <c r="G165" s="2"/>
      <c r="H165" s="2"/>
      <c r="I165" s="2"/>
      <c r="J165" s="2"/>
      <c r="K165" s="2"/>
      <c r="L165" s="2" t="s">
        <v>1238</v>
      </c>
      <c r="M165" s="2" t="s">
        <v>212</v>
      </c>
      <c r="N165" s="2" t="s">
        <v>2546</v>
      </c>
    </row>
    <row r="166" customFormat="false" ht="23.85" hidden="false" customHeight="false" outlineLevel="0" collapsed="false">
      <c r="A166" s="2" t="s">
        <v>1859</v>
      </c>
      <c r="B166" s="2" t="s">
        <v>498</v>
      </c>
      <c r="C166" s="2"/>
      <c r="D166" s="2"/>
      <c r="E166" s="2"/>
      <c r="F166" s="2"/>
      <c r="G166" s="2"/>
      <c r="H166" s="2"/>
      <c r="I166" s="2"/>
      <c r="J166" s="2"/>
      <c r="K166" s="2"/>
      <c r="L166" s="2" t="s">
        <v>1238</v>
      </c>
      <c r="M166" s="2" t="s">
        <v>212</v>
      </c>
      <c r="N166" s="2" t="s">
        <v>2546</v>
      </c>
    </row>
    <row r="167" customFormat="false" ht="23.85" hidden="false" customHeight="false" outlineLevel="0" collapsed="false">
      <c r="A167" s="2" t="s">
        <v>1862</v>
      </c>
      <c r="B167" s="2" t="s">
        <v>499</v>
      </c>
      <c r="C167" s="2"/>
      <c r="D167" s="2"/>
      <c r="E167" s="2"/>
      <c r="F167" s="2"/>
      <c r="G167" s="2"/>
      <c r="H167" s="2"/>
      <c r="I167" s="2"/>
      <c r="J167" s="2"/>
      <c r="K167" s="2"/>
      <c r="L167" s="2" t="s">
        <v>1238</v>
      </c>
      <c r="M167" s="2" t="s">
        <v>212</v>
      </c>
      <c r="N167" s="2" t="s">
        <v>2546</v>
      </c>
    </row>
    <row r="168" customFormat="false" ht="23.85" hidden="false" customHeight="false" outlineLevel="0" collapsed="false">
      <c r="A168" s="2" t="s">
        <v>1865</v>
      </c>
      <c r="B168" s="2" t="s">
        <v>500</v>
      </c>
      <c r="C168" s="2"/>
      <c r="D168" s="2"/>
      <c r="E168" s="2"/>
      <c r="F168" s="2"/>
      <c r="G168" s="2"/>
      <c r="H168" s="2"/>
      <c r="I168" s="2"/>
      <c r="J168" s="2"/>
      <c r="K168" s="2"/>
      <c r="L168" s="2" t="s">
        <v>1238</v>
      </c>
      <c r="M168" s="2" t="s">
        <v>212</v>
      </c>
      <c r="N168" s="2" t="s">
        <v>2546</v>
      </c>
    </row>
    <row r="169" customFormat="false" ht="23.85" hidden="false" customHeight="false" outlineLevel="0" collapsed="false">
      <c r="A169" s="2" t="s">
        <v>1869</v>
      </c>
      <c r="B169" s="2" t="s">
        <v>501</v>
      </c>
      <c r="C169" s="2"/>
      <c r="D169" s="2"/>
      <c r="E169" s="2"/>
      <c r="F169" s="2"/>
      <c r="G169" s="2"/>
      <c r="H169" s="2"/>
      <c r="I169" s="2"/>
      <c r="J169" s="2"/>
      <c r="K169" s="2"/>
      <c r="L169" s="2" t="s">
        <v>1238</v>
      </c>
      <c r="M169" s="2" t="s">
        <v>212</v>
      </c>
      <c r="N169" s="2" t="s">
        <v>2546</v>
      </c>
    </row>
    <row r="170" customFormat="false" ht="23.85" hidden="false" customHeight="false" outlineLevel="0" collapsed="false">
      <c r="A170" s="2" t="s">
        <v>1872</v>
      </c>
      <c r="B170" s="2" t="s">
        <v>503</v>
      </c>
      <c r="C170" s="2"/>
      <c r="D170" s="2"/>
      <c r="E170" s="2"/>
      <c r="F170" s="2"/>
      <c r="G170" s="2"/>
      <c r="H170" s="2"/>
      <c r="I170" s="2"/>
      <c r="J170" s="2"/>
      <c r="K170" s="2"/>
      <c r="L170" s="2" t="s">
        <v>1238</v>
      </c>
      <c r="M170" s="2" t="s">
        <v>212</v>
      </c>
      <c r="N170" s="2" t="s">
        <v>2546</v>
      </c>
    </row>
    <row r="171" customFormat="false" ht="23.85" hidden="false" customHeight="false" outlineLevel="0" collapsed="false">
      <c r="A171" s="2" t="s">
        <v>1876</v>
      </c>
      <c r="B171" s="2" t="s">
        <v>504</v>
      </c>
      <c r="C171" s="2"/>
      <c r="D171" s="2"/>
      <c r="E171" s="2"/>
      <c r="F171" s="2"/>
      <c r="G171" s="2"/>
      <c r="H171" s="2"/>
      <c r="I171" s="2"/>
      <c r="J171" s="2"/>
      <c r="K171" s="2"/>
      <c r="L171" s="2" t="s">
        <v>1238</v>
      </c>
      <c r="M171" s="2" t="s">
        <v>212</v>
      </c>
      <c r="N171" s="2" t="s">
        <v>2546</v>
      </c>
    </row>
    <row r="172" customFormat="false" ht="23.85" hidden="false" customHeight="false" outlineLevel="0" collapsed="false">
      <c r="A172" s="2" t="s">
        <v>1880</v>
      </c>
      <c r="B172" s="2" t="s">
        <v>506</v>
      </c>
      <c r="C172" s="2"/>
      <c r="D172" s="2"/>
      <c r="E172" s="2"/>
      <c r="F172" s="2"/>
      <c r="G172" s="2"/>
      <c r="H172" s="2"/>
      <c r="I172" s="2"/>
      <c r="J172" s="2"/>
      <c r="K172" s="2"/>
      <c r="L172" s="2" t="s">
        <v>1238</v>
      </c>
      <c r="M172" s="2" t="s">
        <v>212</v>
      </c>
      <c r="N172" s="2" t="s">
        <v>2546</v>
      </c>
    </row>
    <row r="173" customFormat="false" ht="23.85" hidden="false" customHeight="false" outlineLevel="0" collapsed="false">
      <c r="A173" s="2" t="s">
        <v>1883</v>
      </c>
      <c r="B173" s="2" t="s">
        <v>508</v>
      </c>
      <c r="C173" s="2"/>
      <c r="D173" s="2"/>
      <c r="E173" s="2"/>
      <c r="F173" s="2"/>
      <c r="G173" s="2"/>
      <c r="H173" s="2"/>
      <c r="I173" s="2"/>
      <c r="J173" s="2"/>
      <c r="K173" s="2"/>
      <c r="L173" s="2" t="s">
        <v>1238</v>
      </c>
      <c r="M173" s="2" t="s">
        <v>212</v>
      </c>
      <c r="N173" s="2" t="s">
        <v>2546</v>
      </c>
    </row>
    <row r="174" customFormat="false" ht="23.85" hidden="false" customHeight="false" outlineLevel="0" collapsed="false">
      <c r="A174" s="2" t="s">
        <v>1887</v>
      </c>
      <c r="B174" s="2" t="s">
        <v>509</v>
      </c>
      <c r="C174" s="2"/>
      <c r="D174" s="2"/>
      <c r="E174" s="2"/>
      <c r="F174" s="2"/>
      <c r="G174" s="2"/>
      <c r="H174" s="2"/>
      <c r="I174" s="2"/>
      <c r="J174" s="2"/>
      <c r="K174" s="2"/>
      <c r="L174" s="2" t="s">
        <v>1238</v>
      </c>
      <c r="M174" s="2" t="s">
        <v>212</v>
      </c>
      <c r="N174" s="2" t="s">
        <v>2546</v>
      </c>
    </row>
    <row r="175" customFormat="false" ht="23.85" hidden="false" customHeight="false" outlineLevel="0" collapsed="false">
      <c r="A175" s="2" t="s">
        <v>1891</v>
      </c>
      <c r="B175" s="2" t="s">
        <v>511</v>
      </c>
      <c r="C175" s="2"/>
      <c r="D175" s="2"/>
      <c r="E175" s="2"/>
      <c r="F175" s="2"/>
      <c r="G175" s="2"/>
      <c r="H175" s="2"/>
      <c r="I175" s="2"/>
      <c r="J175" s="2"/>
      <c r="K175" s="2"/>
      <c r="L175" s="2" t="s">
        <v>1238</v>
      </c>
      <c r="M175" s="2" t="s">
        <v>212</v>
      </c>
      <c r="N175" s="2" t="s">
        <v>2546</v>
      </c>
    </row>
    <row r="176" customFormat="false" ht="23.85" hidden="false" customHeight="false" outlineLevel="0" collapsed="false">
      <c r="A176" s="2" t="s">
        <v>1895</v>
      </c>
      <c r="B176" s="2" t="s">
        <v>512</v>
      </c>
      <c r="C176" s="2"/>
      <c r="D176" s="2"/>
      <c r="E176" s="2"/>
      <c r="F176" s="2"/>
      <c r="G176" s="2"/>
      <c r="H176" s="2"/>
      <c r="I176" s="2"/>
      <c r="J176" s="2"/>
      <c r="K176" s="2"/>
      <c r="L176" s="2" t="s">
        <v>1238</v>
      </c>
      <c r="M176" s="2" t="s">
        <v>212</v>
      </c>
      <c r="N176" s="2" t="s">
        <v>2546</v>
      </c>
    </row>
    <row r="177" customFormat="false" ht="23.85" hidden="false" customHeight="false" outlineLevel="0" collapsed="false">
      <c r="A177" s="2" t="s">
        <v>1899</v>
      </c>
      <c r="B177" s="2" t="s">
        <v>514</v>
      </c>
      <c r="C177" s="2"/>
      <c r="D177" s="2"/>
      <c r="E177" s="2"/>
      <c r="F177" s="2"/>
      <c r="G177" s="2"/>
      <c r="H177" s="2"/>
      <c r="I177" s="2"/>
      <c r="J177" s="2"/>
      <c r="K177" s="2"/>
      <c r="L177" s="2" t="s">
        <v>1238</v>
      </c>
      <c r="M177" s="2" t="s">
        <v>212</v>
      </c>
      <c r="N177" s="2" t="s">
        <v>2546</v>
      </c>
    </row>
    <row r="178" customFormat="false" ht="23.85" hidden="false" customHeight="false" outlineLevel="0" collapsed="false">
      <c r="A178" s="2" t="s">
        <v>1903</v>
      </c>
      <c r="B178" s="2" t="s">
        <v>516</v>
      </c>
      <c r="C178" s="2"/>
      <c r="D178" s="2"/>
      <c r="E178" s="2"/>
      <c r="F178" s="2"/>
      <c r="G178" s="2"/>
      <c r="H178" s="2"/>
      <c r="I178" s="2"/>
      <c r="J178" s="2"/>
      <c r="K178" s="2"/>
      <c r="L178" s="2" t="s">
        <v>1238</v>
      </c>
      <c r="M178" s="2" t="s">
        <v>212</v>
      </c>
      <c r="N178" s="2" t="s">
        <v>2546</v>
      </c>
    </row>
    <row r="179" customFormat="false" ht="23.85" hidden="false" customHeight="false" outlineLevel="0" collapsed="false">
      <c r="A179" s="2" t="s">
        <v>1906</v>
      </c>
      <c r="B179" s="2" t="s">
        <v>517</v>
      </c>
      <c r="C179" s="2"/>
      <c r="D179" s="2"/>
      <c r="E179" s="2"/>
      <c r="F179" s="2"/>
      <c r="G179" s="2"/>
      <c r="H179" s="2"/>
      <c r="I179" s="2"/>
      <c r="J179" s="2"/>
      <c r="K179" s="2"/>
      <c r="L179" s="2" t="s">
        <v>1238</v>
      </c>
      <c r="M179" s="2" t="s">
        <v>212</v>
      </c>
      <c r="N179" s="2" t="s">
        <v>2546</v>
      </c>
    </row>
    <row r="180" customFormat="false" ht="23.85" hidden="false" customHeight="false" outlineLevel="0" collapsed="false">
      <c r="A180" s="2" t="s">
        <v>1911</v>
      </c>
      <c r="B180" s="2" t="s">
        <v>518</v>
      </c>
      <c r="C180" s="2"/>
      <c r="D180" s="2"/>
      <c r="E180" s="2"/>
      <c r="F180" s="2"/>
      <c r="G180" s="2"/>
      <c r="H180" s="2"/>
      <c r="I180" s="2"/>
      <c r="J180" s="2"/>
      <c r="K180" s="2"/>
      <c r="L180" s="2" t="s">
        <v>1238</v>
      </c>
      <c r="M180" s="2" t="s">
        <v>212</v>
      </c>
      <c r="N180" s="2" t="s">
        <v>2546</v>
      </c>
    </row>
    <row r="181" customFormat="false" ht="23.85" hidden="false" customHeight="false" outlineLevel="0" collapsed="false">
      <c r="A181" s="2" t="s">
        <v>1914</v>
      </c>
      <c r="B181" s="2" t="s">
        <v>520</v>
      </c>
      <c r="C181" s="2"/>
      <c r="D181" s="2"/>
      <c r="E181" s="2"/>
      <c r="F181" s="2"/>
      <c r="G181" s="2"/>
      <c r="H181" s="2"/>
      <c r="I181" s="2"/>
      <c r="J181" s="2"/>
      <c r="K181" s="2"/>
      <c r="L181" s="2" t="s">
        <v>1238</v>
      </c>
      <c r="M181" s="2" t="s">
        <v>212</v>
      </c>
      <c r="N181" s="2" t="s">
        <v>2546</v>
      </c>
    </row>
    <row r="182" customFormat="false" ht="23.85" hidden="false" customHeight="false" outlineLevel="0" collapsed="false">
      <c r="A182" s="2" t="s">
        <v>1918</v>
      </c>
      <c r="B182" s="2" t="s">
        <v>521</v>
      </c>
      <c r="C182" s="2"/>
      <c r="D182" s="2"/>
      <c r="E182" s="2"/>
      <c r="F182" s="2"/>
      <c r="G182" s="2"/>
      <c r="H182" s="2"/>
      <c r="I182" s="2"/>
      <c r="J182" s="2"/>
      <c r="K182" s="2"/>
      <c r="L182" s="2" t="s">
        <v>1238</v>
      </c>
      <c r="M182" s="2" t="s">
        <v>212</v>
      </c>
      <c r="N182" s="2" t="s">
        <v>2546</v>
      </c>
    </row>
    <row r="183" customFormat="false" ht="23.85" hidden="false" customHeight="false" outlineLevel="0" collapsed="false">
      <c r="A183" s="2" t="s">
        <v>1922</v>
      </c>
      <c r="B183" s="2" t="s">
        <v>523</v>
      </c>
      <c r="C183" s="2"/>
      <c r="D183" s="2"/>
      <c r="E183" s="2"/>
      <c r="F183" s="2"/>
      <c r="G183" s="2"/>
      <c r="H183" s="2"/>
      <c r="I183" s="2"/>
      <c r="J183" s="2"/>
      <c r="K183" s="2"/>
      <c r="L183" s="2" t="s">
        <v>1238</v>
      </c>
      <c r="M183" s="2" t="s">
        <v>212</v>
      </c>
      <c r="N183" s="2" t="s">
        <v>2546</v>
      </c>
    </row>
    <row r="184" customFormat="false" ht="23.85" hidden="false" customHeight="false" outlineLevel="0" collapsed="false">
      <c r="A184" s="2" t="s">
        <v>1926</v>
      </c>
      <c r="B184" s="2" t="s">
        <v>525</v>
      </c>
      <c r="C184" s="2"/>
      <c r="D184" s="2"/>
      <c r="E184" s="2"/>
      <c r="F184" s="2"/>
      <c r="G184" s="2"/>
      <c r="H184" s="2"/>
      <c r="I184" s="2"/>
      <c r="J184" s="2"/>
      <c r="K184" s="2"/>
      <c r="L184" s="2" t="s">
        <v>1238</v>
      </c>
      <c r="M184" s="2" t="s">
        <v>212</v>
      </c>
      <c r="N184" s="2" t="s">
        <v>2546</v>
      </c>
    </row>
    <row r="185" customFormat="false" ht="23.85" hidden="false" customHeight="false" outlineLevel="0" collapsed="false">
      <c r="A185" s="2" t="s">
        <v>1930</v>
      </c>
      <c r="B185" s="2" t="s">
        <v>527</v>
      </c>
      <c r="C185" s="2"/>
      <c r="D185" s="2"/>
      <c r="E185" s="2"/>
      <c r="F185" s="2"/>
      <c r="G185" s="2"/>
      <c r="H185" s="2"/>
      <c r="I185" s="2"/>
      <c r="J185" s="2"/>
      <c r="K185" s="2"/>
      <c r="L185" s="2" t="s">
        <v>1238</v>
      </c>
      <c r="M185" s="2" t="s">
        <v>212</v>
      </c>
      <c r="N185" s="2" t="s">
        <v>2546</v>
      </c>
    </row>
    <row r="186" customFormat="false" ht="23.85" hidden="false" customHeight="false" outlineLevel="0" collapsed="false">
      <c r="A186" s="2" t="s">
        <v>1933</v>
      </c>
      <c r="B186" s="2" t="s">
        <v>529</v>
      </c>
      <c r="C186" s="2"/>
      <c r="D186" s="2"/>
      <c r="E186" s="2"/>
      <c r="F186" s="2"/>
      <c r="G186" s="2"/>
      <c r="H186" s="2"/>
      <c r="I186" s="2"/>
      <c r="J186" s="2"/>
      <c r="K186" s="2"/>
      <c r="L186" s="2" t="s">
        <v>1238</v>
      </c>
      <c r="M186" s="2" t="s">
        <v>212</v>
      </c>
      <c r="N186" s="2" t="s">
        <v>2546</v>
      </c>
    </row>
    <row r="187" customFormat="false" ht="23.85" hidden="false" customHeight="false" outlineLevel="0" collapsed="false">
      <c r="A187" s="2" t="s">
        <v>1937</v>
      </c>
      <c r="B187" s="2" t="s">
        <v>531</v>
      </c>
      <c r="C187" s="2"/>
      <c r="D187" s="2"/>
      <c r="E187" s="2"/>
      <c r="F187" s="2"/>
      <c r="G187" s="2"/>
      <c r="H187" s="2"/>
      <c r="I187" s="2"/>
      <c r="J187" s="2"/>
      <c r="K187" s="2"/>
      <c r="L187" s="2" t="s">
        <v>1238</v>
      </c>
      <c r="M187" s="2" t="s">
        <v>212</v>
      </c>
      <c r="N187" s="2" t="s">
        <v>2546</v>
      </c>
    </row>
    <row r="188" customFormat="false" ht="23.85" hidden="false" customHeight="false" outlineLevel="0" collapsed="false">
      <c r="A188" s="2" t="s">
        <v>1941</v>
      </c>
      <c r="B188" s="2" t="s">
        <v>533</v>
      </c>
      <c r="C188" s="2"/>
      <c r="D188" s="2"/>
      <c r="E188" s="2"/>
      <c r="F188" s="2"/>
      <c r="G188" s="2"/>
      <c r="H188" s="2"/>
      <c r="I188" s="2"/>
      <c r="J188" s="2"/>
      <c r="K188" s="2"/>
      <c r="L188" s="2" t="s">
        <v>1238</v>
      </c>
      <c r="M188" s="2" t="s">
        <v>212</v>
      </c>
      <c r="N188" s="2" t="s">
        <v>2546</v>
      </c>
    </row>
    <row r="189" customFormat="false" ht="23.85" hidden="false" customHeight="false" outlineLevel="0" collapsed="false">
      <c r="A189" s="2" t="s">
        <v>1945</v>
      </c>
      <c r="B189" s="2" t="s">
        <v>535</v>
      </c>
      <c r="C189" s="2"/>
      <c r="D189" s="2"/>
      <c r="E189" s="2"/>
      <c r="F189" s="2"/>
      <c r="G189" s="2"/>
      <c r="H189" s="2"/>
      <c r="I189" s="2"/>
      <c r="J189" s="2"/>
      <c r="K189" s="2"/>
      <c r="L189" s="2" t="s">
        <v>1238</v>
      </c>
      <c r="M189" s="2" t="s">
        <v>212</v>
      </c>
      <c r="N189" s="2" t="s">
        <v>2546</v>
      </c>
    </row>
    <row r="190" customFormat="false" ht="23.85" hidden="false" customHeight="false" outlineLevel="0" collapsed="false">
      <c r="A190" s="2" t="s">
        <v>1948</v>
      </c>
      <c r="B190" s="2" t="s">
        <v>537</v>
      </c>
      <c r="C190" s="2"/>
      <c r="D190" s="2"/>
      <c r="E190" s="2"/>
      <c r="F190" s="2"/>
      <c r="G190" s="2"/>
      <c r="H190" s="2"/>
      <c r="I190" s="2"/>
      <c r="J190" s="2"/>
      <c r="K190" s="2"/>
      <c r="L190" s="2" t="s">
        <v>1238</v>
      </c>
      <c r="M190" s="2" t="s">
        <v>212</v>
      </c>
      <c r="N190" s="2" t="s">
        <v>2546</v>
      </c>
    </row>
    <row r="191" customFormat="false" ht="23.85" hidden="false" customHeight="false" outlineLevel="0" collapsed="false">
      <c r="A191" s="2" t="s">
        <v>1951</v>
      </c>
      <c r="B191" s="2" t="s">
        <v>539</v>
      </c>
      <c r="C191" s="2"/>
      <c r="D191" s="2"/>
      <c r="E191" s="2"/>
      <c r="F191" s="2"/>
      <c r="G191" s="2"/>
      <c r="H191" s="2"/>
      <c r="I191" s="2"/>
      <c r="J191" s="2"/>
      <c r="K191" s="2"/>
      <c r="L191" s="2" t="s">
        <v>1238</v>
      </c>
      <c r="M191" s="2" t="s">
        <v>212</v>
      </c>
      <c r="N191" s="2" t="s">
        <v>2546</v>
      </c>
    </row>
    <row r="192" customFormat="false" ht="23.85" hidden="false" customHeight="false" outlineLevel="0" collapsed="false">
      <c r="A192" s="2" t="s">
        <v>1954</v>
      </c>
      <c r="B192" s="2" t="s">
        <v>540</v>
      </c>
      <c r="C192" s="2"/>
      <c r="D192" s="2"/>
      <c r="E192" s="2"/>
      <c r="F192" s="2"/>
      <c r="G192" s="2"/>
      <c r="H192" s="2"/>
      <c r="I192" s="2"/>
      <c r="J192" s="2"/>
      <c r="K192" s="2"/>
      <c r="L192" s="2" t="s">
        <v>1238</v>
      </c>
      <c r="M192" s="2" t="s">
        <v>212</v>
      </c>
      <c r="N192" s="2" t="s">
        <v>2546</v>
      </c>
    </row>
    <row r="193" customFormat="false" ht="23.85" hidden="false" customHeight="false" outlineLevel="0" collapsed="false">
      <c r="A193" s="2" t="s">
        <v>1958</v>
      </c>
      <c r="B193" s="2" t="s">
        <v>541</v>
      </c>
      <c r="C193" s="2"/>
      <c r="D193" s="2"/>
      <c r="E193" s="2"/>
      <c r="F193" s="2"/>
      <c r="G193" s="2"/>
      <c r="H193" s="2"/>
      <c r="I193" s="2"/>
      <c r="J193" s="2"/>
      <c r="K193" s="2"/>
      <c r="L193" s="2" t="s">
        <v>1238</v>
      </c>
      <c r="M193" s="2" t="s">
        <v>212</v>
      </c>
      <c r="N193" s="2" t="s">
        <v>2546</v>
      </c>
    </row>
    <row r="194" customFormat="false" ht="23.85" hidden="false" customHeight="false" outlineLevel="0" collapsed="false">
      <c r="A194" s="2" t="s">
        <v>1962</v>
      </c>
      <c r="B194" s="2" t="s">
        <v>543</v>
      </c>
      <c r="C194" s="2"/>
      <c r="D194" s="2"/>
      <c r="E194" s="2"/>
      <c r="F194" s="2"/>
      <c r="G194" s="2"/>
      <c r="H194" s="2"/>
      <c r="I194" s="2"/>
      <c r="J194" s="2"/>
      <c r="K194" s="2"/>
      <c r="L194" s="2" t="s">
        <v>1238</v>
      </c>
      <c r="M194" s="2" t="s">
        <v>212</v>
      </c>
      <c r="N194" s="2" t="s">
        <v>2546</v>
      </c>
    </row>
    <row r="195" customFormat="false" ht="23.85" hidden="false" customHeight="false" outlineLevel="0" collapsed="false">
      <c r="A195" s="2" t="s">
        <v>1966</v>
      </c>
      <c r="B195" s="2" t="s">
        <v>545</v>
      </c>
      <c r="C195" s="2"/>
      <c r="D195" s="2"/>
      <c r="E195" s="2"/>
      <c r="F195" s="2"/>
      <c r="G195" s="2"/>
      <c r="H195" s="2"/>
      <c r="I195" s="2"/>
      <c r="J195" s="2"/>
      <c r="K195" s="2"/>
      <c r="L195" s="2" t="s">
        <v>1238</v>
      </c>
      <c r="M195" s="2" t="s">
        <v>212</v>
      </c>
      <c r="N195" s="2" t="s">
        <v>2546</v>
      </c>
    </row>
    <row r="196" customFormat="false" ht="23.85" hidden="false" customHeight="false" outlineLevel="0" collapsed="false">
      <c r="A196" s="2" t="s">
        <v>1969</v>
      </c>
      <c r="B196" s="2" t="s">
        <v>546</v>
      </c>
      <c r="C196" s="2"/>
      <c r="D196" s="2"/>
      <c r="E196" s="2"/>
      <c r="F196" s="2"/>
      <c r="G196" s="2"/>
      <c r="H196" s="2"/>
      <c r="I196" s="2"/>
      <c r="J196" s="2"/>
      <c r="K196" s="2"/>
      <c r="L196" s="2" t="s">
        <v>1238</v>
      </c>
      <c r="M196" s="2" t="s">
        <v>212</v>
      </c>
      <c r="N196" s="2" t="s">
        <v>2546</v>
      </c>
    </row>
    <row r="197" customFormat="false" ht="23.85" hidden="false" customHeight="false" outlineLevel="0" collapsed="false">
      <c r="A197" s="2" t="s">
        <v>1972</v>
      </c>
      <c r="B197" s="2" t="s">
        <v>547</v>
      </c>
      <c r="C197" s="2"/>
      <c r="D197" s="2"/>
      <c r="E197" s="2"/>
      <c r="F197" s="2"/>
      <c r="G197" s="2"/>
      <c r="H197" s="2"/>
      <c r="I197" s="2"/>
      <c r="J197" s="2"/>
      <c r="K197" s="2"/>
      <c r="L197" s="2" t="s">
        <v>1238</v>
      </c>
      <c r="M197" s="2" t="s">
        <v>212</v>
      </c>
      <c r="N197" s="2" t="s">
        <v>2546</v>
      </c>
    </row>
    <row r="198" customFormat="false" ht="23.85" hidden="false" customHeight="false" outlineLevel="0" collapsed="false">
      <c r="A198" s="2" t="s">
        <v>1976</v>
      </c>
      <c r="B198" s="2" t="s">
        <v>548</v>
      </c>
      <c r="C198" s="2"/>
      <c r="D198" s="2"/>
      <c r="E198" s="2"/>
      <c r="F198" s="2"/>
      <c r="G198" s="2"/>
      <c r="H198" s="2"/>
      <c r="I198" s="2"/>
      <c r="J198" s="2"/>
      <c r="K198" s="2"/>
      <c r="L198" s="2" t="s">
        <v>1238</v>
      </c>
      <c r="M198" s="2" t="s">
        <v>212</v>
      </c>
      <c r="N198" s="2" t="s">
        <v>2546</v>
      </c>
    </row>
    <row r="199" customFormat="false" ht="23.85" hidden="false" customHeight="false" outlineLevel="0" collapsed="false">
      <c r="A199" s="2" t="s">
        <v>1979</v>
      </c>
      <c r="B199" s="2" t="s">
        <v>550</v>
      </c>
      <c r="C199" s="2"/>
      <c r="D199" s="2"/>
      <c r="E199" s="2"/>
      <c r="F199" s="2"/>
      <c r="G199" s="2"/>
      <c r="H199" s="2"/>
      <c r="I199" s="2"/>
      <c r="J199" s="2"/>
      <c r="K199" s="2"/>
      <c r="L199" s="2" t="s">
        <v>1238</v>
      </c>
      <c r="M199" s="2" t="s">
        <v>212</v>
      </c>
      <c r="N199" s="2" t="s">
        <v>2546</v>
      </c>
    </row>
    <row r="200" customFormat="false" ht="23.85" hidden="false" customHeight="false" outlineLevel="0" collapsed="false">
      <c r="A200" s="2" t="s">
        <v>1982</v>
      </c>
      <c r="B200" s="2" t="s">
        <v>551</v>
      </c>
      <c r="C200" s="2"/>
      <c r="D200" s="2"/>
      <c r="E200" s="2"/>
      <c r="F200" s="2"/>
      <c r="G200" s="2"/>
      <c r="H200" s="2"/>
      <c r="I200" s="2"/>
      <c r="J200" s="2"/>
      <c r="K200" s="2"/>
      <c r="L200" s="2" t="s">
        <v>1238</v>
      </c>
      <c r="M200" s="2" t="s">
        <v>212</v>
      </c>
      <c r="N200" s="2" t="s">
        <v>2546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9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38"/>
  </cols>
  <sheetData>
    <row r="1" customFormat="false" ht="28.35" hidden="false" customHeight="false" outlineLevel="0" collapsed="false">
      <c r="A1" s="3" t="s">
        <v>682</v>
      </c>
      <c r="B1" s="3" t="s">
        <v>27</v>
      </c>
      <c r="C1" s="3" t="s">
        <v>2547</v>
      </c>
      <c r="D1" s="3" t="s">
        <v>2548</v>
      </c>
      <c r="E1" s="3" t="s">
        <v>2549</v>
      </c>
      <c r="F1" s="3" t="s">
        <v>2550</v>
      </c>
      <c r="G1" s="3" t="s">
        <v>26</v>
      </c>
      <c r="H1" s="3" t="s">
        <v>2357</v>
      </c>
      <c r="I1" s="3" t="s">
        <v>1014</v>
      </c>
    </row>
    <row r="2" customFormat="false" ht="23.85" hidden="false" customHeight="false" outlineLevel="0" collapsed="false">
      <c r="A2" s="2" t="s">
        <v>886</v>
      </c>
      <c r="B2" s="2" t="s">
        <v>149</v>
      </c>
      <c r="C2" s="2"/>
      <c r="D2" s="2"/>
      <c r="E2" s="2"/>
      <c r="F2" s="2"/>
      <c r="G2" s="2" t="s">
        <v>2551</v>
      </c>
      <c r="H2" s="2" t="s">
        <v>423</v>
      </c>
      <c r="I2" s="2" t="s">
        <v>2552</v>
      </c>
    </row>
    <row r="3" customFormat="false" ht="15" hidden="false" customHeight="false" outlineLevel="0" collapsed="false">
      <c r="A3" s="2" t="s">
        <v>788</v>
      </c>
      <c r="B3" s="2" t="s">
        <v>37</v>
      </c>
      <c r="C3" s="2"/>
      <c r="D3" s="2"/>
      <c r="E3" s="2"/>
      <c r="F3" s="2"/>
      <c r="G3" s="2" t="s">
        <v>2551</v>
      </c>
      <c r="H3" s="2" t="s">
        <v>2553</v>
      </c>
      <c r="I3" s="2" t="s">
        <v>2554</v>
      </c>
    </row>
    <row r="4" customFormat="false" ht="15" hidden="false" customHeight="false" outlineLevel="0" collapsed="false">
      <c r="A4" s="2" t="s">
        <v>770</v>
      </c>
      <c r="B4" s="2" t="s">
        <v>44</v>
      </c>
      <c r="C4" s="2"/>
      <c r="D4" s="2"/>
      <c r="E4" s="2"/>
      <c r="F4" s="2"/>
      <c r="G4" s="2" t="s">
        <v>2551</v>
      </c>
      <c r="H4" s="2" t="s">
        <v>2553</v>
      </c>
      <c r="I4" s="2" t="s">
        <v>2554</v>
      </c>
    </row>
    <row r="5" customFormat="false" ht="15" hidden="false" customHeight="false" outlineLevel="0" collapsed="false">
      <c r="A5" s="2" t="s">
        <v>828</v>
      </c>
      <c r="B5" s="2" t="s">
        <v>51</v>
      </c>
      <c r="C5" s="2"/>
      <c r="D5" s="2"/>
      <c r="E5" s="2"/>
      <c r="F5" s="2"/>
      <c r="G5" s="2" t="s">
        <v>45</v>
      </c>
      <c r="H5" s="2" t="s">
        <v>2553</v>
      </c>
      <c r="I5" s="2" t="s">
        <v>2554</v>
      </c>
    </row>
    <row r="6" customFormat="false" ht="15" hidden="false" customHeight="false" outlineLevel="0" collapsed="false">
      <c r="A6" s="2" t="s">
        <v>898</v>
      </c>
      <c r="B6" s="2" t="s">
        <v>62</v>
      </c>
      <c r="C6" s="2"/>
      <c r="D6" s="2"/>
      <c r="E6" s="2"/>
      <c r="F6" s="2"/>
      <c r="G6" s="2" t="s">
        <v>45</v>
      </c>
      <c r="H6" s="2" t="s">
        <v>2553</v>
      </c>
      <c r="I6" s="2" t="s">
        <v>2554</v>
      </c>
    </row>
    <row r="7" customFormat="false" ht="15" hidden="false" customHeight="false" outlineLevel="0" collapsed="false">
      <c r="A7" s="2" t="s">
        <v>760</v>
      </c>
      <c r="B7" s="2" t="s">
        <v>68</v>
      </c>
      <c r="C7" s="2"/>
      <c r="D7" s="2"/>
      <c r="E7" s="2"/>
      <c r="F7" s="2"/>
      <c r="G7" s="2" t="s">
        <v>45</v>
      </c>
      <c r="H7" s="2" t="s">
        <v>2553</v>
      </c>
      <c r="I7" s="2" t="s">
        <v>2554</v>
      </c>
    </row>
    <row r="8" customFormat="false" ht="15" hidden="false" customHeight="false" outlineLevel="0" collapsed="false">
      <c r="A8" s="2" t="s">
        <v>709</v>
      </c>
      <c r="B8" s="2" t="s">
        <v>70</v>
      </c>
      <c r="C8" s="2"/>
      <c r="D8" s="2"/>
      <c r="E8" s="2"/>
      <c r="F8" s="2"/>
      <c r="G8" s="2" t="s">
        <v>45</v>
      </c>
      <c r="H8" s="2" t="s">
        <v>2553</v>
      </c>
      <c r="I8" s="2" t="s">
        <v>2554</v>
      </c>
    </row>
    <row r="9" customFormat="false" ht="15" hidden="false" customHeight="false" outlineLevel="0" collapsed="false">
      <c r="A9" s="2" t="s">
        <v>722</v>
      </c>
      <c r="B9" s="2" t="s">
        <v>72</v>
      </c>
      <c r="C9" s="2"/>
      <c r="D9" s="2"/>
      <c r="E9" s="2"/>
      <c r="F9" s="2"/>
      <c r="G9" s="2" t="s">
        <v>45</v>
      </c>
      <c r="H9" s="2" t="s">
        <v>2553</v>
      </c>
      <c r="I9" s="2" t="s">
        <v>2554</v>
      </c>
    </row>
    <row r="10" customFormat="false" ht="15" hidden="false" customHeight="false" outlineLevel="0" collapsed="false">
      <c r="A10" s="2" t="s">
        <v>707</v>
      </c>
      <c r="B10" s="2" t="s">
        <v>74</v>
      </c>
      <c r="C10" s="2"/>
      <c r="D10" s="2"/>
      <c r="E10" s="2"/>
      <c r="F10" s="2"/>
      <c r="G10" s="2" t="s">
        <v>45</v>
      </c>
      <c r="H10" s="2" t="s">
        <v>2553</v>
      </c>
      <c r="I10" s="2" t="s">
        <v>2554</v>
      </c>
    </row>
    <row r="11" customFormat="false" ht="15" hidden="false" customHeight="false" outlineLevel="0" collapsed="false">
      <c r="A11" s="2" t="s">
        <v>717</v>
      </c>
      <c r="B11" s="2" t="s">
        <v>76</v>
      </c>
      <c r="C11" s="2"/>
      <c r="D11" s="2"/>
      <c r="E11" s="2"/>
      <c r="F11" s="2"/>
      <c r="G11" s="2" t="s">
        <v>45</v>
      </c>
      <c r="H11" s="2" t="s">
        <v>2553</v>
      </c>
      <c r="I11" s="2" t="s">
        <v>2554</v>
      </c>
    </row>
    <row r="12" customFormat="false" ht="15" hidden="false" customHeight="false" outlineLevel="0" collapsed="false">
      <c r="A12" s="2" t="s">
        <v>732</v>
      </c>
      <c r="B12" s="2" t="s">
        <v>77</v>
      </c>
      <c r="C12" s="2"/>
      <c r="D12" s="2"/>
      <c r="E12" s="2"/>
      <c r="F12" s="2"/>
      <c r="G12" s="2" t="s">
        <v>45</v>
      </c>
      <c r="H12" s="2" t="s">
        <v>2553</v>
      </c>
      <c r="I12" s="2" t="s">
        <v>2554</v>
      </c>
    </row>
    <row r="13" customFormat="false" ht="15" hidden="false" customHeight="false" outlineLevel="0" collapsed="false">
      <c r="A13" s="2" t="s">
        <v>711</v>
      </c>
      <c r="B13" s="2" t="s">
        <v>79</v>
      </c>
      <c r="C13" s="2"/>
      <c r="D13" s="2"/>
      <c r="E13" s="2"/>
      <c r="F13" s="2"/>
      <c r="G13" s="2" t="s">
        <v>45</v>
      </c>
      <c r="H13" s="2" t="s">
        <v>2553</v>
      </c>
      <c r="I13" s="2" t="s">
        <v>2554</v>
      </c>
    </row>
    <row r="14" customFormat="false" ht="15" hidden="false" customHeight="false" outlineLevel="0" collapsed="false">
      <c r="A14" s="2" t="s">
        <v>831</v>
      </c>
      <c r="B14" s="2" t="s">
        <v>80</v>
      </c>
      <c r="C14" s="2"/>
      <c r="D14" s="2"/>
      <c r="E14" s="2"/>
      <c r="F14" s="2"/>
      <c r="G14" s="2" t="s">
        <v>38</v>
      </c>
      <c r="H14" s="2" t="s">
        <v>2553</v>
      </c>
      <c r="I14" s="2" t="s">
        <v>2554</v>
      </c>
    </row>
    <row r="15" customFormat="false" ht="15" hidden="false" customHeight="false" outlineLevel="0" collapsed="false">
      <c r="A15" s="2" t="s">
        <v>740</v>
      </c>
      <c r="B15" s="2" t="s">
        <v>82</v>
      </c>
      <c r="C15" s="2"/>
      <c r="D15" s="2"/>
      <c r="E15" s="2"/>
      <c r="F15" s="2"/>
      <c r="G15" s="2" t="s">
        <v>38</v>
      </c>
      <c r="H15" s="2" t="s">
        <v>2553</v>
      </c>
      <c r="I15" s="2" t="s">
        <v>2554</v>
      </c>
    </row>
    <row r="16" customFormat="false" ht="15" hidden="false" customHeight="false" outlineLevel="0" collapsed="false">
      <c r="A16" s="2" t="s">
        <v>758</v>
      </c>
      <c r="B16" s="2" t="s">
        <v>84</v>
      </c>
      <c r="C16" s="2"/>
      <c r="D16" s="2"/>
      <c r="E16" s="2"/>
      <c r="F16" s="2"/>
      <c r="G16" s="2" t="s">
        <v>38</v>
      </c>
      <c r="H16" s="2" t="s">
        <v>2553</v>
      </c>
      <c r="I16" s="2" t="s">
        <v>2554</v>
      </c>
    </row>
    <row r="17" customFormat="false" ht="15" hidden="false" customHeight="false" outlineLevel="0" collapsed="false">
      <c r="A17" s="2" t="s">
        <v>736</v>
      </c>
      <c r="B17" s="2" t="s">
        <v>85</v>
      </c>
      <c r="C17" s="2"/>
      <c r="D17" s="2"/>
      <c r="E17" s="2"/>
      <c r="F17" s="2"/>
      <c r="G17" s="2" t="s">
        <v>38</v>
      </c>
      <c r="H17" s="2" t="s">
        <v>2553</v>
      </c>
      <c r="I17" s="2" t="s">
        <v>2554</v>
      </c>
    </row>
    <row r="18" customFormat="false" ht="15" hidden="false" customHeight="false" outlineLevel="0" collapsed="false">
      <c r="A18" s="2" t="s">
        <v>833</v>
      </c>
      <c r="B18" s="2" t="s">
        <v>86</v>
      </c>
      <c r="C18" s="2"/>
      <c r="D18" s="2"/>
      <c r="E18" s="2"/>
      <c r="F18" s="2"/>
      <c r="G18" s="2" t="s">
        <v>38</v>
      </c>
      <c r="H18" s="2" t="s">
        <v>2553</v>
      </c>
      <c r="I18" s="2" t="s">
        <v>2554</v>
      </c>
    </row>
    <row r="19" customFormat="false" ht="15" hidden="false" customHeight="false" outlineLevel="0" collapsed="false">
      <c r="A19" s="2" t="s">
        <v>734</v>
      </c>
      <c r="B19" s="2" t="s">
        <v>87</v>
      </c>
      <c r="C19" s="2"/>
      <c r="D19" s="2"/>
      <c r="E19" s="2"/>
      <c r="F19" s="2"/>
      <c r="G19" s="2" t="s">
        <v>38</v>
      </c>
      <c r="H19" s="2" t="s">
        <v>2553</v>
      </c>
      <c r="I19" s="2" t="s">
        <v>2554</v>
      </c>
    </row>
    <row r="20" customFormat="false" ht="15" hidden="false" customHeight="false" outlineLevel="0" collapsed="false">
      <c r="A20" s="2" t="s">
        <v>742</v>
      </c>
      <c r="B20" s="2" t="s">
        <v>88</v>
      </c>
      <c r="C20" s="2"/>
      <c r="D20" s="2"/>
      <c r="E20" s="2"/>
      <c r="F20" s="2"/>
      <c r="G20" s="2" t="s">
        <v>45</v>
      </c>
      <c r="H20" s="2" t="s">
        <v>2553</v>
      </c>
      <c r="I20" s="2" t="s">
        <v>2554</v>
      </c>
    </row>
    <row r="21" customFormat="false" ht="15" hidden="false" customHeight="false" outlineLevel="0" collapsed="false">
      <c r="A21" s="2" t="s">
        <v>784</v>
      </c>
      <c r="B21" s="2" t="s">
        <v>89</v>
      </c>
      <c r="C21" s="2"/>
      <c r="D21" s="2"/>
      <c r="E21" s="2"/>
      <c r="F21" s="2"/>
      <c r="G21" s="2" t="s">
        <v>45</v>
      </c>
      <c r="H21" s="2" t="s">
        <v>2553</v>
      </c>
      <c r="I21" s="2" t="s">
        <v>2554</v>
      </c>
    </row>
    <row r="22" customFormat="false" ht="15" hidden="false" customHeight="false" outlineLevel="0" collapsed="false">
      <c r="A22" s="2" t="s">
        <v>768</v>
      </c>
      <c r="B22" s="2" t="s">
        <v>90</v>
      </c>
      <c r="C22" s="2"/>
      <c r="D22" s="2"/>
      <c r="E22" s="2"/>
      <c r="F22" s="2"/>
      <c r="G22" s="2" t="s">
        <v>45</v>
      </c>
      <c r="H22" s="2" t="s">
        <v>2553</v>
      </c>
      <c r="I22" s="2" t="s">
        <v>2554</v>
      </c>
    </row>
    <row r="23" customFormat="false" ht="15" hidden="false" customHeight="false" outlineLevel="0" collapsed="false">
      <c r="A23" s="2" t="s">
        <v>750</v>
      </c>
      <c r="B23" s="2" t="s">
        <v>91</v>
      </c>
      <c r="C23" s="2"/>
      <c r="D23" s="2"/>
      <c r="E23" s="2"/>
      <c r="F23" s="2"/>
      <c r="G23" s="2" t="s">
        <v>58</v>
      </c>
      <c r="H23" s="2" t="s">
        <v>2553</v>
      </c>
      <c r="I23" s="2" t="s">
        <v>2554</v>
      </c>
    </row>
    <row r="24" customFormat="false" ht="15" hidden="false" customHeight="false" outlineLevel="0" collapsed="false">
      <c r="A24" s="2" t="s">
        <v>776</v>
      </c>
      <c r="B24" s="2" t="s">
        <v>92</v>
      </c>
      <c r="C24" s="2"/>
      <c r="D24" s="2"/>
      <c r="E24" s="2"/>
      <c r="F24" s="2"/>
      <c r="G24" s="2" t="s">
        <v>58</v>
      </c>
      <c r="H24" s="2" t="s">
        <v>2553</v>
      </c>
      <c r="I24" s="2" t="s">
        <v>2554</v>
      </c>
    </row>
    <row r="25" customFormat="false" ht="15" hidden="false" customHeight="false" outlineLevel="0" collapsed="false">
      <c r="A25" s="2" t="s">
        <v>775</v>
      </c>
      <c r="B25" s="2" t="s">
        <v>93</v>
      </c>
      <c r="C25" s="2"/>
      <c r="D25" s="2"/>
      <c r="E25" s="2"/>
      <c r="F25" s="2"/>
      <c r="G25" s="2" t="s">
        <v>58</v>
      </c>
      <c r="H25" s="2" t="s">
        <v>2553</v>
      </c>
      <c r="I25" s="2" t="s">
        <v>2554</v>
      </c>
    </row>
    <row r="26" customFormat="false" ht="15" hidden="false" customHeight="false" outlineLevel="0" collapsed="false">
      <c r="A26" s="2" t="s">
        <v>713</v>
      </c>
      <c r="B26" s="2" t="s">
        <v>94</v>
      </c>
      <c r="C26" s="2"/>
      <c r="D26" s="2"/>
      <c r="E26" s="2"/>
      <c r="F26" s="2"/>
      <c r="G26" s="2" t="s">
        <v>58</v>
      </c>
      <c r="H26" s="2" t="s">
        <v>2553</v>
      </c>
      <c r="I26" s="2" t="s">
        <v>2554</v>
      </c>
    </row>
    <row r="27" customFormat="false" ht="15" hidden="false" customHeight="false" outlineLevel="0" collapsed="false">
      <c r="A27" s="2" t="s">
        <v>792</v>
      </c>
      <c r="B27" s="2" t="s">
        <v>95</v>
      </c>
      <c r="C27" s="2"/>
      <c r="D27" s="2"/>
      <c r="E27" s="2"/>
      <c r="F27" s="2"/>
      <c r="G27" s="2" t="s">
        <v>58</v>
      </c>
      <c r="H27" s="2" t="s">
        <v>2553</v>
      </c>
      <c r="I27" s="2" t="s">
        <v>2554</v>
      </c>
    </row>
    <row r="28" customFormat="false" ht="15" hidden="false" customHeight="false" outlineLevel="0" collapsed="false">
      <c r="A28" s="2" t="s">
        <v>715</v>
      </c>
      <c r="B28" s="2" t="s">
        <v>96</v>
      </c>
      <c r="C28" s="2"/>
      <c r="D28" s="2"/>
      <c r="E28" s="2"/>
      <c r="F28" s="2"/>
      <c r="G28" s="2" t="s">
        <v>58</v>
      </c>
      <c r="H28" s="2" t="s">
        <v>2553</v>
      </c>
      <c r="I28" s="2" t="s">
        <v>2554</v>
      </c>
    </row>
    <row r="29" customFormat="false" ht="15" hidden="false" customHeight="false" outlineLevel="0" collapsed="false">
      <c r="A29" s="2" t="s">
        <v>795</v>
      </c>
      <c r="B29" s="2" t="s">
        <v>97</v>
      </c>
      <c r="C29" s="2"/>
      <c r="D29" s="2"/>
      <c r="E29" s="2"/>
      <c r="F29" s="2"/>
      <c r="G29" s="2" t="s">
        <v>58</v>
      </c>
      <c r="H29" s="2" t="s">
        <v>2553</v>
      </c>
      <c r="I29" s="2" t="s">
        <v>2554</v>
      </c>
    </row>
    <row r="30" customFormat="false" ht="15" hidden="false" customHeight="false" outlineLevel="0" collapsed="false">
      <c r="A30" s="2" t="s">
        <v>705</v>
      </c>
      <c r="B30" s="2" t="s">
        <v>98</v>
      </c>
      <c r="C30" s="2"/>
      <c r="D30" s="2"/>
      <c r="E30" s="2"/>
      <c r="F30" s="2"/>
      <c r="G30" s="2" t="s">
        <v>66</v>
      </c>
      <c r="H30" s="2" t="s">
        <v>2553</v>
      </c>
      <c r="I30" s="2" t="s">
        <v>2554</v>
      </c>
    </row>
    <row r="31" customFormat="false" ht="15" hidden="false" customHeight="false" outlineLevel="0" collapsed="false">
      <c r="A31" s="2" t="s">
        <v>746</v>
      </c>
      <c r="B31" s="2" t="s">
        <v>100</v>
      </c>
      <c r="C31" s="2"/>
      <c r="D31" s="2"/>
      <c r="E31" s="2"/>
      <c r="F31" s="2"/>
      <c r="G31" s="2" t="s">
        <v>66</v>
      </c>
      <c r="H31" s="2" t="s">
        <v>2553</v>
      </c>
      <c r="I31" s="2" t="s">
        <v>2554</v>
      </c>
    </row>
    <row r="32" customFormat="false" ht="15" hidden="false" customHeight="false" outlineLevel="0" collapsed="false">
      <c r="A32" s="2" t="s">
        <v>826</v>
      </c>
      <c r="B32" s="2" t="s">
        <v>101</v>
      </c>
      <c r="C32" s="2"/>
      <c r="D32" s="2"/>
      <c r="E32" s="2"/>
      <c r="F32" s="2"/>
      <c r="G32" s="2" t="s">
        <v>66</v>
      </c>
      <c r="H32" s="2" t="s">
        <v>2553</v>
      </c>
      <c r="I32" s="2" t="s">
        <v>2554</v>
      </c>
    </row>
    <row r="33" customFormat="false" ht="15" hidden="false" customHeight="false" outlineLevel="0" collapsed="false">
      <c r="A33" s="2" t="s">
        <v>800</v>
      </c>
      <c r="B33" s="2" t="s">
        <v>102</v>
      </c>
      <c r="C33" s="2"/>
      <c r="D33" s="2"/>
      <c r="E33" s="2"/>
      <c r="F33" s="2"/>
      <c r="G33" s="2" t="s">
        <v>66</v>
      </c>
      <c r="H33" s="2" t="s">
        <v>2553</v>
      </c>
      <c r="I33" s="2" t="s">
        <v>2554</v>
      </c>
    </row>
    <row r="34" customFormat="false" ht="23.85" hidden="false" customHeight="false" outlineLevel="0" collapsed="false">
      <c r="A34" s="2" t="s">
        <v>696</v>
      </c>
      <c r="B34" s="2" t="s">
        <v>103</v>
      </c>
      <c r="C34" s="2"/>
      <c r="D34" s="2"/>
      <c r="E34" s="2"/>
      <c r="F34" s="2"/>
      <c r="G34" s="2" t="s">
        <v>69</v>
      </c>
      <c r="H34" s="2" t="s">
        <v>2555</v>
      </c>
      <c r="I34" s="2" t="s">
        <v>2556</v>
      </c>
    </row>
    <row r="35" customFormat="false" ht="15" hidden="false" customHeight="false" outlineLevel="0" collapsed="false">
      <c r="A35" s="2" t="s">
        <v>698</v>
      </c>
      <c r="B35" s="2" t="s">
        <v>104</v>
      </c>
      <c r="C35" s="2"/>
      <c r="D35" s="2"/>
      <c r="E35" s="2"/>
      <c r="F35" s="2"/>
      <c r="G35" s="2" t="s">
        <v>69</v>
      </c>
      <c r="H35" s="2" t="s">
        <v>2553</v>
      </c>
      <c r="I35" s="2" t="s">
        <v>2554</v>
      </c>
    </row>
    <row r="36" customFormat="false" ht="15" hidden="false" customHeight="false" outlineLevel="0" collapsed="false">
      <c r="A36" s="2" t="s">
        <v>780</v>
      </c>
      <c r="B36" s="2" t="s">
        <v>105</v>
      </c>
      <c r="C36" s="2"/>
      <c r="D36" s="2"/>
      <c r="E36" s="2"/>
      <c r="F36" s="2"/>
      <c r="G36" s="2" t="s">
        <v>69</v>
      </c>
      <c r="H36" s="2" t="s">
        <v>2553</v>
      </c>
      <c r="I36" s="2" t="s">
        <v>2554</v>
      </c>
    </row>
    <row r="37" customFormat="false" ht="15" hidden="false" customHeight="false" outlineLevel="0" collapsed="false">
      <c r="A37" s="2" t="s">
        <v>702</v>
      </c>
      <c r="B37" s="2" t="s">
        <v>106</v>
      </c>
      <c r="C37" s="2"/>
      <c r="D37" s="2"/>
      <c r="E37" s="2"/>
      <c r="F37" s="2"/>
      <c r="G37" s="2" t="s">
        <v>69</v>
      </c>
      <c r="H37" s="2" t="s">
        <v>2553</v>
      </c>
      <c r="I37" s="2" t="s">
        <v>2554</v>
      </c>
    </row>
    <row r="38" customFormat="false" ht="15" hidden="false" customHeight="false" outlineLevel="0" collapsed="false">
      <c r="A38" s="2" t="s">
        <v>880</v>
      </c>
      <c r="B38" s="2" t="s">
        <v>107</v>
      </c>
      <c r="C38" s="2"/>
      <c r="D38" s="2"/>
      <c r="E38" s="2"/>
      <c r="F38" s="2"/>
      <c r="G38" s="2" t="s">
        <v>69</v>
      </c>
      <c r="H38" s="2" t="s">
        <v>2553</v>
      </c>
      <c r="I38" s="2" t="s">
        <v>2554</v>
      </c>
    </row>
    <row r="39" customFormat="false" ht="15" hidden="false" customHeight="false" outlineLevel="0" collapsed="false">
      <c r="A39" s="2" t="s">
        <v>762</v>
      </c>
      <c r="B39" s="2" t="s">
        <v>108</v>
      </c>
      <c r="C39" s="2"/>
      <c r="D39" s="2"/>
      <c r="E39" s="2"/>
      <c r="F39" s="2"/>
      <c r="G39" s="2" t="s">
        <v>69</v>
      </c>
      <c r="H39" s="2" t="s">
        <v>2553</v>
      </c>
      <c r="I39" s="2" t="s">
        <v>2554</v>
      </c>
    </row>
    <row r="40" customFormat="false" ht="15" hidden="false" customHeight="false" outlineLevel="0" collapsed="false">
      <c r="A40" s="2" t="s">
        <v>802</v>
      </c>
      <c r="B40" s="2" t="s">
        <v>109</v>
      </c>
      <c r="C40" s="2"/>
      <c r="D40" s="2"/>
      <c r="E40" s="2"/>
      <c r="F40" s="2"/>
      <c r="G40" s="2" t="s">
        <v>69</v>
      </c>
      <c r="H40" s="2" t="s">
        <v>2553</v>
      </c>
      <c r="I40" s="2" t="s">
        <v>2554</v>
      </c>
    </row>
    <row r="41" customFormat="false" ht="15" hidden="false" customHeight="false" outlineLevel="0" collapsed="false">
      <c r="A41" s="2" t="s">
        <v>825</v>
      </c>
      <c r="B41" s="2" t="s">
        <v>110</v>
      </c>
      <c r="C41" s="2"/>
      <c r="D41" s="2"/>
      <c r="E41" s="2"/>
      <c r="F41" s="2"/>
      <c r="G41" s="2" t="s">
        <v>69</v>
      </c>
      <c r="H41" s="2" t="s">
        <v>2553</v>
      </c>
      <c r="I41" s="2" t="s">
        <v>2554</v>
      </c>
    </row>
    <row r="42" customFormat="false" ht="15" hidden="false" customHeight="false" outlineLevel="0" collapsed="false">
      <c r="A42" s="2" t="s">
        <v>838</v>
      </c>
      <c r="B42" s="2" t="s">
        <v>111</v>
      </c>
      <c r="C42" s="2"/>
      <c r="D42" s="2"/>
      <c r="E42" s="2"/>
      <c r="F42" s="2"/>
      <c r="G42" s="2" t="s">
        <v>69</v>
      </c>
      <c r="H42" s="2" t="s">
        <v>2553</v>
      </c>
      <c r="I42" s="2" t="s">
        <v>2554</v>
      </c>
    </row>
    <row r="43" customFormat="false" ht="15" hidden="false" customHeight="false" outlineLevel="0" collapsed="false">
      <c r="A43" s="2" t="s">
        <v>846</v>
      </c>
      <c r="B43" s="2" t="s">
        <v>112</v>
      </c>
      <c r="C43" s="2"/>
      <c r="D43" s="2"/>
      <c r="E43" s="2"/>
      <c r="F43" s="2"/>
      <c r="G43" s="2" t="s">
        <v>69</v>
      </c>
      <c r="H43" s="2" t="s">
        <v>2553</v>
      </c>
      <c r="I43" s="2" t="s">
        <v>2554</v>
      </c>
    </row>
    <row r="44" customFormat="false" ht="15" hidden="false" customHeight="false" outlineLevel="0" collapsed="false">
      <c r="A44" s="2" t="s">
        <v>752</v>
      </c>
      <c r="B44" s="2" t="s">
        <v>113</v>
      </c>
      <c r="C44" s="2"/>
      <c r="D44" s="2"/>
      <c r="E44" s="2"/>
      <c r="F44" s="2"/>
      <c r="G44" s="2" t="s">
        <v>69</v>
      </c>
      <c r="H44" s="2" t="s">
        <v>2553</v>
      </c>
      <c r="I44" s="2" t="s">
        <v>2554</v>
      </c>
    </row>
    <row r="45" customFormat="false" ht="15" hidden="false" customHeight="false" outlineLevel="0" collapsed="false">
      <c r="A45" s="2" t="s">
        <v>852</v>
      </c>
      <c r="B45" s="2" t="s">
        <v>114</v>
      </c>
      <c r="C45" s="2"/>
      <c r="D45" s="2"/>
      <c r="E45" s="2"/>
      <c r="F45" s="2"/>
      <c r="G45" s="2" t="s">
        <v>69</v>
      </c>
      <c r="H45" s="2" t="s">
        <v>2553</v>
      </c>
      <c r="I45" s="2" t="s">
        <v>2554</v>
      </c>
    </row>
    <row r="46" customFormat="false" ht="15" hidden="false" customHeight="false" outlineLevel="0" collapsed="false">
      <c r="A46" s="2" t="s">
        <v>764</v>
      </c>
      <c r="B46" s="2" t="s">
        <v>115</v>
      </c>
      <c r="C46" s="2"/>
      <c r="D46" s="2"/>
      <c r="E46" s="2"/>
      <c r="F46" s="2"/>
      <c r="G46" s="2" t="s">
        <v>69</v>
      </c>
      <c r="H46" s="2" t="s">
        <v>2553</v>
      </c>
      <c r="I46" s="2" t="s">
        <v>2554</v>
      </c>
    </row>
    <row r="47" customFormat="false" ht="15" hidden="false" customHeight="false" outlineLevel="0" collapsed="false">
      <c r="A47" s="2" t="s">
        <v>772</v>
      </c>
      <c r="B47" s="2" t="s">
        <v>118</v>
      </c>
      <c r="C47" s="2"/>
      <c r="D47" s="2"/>
      <c r="E47" s="2"/>
      <c r="F47" s="2"/>
      <c r="G47" s="2" t="s">
        <v>69</v>
      </c>
      <c r="H47" s="2" t="s">
        <v>2553</v>
      </c>
      <c r="I47" s="2" t="s">
        <v>2554</v>
      </c>
    </row>
    <row r="48" customFormat="false" ht="15" hidden="false" customHeight="false" outlineLevel="0" collapsed="false">
      <c r="A48" s="2" t="s">
        <v>691</v>
      </c>
      <c r="B48" s="2" t="s">
        <v>119</v>
      </c>
      <c r="C48" s="2"/>
      <c r="D48" s="2"/>
      <c r="E48" s="2"/>
      <c r="F48" s="2"/>
      <c r="G48" s="2" t="s">
        <v>69</v>
      </c>
      <c r="H48" s="2" t="s">
        <v>2553</v>
      </c>
      <c r="I48" s="2" t="s">
        <v>2554</v>
      </c>
    </row>
    <row r="49" customFormat="false" ht="15" hidden="false" customHeight="false" outlineLevel="0" collapsed="false">
      <c r="A49" s="2" t="s">
        <v>843</v>
      </c>
      <c r="B49" s="2" t="s">
        <v>120</v>
      </c>
      <c r="C49" s="2"/>
      <c r="D49" s="2"/>
      <c r="E49" s="2"/>
      <c r="F49" s="2"/>
      <c r="G49" s="2" t="s">
        <v>69</v>
      </c>
      <c r="H49" s="2" t="s">
        <v>2553</v>
      </c>
      <c r="I49" s="2" t="s">
        <v>2554</v>
      </c>
    </row>
    <row r="50" customFormat="false" ht="15" hidden="false" customHeight="false" outlineLevel="0" collapsed="false">
      <c r="A50" s="2" t="s">
        <v>720</v>
      </c>
      <c r="B50" s="2" t="s">
        <v>121</v>
      </c>
      <c r="C50" s="2"/>
      <c r="D50" s="2"/>
      <c r="E50" s="2"/>
      <c r="F50" s="2"/>
      <c r="G50" s="2" t="s">
        <v>71</v>
      </c>
      <c r="H50" s="2" t="s">
        <v>2553</v>
      </c>
      <c r="I50" s="2" t="s">
        <v>2554</v>
      </c>
    </row>
    <row r="51" customFormat="false" ht="15" hidden="false" customHeight="false" outlineLevel="0" collapsed="false">
      <c r="A51" s="2" t="s">
        <v>786</v>
      </c>
      <c r="B51" s="2" t="s">
        <v>122</v>
      </c>
      <c r="C51" s="2"/>
      <c r="D51" s="2"/>
      <c r="E51" s="2"/>
      <c r="F51" s="2"/>
      <c r="G51" s="2" t="s">
        <v>71</v>
      </c>
      <c r="H51" s="2" t="s">
        <v>2553</v>
      </c>
      <c r="I51" s="2" t="s">
        <v>2554</v>
      </c>
    </row>
    <row r="52" customFormat="false" ht="15" hidden="false" customHeight="false" outlineLevel="0" collapsed="false">
      <c r="A52" s="2" t="s">
        <v>756</v>
      </c>
      <c r="B52" s="2" t="s">
        <v>123</v>
      </c>
      <c r="C52" s="2"/>
      <c r="D52" s="2"/>
      <c r="E52" s="2"/>
      <c r="F52" s="2"/>
      <c r="G52" s="2" t="s">
        <v>71</v>
      </c>
      <c r="H52" s="2" t="s">
        <v>2553</v>
      </c>
      <c r="I52" s="2" t="s">
        <v>2554</v>
      </c>
    </row>
    <row r="53" customFormat="false" ht="15" hidden="false" customHeight="false" outlineLevel="0" collapsed="false">
      <c r="A53" s="2" t="s">
        <v>754</v>
      </c>
      <c r="B53" s="2" t="s">
        <v>124</v>
      </c>
      <c r="C53" s="2"/>
      <c r="D53" s="2"/>
      <c r="E53" s="2"/>
      <c r="F53" s="2"/>
      <c r="G53" s="2" t="s">
        <v>71</v>
      </c>
      <c r="H53" s="2" t="s">
        <v>2553</v>
      </c>
      <c r="I53" s="2" t="s">
        <v>2554</v>
      </c>
    </row>
    <row r="54" customFormat="false" ht="15" hidden="false" customHeight="false" outlineLevel="0" collapsed="false">
      <c r="A54" s="2" t="s">
        <v>839</v>
      </c>
      <c r="B54" s="2" t="s">
        <v>125</v>
      </c>
      <c r="C54" s="2"/>
      <c r="D54" s="2"/>
      <c r="E54" s="2"/>
      <c r="F54" s="2"/>
      <c r="G54" s="2" t="s">
        <v>71</v>
      </c>
      <c r="H54" s="2" t="s">
        <v>2553</v>
      </c>
      <c r="I54" s="2" t="s">
        <v>2554</v>
      </c>
    </row>
    <row r="55" customFormat="false" ht="15" hidden="false" customHeight="false" outlineLevel="0" collapsed="false">
      <c r="A55" s="2" t="s">
        <v>808</v>
      </c>
      <c r="B55" s="2" t="s">
        <v>126</v>
      </c>
      <c r="C55" s="2"/>
      <c r="D55" s="2"/>
      <c r="E55" s="2"/>
      <c r="F55" s="2"/>
      <c r="G55" s="2" t="s">
        <v>71</v>
      </c>
      <c r="H55" s="2" t="s">
        <v>2553</v>
      </c>
      <c r="I55" s="2" t="s">
        <v>2554</v>
      </c>
    </row>
    <row r="56" customFormat="false" ht="15" hidden="false" customHeight="false" outlineLevel="0" collapsed="false">
      <c r="A56" s="2" t="s">
        <v>848</v>
      </c>
      <c r="B56" s="2" t="s">
        <v>127</v>
      </c>
      <c r="C56" s="2"/>
      <c r="D56" s="2"/>
      <c r="E56" s="2"/>
      <c r="F56" s="2"/>
      <c r="G56" s="2" t="s">
        <v>71</v>
      </c>
      <c r="H56" s="2" t="s">
        <v>2553</v>
      </c>
      <c r="I56" s="2" t="s">
        <v>2554</v>
      </c>
    </row>
    <row r="57" customFormat="false" ht="15" hidden="false" customHeight="false" outlineLevel="0" collapsed="false">
      <c r="A57" s="2" t="s">
        <v>836</v>
      </c>
      <c r="B57" s="2" t="s">
        <v>128</v>
      </c>
      <c r="C57" s="2"/>
      <c r="D57" s="2"/>
      <c r="E57" s="2"/>
      <c r="F57" s="2"/>
      <c r="G57" s="2" t="s">
        <v>71</v>
      </c>
      <c r="H57" s="2" t="s">
        <v>2553</v>
      </c>
      <c r="I57" s="2" t="s">
        <v>2554</v>
      </c>
    </row>
    <row r="58" customFormat="false" ht="15" hidden="false" customHeight="false" outlineLevel="0" collapsed="false">
      <c r="A58" s="2" t="s">
        <v>778</v>
      </c>
      <c r="B58" s="2" t="s">
        <v>129</v>
      </c>
      <c r="C58" s="2"/>
      <c r="D58" s="2"/>
      <c r="E58" s="2"/>
      <c r="F58" s="2"/>
      <c r="G58" s="2" t="s">
        <v>73</v>
      </c>
      <c r="H58" s="2" t="s">
        <v>2553</v>
      </c>
      <c r="I58" s="2" t="s">
        <v>2554</v>
      </c>
    </row>
    <row r="59" customFormat="false" ht="15" hidden="false" customHeight="false" outlineLevel="0" collapsed="false">
      <c r="A59" s="2" t="s">
        <v>793</v>
      </c>
      <c r="B59" s="2" t="s">
        <v>130</v>
      </c>
      <c r="C59" s="2"/>
      <c r="D59" s="2"/>
      <c r="E59" s="2"/>
      <c r="F59" s="2"/>
      <c r="G59" s="2" t="s">
        <v>73</v>
      </c>
      <c r="H59" s="2" t="s">
        <v>2553</v>
      </c>
      <c r="I59" s="2" t="s">
        <v>2554</v>
      </c>
    </row>
    <row r="60" customFormat="false" ht="15" hidden="false" customHeight="false" outlineLevel="0" collapsed="false">
      <c r="A60" s="2" t="s">
        <v>744</v>
      </c>
      <c r="B60" s="2" t="s">
        <v>131</v>
      </c>
      <c r="C60" s="2"/>
      <c r="D60" s="2"/>
      <c r="E60" s="2"/>
      <c r="F60" s="2"/>
      <c r="G60" s="2" t="s">
        <v>73</v>
      </c>
      <c r="H60" s="2" t="s">
        <v>2553</v>
      </c>
      <c r="I60" s="2" t="s">
        <v>2554</v>
      </c>
    </row>
    <row r="61" customFormat="false" ht="15" hidden="false" customHeight="false" outlineLevel="0" collapsed="false">
      <c r="A61" s="2" t="s">
        <v>748</v>
      </c>
      <c r="B61" s="2" t="s">
        <v>132</v>
      </c>
      <c r="C61" s="2"/>
      <c r="D61" s="2"/>
      <c r="E61" s="2"/>
      <c r="F61" s="2"/>
      <c r="G61" s="2" t="s">
        <v>75</v>
      </c>
      <c r="H61" s="2" t="s">
        <v>2553</v>
      </c>
      <c r="I61" s="2" t="s">
        <v>2554</v>
      </c>
    </row>
    <row r="62" customFormat="false" ht="15" hidden="false" customHeight="false" outlineLevel="0" collapsed="false">
      <c r="A62" s="2" t="s">
        <v>782</v>
      </c>
      <c r="B62" s="2" t="s">
        <v>133</v>
      </c>
      <c r="C62" s="2"/>
      <c r="D62" s="2"/>
      <c r="E62" s="2"/>
      <c r="F62" s="2"/>
      <c r="G62" s="2" t="s">
        <v>75</v>
      </c>
      <c r="H62" s="2" t="s">
        <v>2553</v>
      </c>
      <c r="I62" s="2" t="s">
        <v>2554</v>
      </c>
    </row>
    <row r="63" customFormat="false" ht="15" hidden="false" customHeight="false" outlineLevel="0" collapsed="false">
      <c r="A63" s="2" t="s">
        <v>726</v>
      </c>
      <c r="B63" s="2" t="s">
        <v>134</v>
      </c>
      <c r="C63" s="2"/>
      <c r="D63" s="2"/>
      <c r="E63" s="2"/>
      <c r="F63" s="2"/>
      <c r="G63" s="2" t="s">
        <v>75</v>
      </c>
      <c r="H63" s="2" t="s">
        <v>2553</v>
      </c>
      <c r="I63" s="2" t="s">
        <v>2554</v>
      </c>
    </row>
    <row r="64" customFormat="false" ht="15" hidden="false" customHeight="false" outlineLevel="0" collapsed="false">
      <c r="A64" s="2" t="s">
        <v>745</v>
      </c>
      <c r="B64" s="2" t="s">
        <v>135</v>
      </c>
      <c r="C64" s="2"/>
      <c r="D64" s="2"/>
      <c r="E64" s="2"/>
      <c r="F64" s="2"/>
      <c r="G64" s="2" t="s">
        <v>75</v>
      </c>
      <c r="H64" s="2" t="s">
        <v>2553</v>
      </c>
      <c r="I64" s="2" t="s">
        <v>2554</v>
      </c>
    </row>
    <row r="65" customFormat="false" ht="15" hidden="false" customHeight="false" outlineLevel="0" collapsed="false">
      <c r="A65" s="2" t="s">
        <v>728</v>
      </c>
      <c r="B65" s="2" t="s">
        <v>136</v>
      </c>
      <c r="C65" s="2"/>
      <c r="D65" s="2"/>
      <c r="E65" s="2"/>
      <c r="F65" s="2"/>
      <c r="G65" s="2" t="s">
        <v>75</v>
      </c>
      <c r="H65" s="2" t="s">
        <v>2553</v>
      </c>
      <c r="I65" s="2" t="s">
        <v>2554</v>
      </c>
    </row>
    <row r="66" customFormat="false" ht="15" hidden="false" customHeight="false" outlineLevel="0" collapsed="false">
      <c r="A66" s="2" t="s">
        <v>905</v>
      </c>
      <c r="B66" s="2" t="s">
        <v>137</v>
      </c>
      <c r="C66" s="2"/>
      <c r="D66" s="2"/>
      <c r="E66" s="2"/>
      <c r="F66" s="2"/>
      <c r="G66" s="2" t="s">
        <v>75</v>
      </c>
      <c r="H66" s="2" t="s">
        <v>2553</v>
      </c>
      <c r="I66" s="2" t="s">
        <v>2554</v>
      </c>
    </row>
    <row r="67" customFormat="false" ht="15" hidden="false" customHeight="false" outlineLevel="0" collapsed="false">
      <c r="A67" s="2" t="s">
        <v>730</v>
      </c>
      <c r="B67" s="2" t="s">
        <v>138</v>
      </c>
      <c r="C67" s="2"/>
      <c r="D67" s="2"/>
      <c r="E67" s="2"/>
      <c r="F67" s="2"/>
      <c r="G67" s="2" t="s">
        <v>75</v>
      </c>
      <c r="H67" s="2" t="s">
        <v>2553</v>
      </c>
      <c r="I67" s="2" t="s">
        <v>2554</v>
      </c>
    </row>
    <row r="68" customFormat="false" ht="15" hidden="false" customHeight="false" outlineLevel="0" collapsed="false">
      <c r="A68" s="2" t="s">
        <v>694</v>
      </c>
      <c r="B68" s="2" t="s">
        <v>139</v>
      </c>
      <c r="C68" s="2"/>
      <c r="D68" s="2"/>
      <c r="E68" s="2"/>
      <c r="F68" s="2"/>
      <c r="G68" s="2" t="s">
        <v>75</v>
      </c>
      <c r="H68" s="2" t="s">
        <v>2553</v>
      </c>
      <c r="I68" s="2" t="s">
        <v>2554</v>
      </c>
    </row>
    <row r="69" customFormat="false" ht="15" hidden="false" customHeight="false" outlineLevel="0" collapsed="false">
      <c r="A69" s="2" t="s">
        <v>798</v>
      </c>
      <c r="B69" s="2" t="s">
        <v>140</v>
      </c>
      <c r="C69" s="2"/>
      <c r="D69" s="2"/>
      <c r="E69" s="2"/>
      <c r="F69" s="2"/>
      <c r="G69" s="2" t="s">
        <v>75</v>
      </c>
      <c r="H69" s="2" t="s">
        <v>2553</v>
      </c>
      <c r="I69" s="2" t="s">
        <v>2554</v>
      </c>
    </row>
    <row r="70" customFormat="false" ht="15" hidden="false" customHeight="false" outlineLevel="0" collapsed="false">
      <c r="A70" s="2" t="s">
        <v>700</v>
      </c>
      <c r="B70" s="2" t="s">
        <v>141</v>
      </c>
      <c r="C70" s="2"/>
      <c r="D70" s="2"/>
      <c r="E70" s="2"/>
      <c r="F70" s="2"/>
      <c r="G70" s="2" t="s">
        <v>75</v>
      </c>
      <c r="H70" s="2" t="s">
        <v>2553</v>
      </c>
      <c r="I70" s="2" t="s">
        <v>2554</v>
      </c>
    </row>
    <row r="71" customFormat="false" ht="15" hidden="false" customHeight="false" outlineLevel="0" collapsed="false">
      <c r="A71" s="2" t="s">
        <v>724</v>
      </c>
      <c r="B71" s="2" t="s">
        <v>142</v>
      </c>
      <c r="C71" s="2"/>
      <c r="D71" s="2"/>
      <c r="E71" s="2"/>
      <c r="F71" s="2"/>
      <c r="G71" s="2" t="s">
        <v>75</v>
      </c>
      <c r="H71" s="2" t="s">
        <v>2553</v>
      </c>
      <c r="I71" s="2" t="s">
        <v>2554</v>
      </c>
    </row>
    <row r="72" customFormat="false" ht="15" hidden="false" customHeight="false" outlineLevel="0" collapsed="false">
      <c r="A72" s="2" t="s">
        <v>766</v>
      </c>
      <c r="B72" s="2" t="s">
        <v>143</v>
      </c>
      <c r="C72" s="2"/>
      <c r="D72" s="2"/>
      <c r="E72" s="2"/>
      <c r="F72" s="2"/>
      <c r="G72" s="2" t="s">
        <v>75</v>
      </c>
      <c r="H72" s="2" t="s">
        <v>2553</v>
      </c>
      <c r="I72" s="2" t="s">
        <v>2554</v>
      </c>
    </row>
    <row r="73" customFormat="false" ht="15" hidden="false" customHeight="false" outlineLevel="0" collapsed="false">
      <c r="A73" s="2" t="s">
        <v>738</v>
      </c>
      <c r="B73" s="2" t="s">
        <v>144</v>
      </c>
      <c r="C73" s="2"/>
      <c r="D73" s="2"/>
      <c r="E73" s="2"/>
      <c r="F73" s="2"/>
      <c r="G73" s="2" t="s">
        <v>75</v>
      </c>
      <c r="H73" s="2" t="s">
        <v>2553</v>
      </c>
      <c r="I73" s="2" t="s">
        <v>2554</v>
      </c>
    </row>
    <row r="74" customFormat="false" ht="15" hidden="false" customHeight="false" outlineLevel="0" collapsed="false">
      <c r="A74" s="2" t="s">
        <v>806</v>
      </c>
      <c r="B74" s="2" t="s">
        <v>145</v>
      </c>
      <c r="C74" s="2"/>
      <c r="D74" s="2"/>
      <c r="E74" s="2"/>
      <c r="F74" s="2"/>
      <c r="G74" s="2" t="s">
        <v>75</v>
      </c>
      <c r="H74" s="2" t="s">
        <v>2553</v>
      </c>
      <c r="I74" s="2" t="s">
        <v>2554</v>
      </c>
    </row>
    <row r="75" customFormat="false" ht="15" hidden="false" customHeight="false" outlineLevel="0" collapsed="false">
      <c r="A75" s="2" t="s">
        <v>883</v>
      </c>
      <c r="B75" s="2" t="s">
        <v>146</v>
      </c>
      <c r="C75" s="2"/>
      <c r="D75" s="2"/>
      <c r="E75" s="2"/>
      <c r="F75" s="2"/>
      <c r="G75" s="2" t="s">
        <v>75</v>
      </c>
      <c r="H75" s="2" t="s">
        <v>2553</v>
      </c>
      <c r="I75" s="2" t="s">
        <v>2554</v>
      </c>
    </row>
    <row r="76" customFormat="false" ht="15" hidden="false" customHeight="false" outlineLevel="0" collapsed="false">
      <c r="A76" s="2" t="s">
        <v>804</v>
      </c>
      <c r="B76" s="2" t="s">
        <v>147</v>
      </c>
      <c r="C76" s="2"/>
      <c r="D76" s="2"/>
      <c r="E76" s="2"/>
      <c r="F76" s="2"/>
      <c r="G76" s="2" t="s">
        <v>75</v>
      </c>
      <c r="H76" s="2" t="s">
        <v>2553</v>
      </c>
      <c r="I76" s="2" t="s">
        <v>2554</v>
      </c>
    </row>
    <row r="77" customFormat="false" ht="15" hidden="false" customHeight="false" outlineLevel="0" collapsed="false">
      <c r="A77" s="2" t="s">
        <v>884</v>
      </c>
      <c r="B77" s="2" t="s">
        <v>148</v>
      </c>
      <c r="C77" s="2"/>
      <c r="D77" s="2"/>
      <c r="E77" s="2"/>
      <c r="F77" s="2"/>
      <c r="G77" s="2" t="s">
        <v>75</v>
      </c>
      <c r="H77" s="2" t="s">
        <v>2553</v>
      </c>
      <c r="I77" s="2" t="s">
        <v>2554</v>
      </c>
    </row>
    <row r="78" customFormat="false" ht="23.85" hidden="false" customHeight="false" outlineLevel="0" collapsed="false">
      <c r="A78" s="2" t="s">
        <v>959</v>
      </c>
      <c r="B78" s="2" t="s">
        <v>57</v>
      </c>
      <c r="C78" s="2"/>
      <c r="D78" s="2"/>
      <c r="E78" s="2"/>
      <c r="F78" s="2"/>
      <c r="G78" s="2" t="s">
        <v>45</v>
      </c>
      <c r="H78" s="2" t="s">
        <v>2553</v>
      </c>
      <c r="I78" s="2" t="s">
        <v>2557</v>
      </c>
    </row>
    <row r="79" customFormat="false" ht="23.85" hidden="false" customHeight="false" outlineLevel="0" collapsed="false">
      <c r="A79" s="2" t="s">
        <v>965</v>
      </c>
      <c r="B79" s="2" t="s">
        <v>65</v>
      </c>
      <c r="C79" s="2"/>
      <c r="D79" s="2"/>
      <c r="E79" s="2"/>
      <c r="F79" s="2"/>
      <c r="G79" s="2" t="s">
        <v>45</v>
      </c>
      <c r="H79" s="2" t="s">
        <v>2553</v>
      </c>
      <c r="I79" s="2" t="s">
        <v>2557</v>
      </c>
    </row>
    <row r="80" customFormat="false" ht="23.85" hidden="false" customHeight="false" outlineLevel="0" collapsed="false">
      <c r="A80" s="2" t="s">
        <v>933</v>
      </c>
      <c r="B80" s="2" t="s">
        <v>78</v>
      </c>
      <c r="C80" s="2"/>
      <c r="D80" s="2"/>
      <c r="E80" s="2"/>
      <c r="F80" s="2"/>
      <c r="G80" s="2" t="s">
        <v>45</v>
      </c>
      <c r="H80" s="2" t="s">
        <v>2553</v>
      </c>
      <c r="I80" s="2" t="s">
        <v>2557</v>
      </c>
    </row>
    <row r="81" customFormat="false" ht="23.85" hidden="false" customHeight="false" outlineLevel="0" collapsed="false">
      <c r="A81" s="2" t="s">
        <v>1009</v>
      </c>
      <c r="B81" s="2" t="s">
        <v>81</v>
      </c>
      <c r="C81" s="2"/>
      <c r="D81" s="2"/>
      <c r="E81" s="2"/>
      <c r="F81" s="2"/>
      <c r="G81" s="2" t="s">
        <v>2558</v>
      </c>
      <c r="H81" s="2" t="s">
        <v>2553</v>
      </c>
      <c r="I81" s="2" t="s">
        <v>2557</v>
      </c>
    </row>
    <row r="82" customFormat="false" ht="23.85" hidden="false" customHeight="false" outlineLevel="0" collapsed="false">
      <c r="A82" s="2" t="s">
        <v>938</v>
      </c>
      <c r="B82" s="2" t="s">
        <v>83</v>
      </c>
      <c r="C82" s="2"/>
      <c r="D82" s="2"/>
      <c r="E82" s="2"/>
      <c r="F82" s="2"/>
      <c r="G82" s="2" t="s">
        <v>2558</v>
      </c>
      <c r="H82" s="2" t="s">
        <v>2553</v>
      </c>
      <c r="I82" s="2" t="s">
        <v>2557</v>
      </c>
    </row>
    <row r="83" customFormat="false" ht="23.85" hidden="false" customHeight="false" outlineLevel="0" collapsed="false">
      <c r="A83" s="2" t="s">
        <v>992</v>
      </c>
      <c r="B83" s="2" t="s">
        <v>99</v>
      </c>
      <c r="C83" s="2"/>
      <c r="D83" s="2"/>
      <c r="E83" s="2"/>
      <c r="F83" s="2"/>
      <c r="G83" s="2" t="s">
        <v>66</v>
      </c>
      <c r="H83" s="2" t="s">
        <v>2553</v>
      </c>
      <c r="I83" s="2" t="s">
        <v>2557</v>
      </c>
    </row>
    <row r="84" customFormat="false" ht="23.85" hidden="false" customHeight="false" outlineLevel="0" collapsed="false">
      <c r="A84" s="2" t="s">
        <v>970</v>
      </c>
      <c r="B84" s="2" t="s">
        <v>116</v>
      </c>
      <c r="C84" s="2"/>
      <c r="D84" s="2"/>
      <c r="E84" s="2"/>
      <c r="F84" s="2"/>
      <c r="G84" s="2" t="s">
        <v>69</v>
      </c>
      <c r="H84" s="2" t="s">
        <v>2553</v>
      </c>
      <c r="I84" s="2" t="s">
        <v>2557</v>
      </c>
    </row>
    <row r="85" customFormat="false" ht="23.85" hidden="false" customHeight="false" outlineLevel="0" collapsed="false">
      <c r="A85" s="2" t="s">
        <v>967</v>
      </c>
      <c r="B85" s="2" t="s">
        <v>117</v>
      </c>
      <c r="C85" s="2"/>
      <c r="D85" s="2"/>
      <c r="E85" s="2"/>
      <c r="F85" s="2"/>
      <c r="G85" s="2" t="s">
        <v>69</v>
      </c>
      <c r="H85" s="2" t="s">
        <v>2553</v>
      </c>
      <c r="I85" s="2" t="s">
        <v>2557</v>
      </c>
    </row>
  </sheetData>
  <autoFilter ref="A1:I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9"/>
    <col collapsed="false" customWidth="true" hidden="false" outlineLevel="0" max="7" min="7" style="0" width="21"/>
    <col collapsed="false" customWidth="true" hidden="false" outlineLevel="0" max="8" min="8" style="0" width="24"/>
  </cols>
  <sheetData>
    <row r="1" customFormat="false" ht="28.35" hidden="false" customHeight="false" outlineLevel="0" collapsed="false">
      <c r="A1" s="3" t="s">
        <v>2559</v>
      </c>
      <c r="B1" s="3" t="s">
        <v>22</v>
      </c>
      <c r="C1" s="3" t="s">
        <v>682</v>
      </c>
      <c r="D1" s="3" t="s">
        <v>27</v>
      </c>
      <c r="E1" s="3" t="s">
        <v>683</v>
      </c>
      <c r="F1" s="3" t="s">
        <v>2560</v>
      </c>
      <c r="G1" s="3" t="s">
        <v>32</v>
      </c>
      <c r="H1" s="3" t="s">
        <v>1014</v>
      </c>
    </row>
    <row r="2" customFormat="false" ht="15" hidden="false" customHeight="false" outlineLevel="0" collapsed="false">
      <c r="A2" s="2" t="s">
        <v>2561</v>
      </c>
      <c r="B2" s="2" t="s">
        <v>209</v>
      </c>
      <c r="C2" s="2" t="s">
        <v>691</v>
      </c>
      <c r="D2" s="2" t="s">
        <v>119</v>
      </c>
      <c r="E2" s="2" t="n">
        <v>1</v>
      </c>
      <c r="F2" s="2" t="s">
        <v>2562</v>
      </c>
      <c r="G2" s="2" t="s">
        <v>212</v>
      </c>
      <c r="H2" s="2" t="s">
        <v>2563</v>
      </c>
    </row>
    <row r="3" customFormat="false" ht="15" hidden="false" customHeight="false" outlineLevel="0" collapsed="false">
      <c r="A3" s="2" t="s">
        <v>2564</v>
      </c>
      <c r="B3" s="2" t="s">
        <v>213</v>
      </c>
      <c r="C3" s="2" t="s">
        <v>694</v>
      </c>
      <c r="D3" s="2" t="s">
        <v>139</v>
      </c>
      <c r="E3" s="2" t="n">
        <v>1</v>
      </c>
      <c r="F3" s="2" t="s">
        <v>2562</v>
      </c>
      <c r="G3" s="2" t="s">
        <v>212</v>
      </c>
      <c r="H3" s="2" t="s">
        <v>2563</v>
      </c>
    </row>
    <row r="4" customFormat="false" ht="15" hidden="false" customHeight="false" outlineLevel="0" collapsed="false">
      <c r="A4" s="2" t="s">
        <v>2565</v>
      </c>
      <c r="B4" s="2" t="s">
        <v>216</v>
      </c>
      <c r="C4" s="2" t="s">
        <v>696</v>
      </c>
      <c r="D4" s="2" t="s">
        <v>103</v>
      </c>
      <c r="E4" s="2" t="n">
        <v>1</v>
      </c>
      <c r="F4" s="2" t="s">
        <v>2562</v>
      </c>
      <c r="G4" s="2" t="s">
        <v>212</v>
      </c>
      <c r="H4" s="2" t="s">
        <v>2563</v>
      </c>
    </row>
    <row r="5" customFormat="false" ht="15" hidden="false" customHeight="false" outlineLevel="0" collapsed="false">
      <c r="A5" s="2" t="s">
        <v>2566</v>
      </c>
      <c r="B5" s="2" t="s">
        <v>218</v>
      </c>
      <c r="C5" s="2" t="s">
        <v>698</v>
      </c>
      <c r="D5" s="2" t="s">
        <v>104</v>
      </c>
      <c r="E5" s="2" t="n">
        <v>1</v>
      </c>
      <c r="F5" s="2" t="s">
        <v>2562</v>
      </c>
      <c r="G5" s="2" t="s">
        <v>212</v>
      </c>
      <c r="H5" s="2" t="s">
        <v>2563</v>
      </c>
    </row>
    <row r="6" customFormat="false" ht="15" hidden="false" customHeight="false" outlineLevel="0" collapsed="false">
      <c r="A6" s="2" t="s">
        <v>2567</v>
      </c>
      <c r="B6" s="2" t="s">
        <v>220</v>
      </c>
      <c r="C6" s="2" t="s">
        <v>700</v>
      </c>
      <c r="D6" s="2" t="s">
        <v>141</v>
      </c>
      <c r="E6" s="2" t="n">
        <v>1</v>
      </c>
      <c r="F6" s="2" t="s">
        <v>2562</v>
      </c>
      <c r="G6" s="2" t="s">
        <v>212</v>
      </c>
      <c r="H6" s="2" t="s">
        <v>2563</v>
      </c>
    </row>
    <row r="7" customFormat="false" ht="15" hidden="false" customHeight="false" outlineLevel="0" collapsed="false">
      <c r="A7" s="2" t="s">
        <v>2568</v>
      </c>
      <c r="B7" s="2" t="s">
        <v>222</v>
      </c>
      <c r="C7" s="2" t="s">
        <v>702</v>
      </c>
      <c r="D7" s="2" t="s">
        <v>106</v>
      </c>
      <c r="E7" s="2" t="n">
        <v>1</v>
      </c>
      <c r="F7" s="2" t="s">
        <v>2562</v>
      </c>
      <c r="G7" s="2" t="s">
        <v>212</v>
      </c>
      <c r="H7" s="2" t="s">
        <v>2563</v>
      </c>
    </row>
    <row r="8" customFormat="false" ht="15" hidden="false" customHeight="false" outlineLevel="0" collapsed="false">
      <c r="A8" s="2" t="s">
        <v>2569</v>
      </c>
      <c r="B8" s="2" t="s">
        <v>224</v>
      </c>
      <c r="C8" s="2" t="s">
        <v>700</v>
      </c>
      <c r="D8" s="2" t="s">
        <v>141</v>
      </c>
      <c r="E8" s="2" t="n">
        <v>1</v>
      </c>
      <c r="F8" s="2" t="s">
        <v>2562</v>
      </c>
      <c r="G8" s="2" t="s">
        <v>212</v>
      </c>
      <c r="H8" s="2" t="s">
        <v>2563</v>
      </c>
    </row>
    <row r="9" customFormat="false" ht="15" hidden="false" customHeight="false" outlineLevel="0" collapsed="false">
      <c r="A9" s="2" t="s">
        <v>2570</v>
      </c>
      <c r="B9" s="2" t="s">
        <v>226</v>
      </c>
      <c r="C9" s="2" t="s">
        <v>705</v>
      </c>
      <c r="D9" s="2" t="s">
        <v>98</v>
      </c>
      <c r="E9" s="2" t="n">
        <v>1</v>
      </c>
      <c r="F9" s="2" t="s">
        <v>2562</v>
      </c>
      <c r="G9" s="2" t="s">
        <v>212</v>
      </c>
      <c r="H9" s="2" t="s">
        <v>2563</v>
      </c>
    </row>
    <row r="10" customFormat="false" ht="15" hidden="false" customHeight="false" outlineLevel="0" collapsed="false">
      <c r="A10" s="2" t="s">
        <v>2571</v>
      </c>
      <c r="B10" s="2" t="s">
        <v>226</v>
      </c>
      <c r="C10" s="2" t="s">
        <v>700</v>
      </c>
      <c r="D10" s="2" t="s">
        <v>141</v>
      </c>
      <c r="E10" s="2" t="n">
        <v>2</v>
      </c>
      <c r="F10" s="2" t="s">
        <v>2562</v>
      </c>
      <c r="G10" s="2" t="s">
        <v>212</v>
      </c>
      <c r="H10" s="2" t="s">
        <v>2563</v>
      </c>
    </row>
    <row r="11" customFormat="false" ht="15" hidden="false" customHeight="false" outlineLevel="0" collapsed="false">
      <c r="A11" s="2" t="s">
        <v>2572</v>
      </c>
      <c r="B11" s="2" t="s">
        <v>228</v>
      </c>
      <c r="C11" s="2" t="s">
        <v>707</v>
      </c>
      <c r="D11" s="2" t="s">
        <v>74</v>
      </c>
      <c r="E11" s="2" t="n">
        <v>1</v>
      </c>
      <c r="F11" s="2" t="s">
        <v>2562</v>
      </c>
      <c r="G11" s="2" t="s">
        <v>212</v>
      </c>
      <c r="H11" s="2" t="s">
        <v>2563</v>
      </c>
    </row>
    <row r="12" customFormat="false" ht="15" hidden="false" customHeight="false" outlineLevel="0" collapsed="false">
      <c r="A12" s="2" t="s">
        <v>2573</v>
      </c>
      <c r="B12" s="2" t="s">
        <v>231</v>
      </c>
      <c r="C12" s="2" t="s">
        <v>709</v>
      </c>
      <c r="D12" s="2" t="s">
        <v>70</v>
      </c>
      <c r="E12" s="2" t="n">
        <v>1</v>
      </c>
      <c r="F12" s="2" t="s">
        <v>2562</v>
      </c>
      <c r="G12" s="2" t="s">
        <v>212</v>
      </c>
      <c r="H12" s="2" t="s">
        <v>2563</v>
      </c>
    </row>
    <row r="13" customFormat="false" ht="15" hidden="false" customHeight="false" outlineLevel="0" collapsed="false">
      <c r="A13" s="2" t="s">
        <v>2574</v>
      </c>
      <c r="B13" s="2" t="s">
        <v>234</v>
      </c>
      <c r="C13" s="2" t="s">
        <v>711</v>
      </c>
      <c r="D13" s="2" t="s">
        <v>79</v>
      </c>
      <c r="E13" s="2" t="n">
        <v>1</v>
      </c>
      <c r="F13" s="2" t="s">
        <v>2562</v>
      </c>
      <c r="G13" s="2" t="s">
        <v>212</v>
      </c>
      <c r="H13" s="2" t="s">
        <v>2563</v>
      </c>
    </row>
    <row r="14" customFormat="false" ht="15" hidden="false" customHeight="false" outlineLevel="0" collapsed="false">
      <c r="A14" s="2" t="s">
        <v>2575</v>
      </c>
      <c r="B14" s="2" t="s">
        <v>236</v>
      </c>
      <c r="C14" s="2" t="s">
        <v>713</v>
      </c>
      <c r="D14" s="2" t="s">
        <v>94</v>
      </c>
      <c r="E14" s="2" t="n">
        <v>1</v>
      </c>
      <c r="F14" s="2" t="s">
        <v>2562</v>
      </c>
      <c r="G14" s="2" t="s">
        <v>212</v>
      </c>
      <c r="H14" s="2" t="s">
        <v>2563</v>
      </c>
    </row>
    <row r="15" customFormat="false" ht="15" hidden="false" customHeight="false" outlineLevel="0" collapsed="false">
      <c r="A15" s="2" t="s">
        <v>2576</v>
      </c>
      <c r="B15" s="2" t="s">
        <v>238</v>
      </c>
      <c r="C15" s="2" t="s">
        <v>713</v>
      </c>
      <c r="D15" s="2" t="s">
        <v>94</v>
      </c>
      <c r="E15" s="2" t="n">
        <v>1</v>
      </c>
      <c r="F15" s="2" t="s">
        <v>2562</v>
      </c>
      <c r="G15" s="2" t="s">
        <v>212</v>
      </c>
      <c r="H15" s="2" t="s">
        <v>2563</v>
      </c>
    </row>
    <row r="16" customFormat="false" ht="15" hidden="false" customHeight="false" outlineLevel="0" collapsed="false">
      <c r="A16" s="2" t="s">
        <v>2577</v>
      </c>
      <c r="B16" s="2" t="s">
        <v>238</v>
      </c>
      <c r="C16" s="2" t="s">
        <v>715</v>
      </c>
      <c r="D16" s="2" t="s">
        <v>96</v>
      </c>
      <c r="E16" s="2" t="n">
        <v>2</v>
      </c>
      <c r="F16" s="2" t="s">
        <v>2562</v>
      </c>
      <c r="G16" s="2" t="s">
        <v>212</v>
      </c>
      <c r="H16" s="2" t="s">
        <v>2563</v>
      </c>
    </row>
    <row r="17" customFormat="false" ht="15" hidden="false" customHeight="false" outlineLevel="0" collapsed="false">
      <c r="A17" s="2" t="s">
        <v>2578</v>
      </c>
      <c r="B17" s="2" t="s">
        <v>240</v>
      </c>
      <c r="C17" s="2" t="s">
        <v>717</v>
      </c>
      <c r="D17" s="2" t="s">
        <v>76</v>
      </c>
      <c r="E17" s="2" t="n">
        <v>1</v>
      </c>
      <c r="F17" s="2" t="s">
        <v>2562</v>
      </c>
      <c r="G17" s="2" t="s">
        <v>212</v>
      </c>
      <c r="H17" s="2" t="s">
        <v>2563</v>
      </c>
    </row>
    <row r="18" customFormat="false" ht="15" hidden="false" customHeight="false" outlineLevel="0" collapsed="false">
      <c r="A18" s="2" t="s">
        <v>2579</v>
      </c>
      <c r="B18" s="2" t="s">
        <v>242</v>
      </c>
      <c r="C18" s="2" t="s">
        <v>715</v>
      </c>
      <c r="D18" s="2" t="s">
        <v>96</v>
      </c>
      <c r="E18" s="2" t="n">
        <v>1</v>
      </c>
      <c r="F18" s="2" t="s">
        <v>2562</v>
      </c>
      <c r="G18" s="2" t="s">
        <v>212</v>
      </c>
      <c r="H18" s="2" t="s">
        <v>2563</v>
      </c>
    </row>
    <row r="19" customFormat="false" ht="15" hidden="false" customHeight="false" outlineLevel="0" collapsed="false">
      <c r="A19" s="2" t="s">
        <v>2580</v>
      </c>
      <c r="B19" s="2" t="s">
        <v>244</v>
      </c>
      <c r="C19" s="2" t="s">
        <v>720</v>
      </c>
      <c r="D19" s="2" t="s">
        <v>121</v>
      </c>
      <c r="E19" s="2" t="n">
        <v>1</v>
      </c>
      <c r="F19" s="2" t="s">
        <v>2562</v>
      </c>
      <c r="G19" s="2" t="s">
        <v>212</v>
      </c>
      <c r="H19" s="2" t="s">
        <v>2563</v>
      </c>
    </row>
    <row r="20" customFormat="false" ht="15" hidden="false" customHeight="false" outlineLevel="0" collapsed="false">
      <c r="A20" s="2" t="s">
        <v>2581</v>
      </c>
      <c r="B20" s="2" t="s">
        <v>246</v>
      </c>
      <c r="C20" s="2" t="s">
        <v>722</v>
      </c>
      <c r="D20" s="2" t="s">
        <v>72</v>
      </c>
      <c r="E20" s="2" t="n">
        <v>1</v>
      </c>
      <c r="F20" s="2" t="s">
        <v>2562</v>
      </c>
      <c r="G20" s="2" t="s">
        <v>212</v>
      </c>
      <c r="H20" s="2" t="s">
        <v>2563</v>
      </c>
    </row>
    <row r="21" customFormat="false" ht="15" hidden="false" customHeight="false" outlineLevel="0" collapsed="false">
      <c r="A21" s="2" t="s">
        <v>2582</v>
      </c>
      <c r="B21" s="2" t="s">
        <v>248</v>
      </c>
      <c r="C21" s="2" t="s">
        <v>724</v>
      </c>
      <c r="D21" s="2" t="s">
        <v>142</v>
      </c>
      <c r="E21" s="2" t="n">
        <v>1</v>
      </c>
      <c r="F21" s="2" t="s">
        <v>2562</v>
      </c>
      <c r="G21" s="2" t="s">
        <v>212</v>
      </c>
      <c r="H21" s="2" t="s">
        <v>2563</v>
      </c>
    </row>
    <row r="22" customFormat="false" ht="15" hidden="false" customHeight="false" outlineLevel="0" collapsed="false">
      <c r="A22" s="2" t="s">
        <v>2583</v>
      </c>
      <c r="B22" s="2" t="s">
        <v>250</v>
      </c>
      <c r="C22" s="2" t="s">
        <v>726</v>
      </c>
      <c r="D22" s="2" t="s">
        <v>134</v>
      </c>
      <c r="E22" s="2" t="n">
        <v>1</v>
      </c>
      <c r="F22" s="2" t="s">
        <v>2562</v>
      </c>
      <c r="G22" s="2" t="s">
        <v>212</v>
      </c>
      <c r="H22" s="2" t="s">
        <v>2563</v>
      </c>
    </row>
    <row r="23" customFormat="false" ht="15" hidden="false" customHeight="false" outlineLevel="0" collapsed="false">
      <c r="A23" s="2" t="s">
        <v>2584</v>
      </c>
      <c r="B23" s="2" t="s">
        <v>252</v>
      </c>
      <c r="C23" s="2" t="s">
        <v>728</v>
      </c>
      <c r="D23" s="2" t="s">
        <v>136</v>
      </c>
      <c r="E23" s="2" t="n">
        <v>1</v>
      </c>
      <c r="F23" s="2" t="s">
        <v>2562</v>
      </c>
      <c r="G23" s="2" t="s">
        <v>212</v>
      </c>
      <c r="H23" s="2" t="s">
        <v>2563</v>
      </c>
    </row>
    <row r="24" customFormat="false" ht="15" hidden="false" customHeight="false" outlineLevel="0" collapsed="false">
      <c r="A24" s="2" t="s">
        <v>2585</v>
      </c>
      <c r="B24" s="2" t="s">
        <v>252</v>
      </c>
      <c r="C24" s="2" t="s">
        <v>698</v>
      </c>
      <c r="D24" s="2" t="s">
        <v>104</v>
      </c>
      <c r="E24" s="2" t="n">
        <v>2</v>
      </c>
      <c r="F24" s="2" t="s">
        <v>2562</v>
      </c>
      <c r="G24" s="2" t="s">
        <v>212</v>
      </c>
      <c r="H24" s="2" t="s">
        <v>2563</v>
      </c>
    </row>
    <row r="25" customFormat="false" ht="15" hidden="false" customHeight="false" outlineLevel="0" collapsed="false">
      <c r="A25" s="2" t="s">
        <v>2586</v>
      </c>
      <c r="B25" s="2" t="s">
        <v>254</v>
      </c>
      <c r="C25" s="2" t="s">
        <v>730</v>
      </c>
      <c r="D25" s="2" t="s">
        <v>138</v>
      </c>
      <c r="E25" s="2" t="n">
        <v>1</v>
      </c>
      <c r="F25" s="2" t="s">
        <v>2562</v>
      </c>
      <c r="G25" s="2" t="s">
        <v>212</v>
      </c>
      <c r="H25" s="2" t="s">
        <v>2563</v>
      </c>
    </row>
    <row r="26" customFormat="false" ht="15" hidden="false" customHeight="false" outlineLevel="0" collapsed="false">
      <c r="A26" s="2" t="s">
        <v>2587</v>
      </c>
      <c r="B26" s="2" t="s">
        <v>256</v>
      </c>
      <c r="C26" s="2" t="s">
        <v>732</v>
      </c>
      <c r="D26" s="2" t="s">
        <v>77</v>
      </c>
      <c r="E26" s="2" t="n">
        <v>1</v>
      </c>
      <c r="F26" s="2" t="s">
        <v>2562</v>
      </c>
      <c r="G26" s="2" t="s">
        <v>212</v>
      </c>
      <c r="H26" s="2" t="s">
        <v>2563</v>
      </c>
    </row>
    <row r="27" customFormat="false" ht="15" hidden="false" customHeight="false" outlineLevel="0" collapsed="false">
      <c r="A27" s="2" t="s">
        <v>2588</v>
      </c>
      <c r="B27" s="2" t="s">
        <v>258</v>
      </c>
      <c r="C27" s="2" t="s">
        <v>734</v>
      </c>
      <c r="D27" s="2" t="s">
        <v>87</v>
      </c>
      <c r="E27" s="2" t="n">
        <v>1</v>
      </c>
      <c r="F27" s="2" t="s">
        <v>2562</v>
      </c>
      <c r="G27" s="2" t="s">
        <v>212</v>
      </c>
      <c r="H27" s="2" t="s">
        <v>2563</v>
      </c>
    </row>
    <row r="28" customFormat="false" ht="15" hidden="false" customHeight="false" outlineLevel="0" collapsed="false">
      <c r="A28" s="2" t="s">
        <v>2589</v>
      </c>
      <c r="B28" s="2" t="s">
        <v>260</v>
      </c>
      <c r="C28" s="2" t="s">
        <v>736</v>
      </c>
      <c r="D28" s="2" t="s">
        <v>85</v>
      </c>
      <c r="E28" s="2" t="n">
        <v>1</v>
      </c>
      <c r="F28" s="2" t="s">
        <v>2562</v>
      </c>
      <c r="G28" s="2" t="s">
        <v>212</v>
      </c>
      <c r="H28" s="2" t="s">
        <v>2563</v>
      </c>
    </row>
    <row r="29" customFormat="false" ht="15" hidden="false" customHeight="false" outlineLevel="0" collapsed="false">
      <c r="A29" s="2" t="s">
        <v>2590</v>
      </c>
      <c r="B29" s="2" t="s">
        <v>262</v>
      </c>
      <c r="C29" s="2" t="s">
        <v>738</v>
      </c>
      <c r="D29" s="2" t="s">
        <v>144</v>
      </c>
      <c r="E29" s="2" t="n">
        <v>1</v>
      </c>
      <c r="F29" s="2" t="s">
        <v>2562</v>
      </c>
      <c r="G29" s="2" t="s">
        <v>212</v>
      </c>
      <c r="H29" s="2" t="s">
        <v>2563</v>
      </c>
    </row>
    <row r="30" customFormat="false" ht="15" hidden="false" customHeight="false" outlineLevel="0" collapsed="false">
      <c r="A30" s="2" t="s">
        <v>2591</v>
      </c>
      <c r="B30" s="2" t="s">
        <v>264</v>
      </c>
      <c r="C30" s="2" t="s">
        <v>740</v>
      </c>
      <c r="D30" s="2" t="s">
        <v>82</v>
      </c>
      <c r="E30" s="2" t="n">
        <v>1</v>
      </c>
      <c r="F30" s="2" t="s">
        <v>2562</v>
      </c>
      <c r="G30" s="2" t="s">
        <v>212</v>
      </c>
      <c r="H30" s="2" t="s">
        <v>2563</v>
      </c>
    </row>
    <row r="31" customFormat="false" ht="15" hidden="false" customHeight="false" outlineLevel="0" collapsed="false">
      <c r="A31" s="2" t="s">
        <v>2592</v>
      </c>
      <c r="B31" s="2" t="s">
        <v>266</v>
      </c>
      <c r="C31" s="2" t="s">
        <v>742</v>
      </c>
      <c r="D31" s="2" t="s">
        <v>88</v>
      </c>
      <c r="E31" s="2" t="n">
        <v>1</v>
      </c>
      <c r="F31" s="2" t="s">
        <v>2562</v>
      </c>
      <c r="G31" s="2" t="s">
        <v>212</v>
      </c>
      <c r="H31" s="2" t="s">
        <v>2563</v>
      </c>
    </row>
    <row r="32" customFormat="false" ht="15" hidden="false" customHeight="false" outlineLevel="0" collapsed="false">
      <c r="A32" s="2" t="s">
        <v>2593</v>
      </c>
      <c r="B32" s="2" t="s">
        <v>268</v>
      </c>
      <c r="C32" s="2" t="s">
        <v>744</v>
      </c>
      <c r="D32" s="2" t="s">
        <v>131</v>
      </c>
      <c r="E32" s="2" t="n">
        <v>1</v>
      </c>
      <c r="F32" s="2" t="s">
        <v>2562</v>
      </c>
      <c r="G32" s="2" t="s">
        <v>212</v>
      </c>
      <c r="H32" s="2" t="s">
        <v>2563</v>
      </c>
    </row>
    <row r="33" customFormat="false" ht="15" hidden="false" customHeight="false" outlineLevel="0" collapsed="false">
      <c r="A33" s="2" t="s">
        <v>2594</v>
      </c>
      <c r="B33" s="2" t="s">
        <v>268</v>
      </c>
      <c r="C33" s="2" t="s">
        <v>745</v>
      </c>
      <c r="D33" s="2" t="s">
        <v>135</v>
      </c>
      <c r="E33" s="2" t="n">
        <v>2</v>
      </c>
      <c r="F33" s="2" t="s">
        <v>2562</v>
      </c>
      <c r="G33" s="2" t="s">
        <v>212</v>
      </c>
      <c r="H33" s="2" t="s">
        <v>2563</v>
      </c>
    </row>
    <row r="34" customFormat="false" ht="15" hidden="false" customHeight="false" outlineLevel="0" collapsed="false">
      <c r="A34" s="2" t="s">
        <v>2595</v>
      </c>
      <c r="B34" s="2" t="s">
        <v>268</v>
      </c>
      <c r="C34" s="2" t="s">
        <v>746</v>
      </c>
      <c r="D34" s="2" t="s">
        <v>100</v>
      </c>
      <c r="E34" s="2" t="n">
        <v>3</v>
      </c>
      <c r="F34" s="2" t="s">
        <v>2562</v>
      </c>
      <c r="G34" s="2" t="s">
        <v>212</v>
      </c>
      <c r="H34" s="2" t="s">
        <v>2563</v>
      </c>
    </row>
    <row r="35" customFormat="false" ht="15" hidden="false" customHeight="false" outlineLevel="0" collapsed="false">
      <c r="A35" s="2" t="s">
        <v>2596</v>
      </c>
      <c r="B35" s="2" t="s">
        <v>270</v>
      </c>
      <c r="C35" s="2" t="s">
        <v>748</v>
      </c>
      <c r="D35" s="2" t="s">
        <v>132</v>
      </c>
      <c r="E35" s="2" t="n">
        <v>1</v>
      </c>
      <c r="F35" s="2" t="s">
        <v>2562</v>
      </c>
      <c r="G35" s="2" t="s">
        <v>212</v>
      </c>
      <c r="H35" s="2" t="s">
        <v>2563</v>
      </c>
    </row>
    <row r="36" customFormat="false" ht="15" hidden="false" customHeight="false" outlineLevel="0" collapsed="false">
      <c r="A36" s="2" t="s">
        <v>2597</v>
      </c>
      <c r="B36" s="2" t="s">
        <v>270</v>
      </c>
      <c r="C36" s="2" t="s">
        <v>736</v>
      </c>
      <c r="D36" s="2" t="s">
        <v>85</v>
      </c>
      <c r="E36" s="2" t="n">
        <v>2</v>
      </c>
      <c r="F36" s="2" t="s">
        <v>2562</v>
      </c>
      <c r="G36" s="2" t="s">
        <v>212</v>
      </c>
      <c r="H36" s="2" t="s">
        <v>2563</v>
      </c>
    </row>
    <row r="37" customFormat="false" ht="15" hidden="false" customHeight="false" outlineLevel="0" collapsed="false">
      <c r="A37" s="2" t="s">
        <v>2598</v>
      </c>
      <c r="B37" s="2" t="s">
        <v>272</v>
      </c>
      <c r="C37" s="2" t="s">
        <v>750</v>
      </c>
      <c r="D37" s="2" t="s">
        <v>91</v>
      </c>
      <c r="E37" s="2" t="n">
        <v>1</v>
      </c>
      <c r="F37" s="2" t="s">
        <v>2562</v>
      </c>
      <c r="G37" s="2" t="s">
        <v>212</v>
      </c>
      <c r="H37" s="2" t="s">
        <v>2563</v>
      </c>
    </row>
    <row r="38" customFormat="false" ht="15" hidden="false" customHeight="false" outlineLevel="0" collapsed="false">
      <c r="A38" s="2" t="s">
        <v>2599</v>
      </c>
      <c r="B38" s="2" t="s">
        <v>274</v>
      </c>
      <c r="C38" s="2" t="s">
        <v>752</v>
      </c>
      <c r="D38" s="2" t="s">
        <v>113</v>
      </c>
      <c r="E38" s="2" t="n">
        <v>1</v>
      </c>
      <c r="F38" s="2" t="s">
        <v>2562</v>
      </c>
      <c r="G38" s="2" t="s">
        <v>212</v>
      </c>
      <c r="H38" s="2" t="s">
        <v>2563</v>
      </c>
    </row>
    <row r="39" customFormat="false" ht="15" hidden="false" customHeight="false" outlineLevel="0" collapsed="false">
      <c r="A39" s="2" t="s">
        <v>2600</v>
      </c>
      <c r="B39" s="2" t="s">
        <v>276</v>
      </c>
      <c r="C39" s="2" t="s">
        <v>754</v>
      </c>
      <c r="D39" s="2" t="s">
        <v>124</v>
      </c>
      <c r="E39" s="2" t="n">
        <v>1</v>
      </c>
      <c r="F39" s="2" t="s">
        <v>2562</v>
      </c>
      <c r="G39" s="2" t="s">
        <v>212</v>
      </c>
      <c r="H39" s="2" t="s">
        <v>2563</v>
      </c>
    </row>
    <row r="40" customFormat="false" ht="15" hidden="false" customHeight="false" outlineLevel="0" collapsed="false">
      <c r="A40" s="2" t="s">
        <v>2601</v>
      </c>
      <c r="B40" s="2" t="s">
        <v>278</v>
      </c>
      <c r="C40" s="2" t="s">
        <v>756</v>
      </c>
      <c r="D40" s="2" t="s">
        <v>123</v>
      </c>
      <c r="E40" s="2" t="n">
        <v>1</v>
      </c>
      <c r="F40" s="2" t="s">
        <v>2562</v>
      </c>
      <c r="G40" s="2" t="s">
        <v>212</v>
      </c>
      <c r="H40" s="2" t="s">
        <v>2563</v>
      </c>
    </row>
    <row r="41" customFormat="false" ht="15" hidden="false" customHeight="false" outlineLevel="0" collapsed="false">
      <c r="A41" s="2" t="s">
        <v>2602</v>
      </c>
      <c r="B41" s="2" t="s">
        <v>280</v>
      </c>
      <c r="C41" s="2" t="s">
        <v>758</v>
      </c>
      <c r="D41" s="2" t="s">
        <v>84</v>
      </c>
      <c r="E41" s="2" t="n">
        <v>1</v>
      </c>
      <c r="F41" s="2" t="s">
        <v>2562</v>
      </c>
      <c r="G41" s="2" t="s">
        <v>212</v>
      </c>
      <c r="H41" s="2" t="s">
        <v>2563</v>
      </c>
    </row>
    <row r="42" customFormat="false" ht="15" hidden="false" customHeight="false" outlineLevel="0" collapsed="false">
      <c r="A42" s="2" t="s">
        <v>2603</v>
      </c>
      <c r="B42" s="2" t="s">
        <v>282</v>
      </c>
      <c r="C42" s="2" t="s">
        <v>760</v>
      </c>
      <c r="D42" s="2" t="s">
        <v>68</v>
      </c>
      <c r="E42" s="2" t="n">
        <v>1</v>
      </c>
      <c r="F42" s="2" t="s">
        <v>2562</v>
      </c>
      <c r="G42" s="2" t="s">
        <v>212</v>
      </c>
      <c r="H42" s="2" t="s">
        <v>2563</v>
      </c>
    </row>
    <row r="43" customFormat="false" ht="15" hidden="false" customHeight="false" outlineLevel="0" collapsed="false">
      <c r="A43" s="2" t="s">
        <v>2604</v>
      </c>
      <c r="B43" s="2" t="s">
        <v>284</v>
      </c>
      <c r="C43" s="2" t="s">
        <v>762</v>
      </c>
      <c r="D43" s="2" t="s">
        <v>108</v>
      </c>
      <c r="E43" s="2" t="n">
        <v>1</v>
      </c>
      <c r="F43" s="2" t="s">
        <v>2562</v>
      </c>
      <c r="G43" s="2" t="s">
        <v>212</v>
      </c>
      <c r="H43" s="2" t="s">
        <v>2563</v>
      </c>
    </row>
    <row r="44" customFormat="false" ht="15" hidden="false" customHeight="false" outlineLevel="0" collapsed="false">
      <c r="A44" s="2" t="s">
        <v>2605</v>
      </c>
      <c r="B44" s="2" t="s">
        <v>286</v>
      </c>
      <c r="C44" s="2" t="s">
        <v>764</v>
      </c>
      <c r="D44" s="2" t="s">
        <v>115</v>
      </c>
      <c r="E44" s="2" t="n">
        <v>1</v>
      </c>
      <c r="F44" s="2" t="s">
        <v>2562</v>
      </c>
      <c r="G44" s="2" t="s">
        <v>212</v>
      </c>
      <c r="H44" s="2" t="s">
        <v>2563</v>
      </c>
    </row>
    <row r="45" customFormat="false" ht="15" hidden="false" customHeight="false" outlineLevel="0" collapsed="false">
      <c r="A45" s="2" t="s">
        <v>2606</v>
      </c>
      <c r="B45" s="2" t="s">
        <v>288</v>
      </c>
      <c r="C45" s="2" t="s">
        <v>766</v>
      </c>
      <c r="D45" s="2" t="s">
        <v>143</v>
      </c>
      <c r="E45" s="2" t="n">
        <v>1</v>
      </c>
      <c r="F45" s="2" t="s">
        <v>2562</v>
      </c>
      <c r="G45" s="2" t="s">
        <v>212</v>
      </c>
      <c r="H45" s="2" t="s">
        <v>2563</v>
      </c>
    </row>
    <row r="46" customFormat="false" ht="15" hidden="false" customHeight="false" outlineLevel="0" collapsed="false">
      <c r="A46" s="2" t="s">
        <v>2607</v>
      </c>
      <c r="B46" s="2" t="s">
        <v>288</v>
      </c>
      <c r="C46" s="2" t="s">
        <v>724</v>
      </c>
      <c r="D46" s="2" t="s">
        <v>142</v>
      </c>
      <c r="E46" s="2" t="n">
        <v>2</v>
      </c>
      <c r="F46" s="2" t="s">
        <v>2562</v>
      </c>
      <c r="G46" s="2" t="s">
        <v>212</v>
      </c>
      <c r="H46" s="2" t="s">
        <v>2563</v>
      </c>
    </row>
    <row r="47" customFormat="false" ht="15" hidden="false" customHeight="false" outlineLevel="0" collapsed="false">
      <c r="A47" s="2" t="s">
        <v>2608</v>
      </c>
      <c r="B47" s="2" t="s">
        <v>290</v>
      </c>
      <c r="C47" s="2" t="s">
        <v>768</v>
      </c>
      <c r="D47" s="2" t="s">
        <v>90</v>
      </c>
      <c r="E47" s="2" t="n">
        <v>1</v>
      </c>
      <c r="F47" s="2" t="s">
        <v>2562</v>
      </c>
      <c r="G47" s="2" t="s">
        <v>212</v>
      </c>
      <c r="H47" s="2" t="s">
        <v>2563</v>
      </c>
    </row>
    <row r="48" customFormat="false" ht="15" hidden="false" customHeight="false" outlineLevel="0" collapsed="false">
      <c r="A48" s="2" t="s">
        <v>2609</v>
      </c>
      <c r="B48" s="2" t="s">
        <v>292</v>
      </c>
      <c r="C48" s="2" t="s">
        <v>770</v>
      </c>
      <c r="D48" s="2" t="s">
        <v>44</v>
      </c>
      <c r="E48" s="2" t="n">
        <v>1</v>
      </c>
      <c r="F48" s="2" t="s">
        <v>2562</v>
      </c>
      <c r="G48" s="2" t="s">
        <v>212</v>
      </c>
      <c r="H48" s="2" t="s">
        <v>2563</v>
      </c>
    </row>
    <row r="49" customFormat="false" ht="15" hidden="false" customHeight="false" outlineLevel="0" collapsed="false">
      <c r="A49" s="2" t="s">
        <v>2610</v>
      </c>
      <c r="B49" s="2" t="s">
        <v>294</v>
      </c>
      <c r="C49" s="2" t="s">
        <v>772</v>
      </c>
      <c r="D49" s="2" t="s">
        <v>118</v>
      </c>
      <c r="E49" s="2" t="n">
        <v>1</v>
      </c>
      <c r="F49" s="2" t="s">
        <v>2562</v>
      </c>
      <c r="G49" s="2" t="s">
        <v>212</v>
      </c>
      <c r="H49" s="2" t="s">
        <v>2563</v>
      </c>
    </row>
    <row r="50" customFormat="false" ht="15" hidden="false" customHeight="false" outlineLevel="0" collapsed="false">
      <c r="A50" s="2" t="s">
        <v>2611</v>
      </c>
      <c r="B50" s="2" t="s">
        <v>296</v>
      </c>
      <c r="C50" s="2" t="s">
        <v>698</v>
      </c>
      <c r="D50" s="2" t="s">
        <v>104</v>
      </c>
      <c r="E50" s="2" t="n">
        <v>1</v>
      </c>
      <c r="F50" s="2" t="s">
        <v>2562</v>
      </c>
      <c r="G50" s="2" t="s">
        <v>212</v>
      </c>
      <c r="H50" s="2" t="s">
        <v>2563</v>
      </c>
    </row>
    <row r="51" customFormat="false" ht="15" hidden="false" customHeight="false" outlineLevel="0" collapsed="false">
      <c r="A51" s="2" t="s">
        <v>2612</v>
      </c>
      <c r="B51" s="2" t="s">
        <v>298</v>
      </c>
      <c r="C51" s="2" t="s">
        <v>775</v>
      </c>
      <c r="D51" s="2" t="s">
        <v>93</v>
      </c>
      <c r="E51" s="2" t="n">
        <v>1</v>
      </c>
      <c r="F51" s="2" t="s">
        <v>2562</v>
      </c>
      <c r="G51" s="2" t="s">
        <v>212</v>
      </c>
      <c r="H51" s="2" t="s">
        <v>2563</v>
      </c>
    </row>
    <row r="52" customFormat="false" ht="15" hidden="false" customHeight="false" outlineLevel="0" collapsed="false">
      <c r="A52" s="2" t="s">
        <v>2613</v>
      </c>
      <c r="B52" s="2" t="s">
        <v>298</v>
      </c>
      <c r="C52" s="2" t="s">
        <v>776</v>
      </c>
      <c r="D52" s="2" t="s">
        <v>92</v>
      </c>
      <c r="E52" s="2" t="n">
        <v>2</v>
      </c>
      <c r="F52" s="2" t="s">
        <v>2562</v>
      </c>
      <c r="G52" s="2" t="s">
        <v>212</v>
      </c>
      <c r="H52" s="2" t="s">
        <v>2563</v>
      </c>
    </row>
    <row r="53" customFormat="false" ht="15" hidden="false" customHeight="false" outlineLevel="0" collapsed="false">
      <c r="A53" s="2" t="s">
        <v>2614</v>
      </c>
      <c r="B53" s="2" t="s">
        <v>300</v>
      </c>
      <c r="C53" s="2" t="s">
        <v>744</v>
      </c>
      <c r="D53" s="2" t="s">
        <v>131</v>
      </c>
      <c r="E53" s="2" t="n">
        <v>1</v>
      </c>
      <c r="F53" s="2" t="s">
        <v>2562</v>
      </c>
      <c r="G53" s="2" t="s">
        <v>212</v>
      </c>
      <c r="H53" s="2" t="s">
        <v>2563</v>
      </c>
    </row>
    <row r="54" customFormat="false" ht="15" hidden="false" customHeight="false" outlineLevel="0" collapsed="false">
      <c r="A54" s="2" t="s">
        <v>2615</v>
      </c>
      <c r="B54" s="2" t="s">
        <v>300</v>
      </c>
      <c r="C54" s="2" t="s">
        <v>778</v>
      </c>
      <c r="D54" s="2" t="s">
        <v>129</v>
      </c>
      <c r="E54" s="2" t="n">
        <v>2</v>
      </c>
      <c r="F54" s="2" t="s">
        <v>2562</v>
      </c>
      <c r="G54" s="2" t="s">
        <v>212</v>
      </c>
      <c r="H54" s="2" t="s">
        <v>2563</v>
      </c>
    </row>
    <row r="55" customFormat="false" ht="15" hidden="false" customHeight="false" outlineLevel="0" collapsed="false">
      <c r="A55" s="2" t="s">
        <v>2616</v>
      </c>
      <c r="B55" s="2" t="s">
        <v>302</v>
      </c>
      <c r="C55" s="2" t="s">
        <v>780</v>
      </c>
      <c r="D55" s="2" t="s">
        <v>105</v>
      </c>
      <c r="E55" s="2" t="n">
        <v>1</v>
      </c>
      <c r="F55" s="2" t="s">
        <v>2562</v>
      </c>
      <c r="G55" s="2" t="s">
        <v>212</v>
      </c>
      <c r="H55" s="2" t="s">
        <v>2563</v>
      </c>
    </row>
    <row r="56" customFormat="false" ht="15" hidden="false" customHeight="false" outlineLevel="0" collapsed="false">
      <c r="A56" s="2" t="s">
        <v>2617</v>
      </c>
      <c r="B56" s="2" t="s">
        <v>304</v>
      </c>
      <c r="C56" s="2" t="s">
        <v>782</v>
      </c>
      <c r="D56" s="2" t="s">
        <v>133</v>
      </c>
      <c r="E56" s="2" t="n">
        <v>1</v>
      </c>
      <c r="F56" s="2" t="s">
        <v>2562</v>
      </c>
      <c r="G56" s="2" t="s">
        <v>212</v>
      </c>
      <c r="H56" s="2" t="s">
        <v>2563</v>
      </c>
    </row>
    <row r="57" customFormat="false" ht="15" hidden="false" customHeight="false" outlineLevel="0" collapsed="false">
      <c r="A57" s="2" t="s">
        <v>2618</v>
      </c>
      <c r="B57" s="2" t="s">
        <v>306</v>
      </c>
      <c r="C57" s="2" t="s">
        <v>784</v>
      </c>
      <c r="D57" s="2" t="s">
        <v>89</v>
      </c>
      <c r="E57" s="2" t="n">
        <v>1</v>
      </c>
      <c r="F57" s="2" t="s">
        <v>2562</v>
      </c>
      <c r="G57" s="2" t="s">
        <v>212</v>
      </c>
      <c r="H57" s="2" t="s">
        <v>2563</v>
      </c>
    </row>
    <row r="58" customFormat="false" ht="15" hidden="false" customHeight="false" outlineLevel="0" collapsed="false">
      <c r="A58" s="2" t="s">
        <v>2619</v>
      </c>
      <c r="B58" s="2" t="s">
        <v>308</v>
      </c>
      <c r="C58" s="2" t="s">
        <v>786</v>
      </c>
      <c r="D58" s="2" t="s">
        <v>122</v>
      </c>
      <c r="E58" s="2" t="n">
        <v>1</v>
      </c>
      <c r="F58" s="2" t="s">
        <v>2562</v>
      </c>
      <c r="G58" s="2" t="s">
        <v>212</v>
      </c>
      <c r="H58" s="2" t="s">
        <v>2563</v>
      </c>
    </row>
    <row r="59" customFormat="false" ht="15" hidden="false" customHeight="false" outlineLevel="0" collapsed="false">
      <c r="A59" s="2" t="s">
        <v>2620</v>
      </c>
      <c r="B59" s="2" t="s">
        <v>310</v>
      </c>
      <c r="C59" s="2" t="s">
        <v>788</v>
      </c>
      <c r="D59" s="2" t="s">
        <v>37</v>
      </c>
      <c r="E59" s="2" t="n">
        <v>1</v>
      </c>
      <c r="F59" s="2" t="s">
        <v>2562</v>
      </c>
      <c r="G59" s="2" t="s">
        <v>212</v>
      </c>
      <c r="H59" s="2" t="s">
        <v>2563</v>
      </c>
    </row>
    <row r="60" customFormat="false" ht="15" hidden="false" customHeight="false" outlineLevel="0" collapsed="false">
      <c r="A60" s="2" t="s">
        <v>2621</v>
      </c>
      <c r="B60" s="2" t="s">
        <v>310</v>
      </c>
      <c r="C60" s="2" t="s">
        <v>768</v>
      </c>
      <c r="D60" s="2" t="s">
        <v>90</v>
      </c>
      <c r="E60" s="2" t="n">
        <v>2</v>
      </c>
      <c r="F60" s="2" t="s">
        <v>2562</v>
      </c>
      <c r="G60" s="2" t="s">
        <v>212</v>
      </c>
      <c r="H60" s="2" t="s">
        <v>2563</v>
      </c>
    </row>
    <row r="61" customFormat="false" ht="15" hidden="false" customHeight="false" outlineLevel="0" collapsed="false">
      <c r="A61" s="2" t="s">
        <v>2622</v>
      </c>
      <c r="B61" s="2" t="s">
        <v>312</v>
      </c>
      <c r="C61" s="2" t="s">
        <v>698</v>
      </c>
      <c r="D61" s="2" t="s">
        <v>104</v>
      </c>
      <c r="E61" s="2" t="n">
        <v>1</v>
      </c>
      <c r="F61" s="2" t="s">
        <v>2562</v>
      </c>
      <c r="G61" s="2" t="s">
        <v>212</v>
      </c>
      <c r="H61" s="2" t="s">
        <v>2563</v>
      </c>
    </row>
    <row r="62" customFormat="false" ht="15" hidden="false" customHeight="false" outlineLevel="0" collapsed="false">
      <c r="A62" s="2" t="s">
        <v>2623</v>
      </c>
      <c r="B62" s="2" t="s">
        <v>314</v>
      </c>
      <c r="C62" s="2" t="s">
        <v>776</v>
      </c>
      <c r="D62" s="2" t="s">
        <v>92</v>
      </c>
      <c r="E62" s="2" t="n">
        <v>1</v>
      </c>
      <c r="F62" s="2" t="s">
        <v>2562</v>
      </c>
      <c r="G62" s="2" t="s">
        <v>212</v>
      </c>
      <c r="H62" s="2" t="s">
        <v>2563</v>
      </c>
    </row>
    <row r="63" customFormat="false" ht="15" hidden="false" customHeight="false" outlineLevel="0" collapsed="false">
      <c r="A63" s="2" t="s">
        <v>2624</v>
      </c>
      <c r="B63" s="2" t="s">
        <v>316</v>
      </c>
      <c r="C63" s="2" t="s">
        <v>792</v>
      </c>
      <c r="D63" s="2" t="s">
        <v>95</v>
      </c>
      <c r="E63" s="2" t="n">
        <v>1</v>
      </c>
      <c r="F63" s="2" t="s">
        <v>2562</v>
      </c>
      <c r="G63" s="2" t="s">
        <v>212</v>
      </c>
      <c r="H63" s="2" t="s">
        <v>2563</v>
      </c>
    </row>
    <row r="64" customFormat="false" ht="15" hidden="false" customHeight="false" outlineLevel="0" collapsed="false">
      <c r="A64" s="2" t="s">
        <v>2625</v>
      </c>
      <c r="B64" s="2" t="s">
        <v>316</v>
      </c>
      <c r="C64" s="2" t="s">
        <v>793</v>
      </c>
      <c r="D64" s="2" t="s">
        <v>130</v>
      </c>
      <c r="E64" s="2" t="n">
        <v>2</v>
      </c>
      <c r="F64" s="2" t="s">
        <v>2562</v>
      </c>
      <c r="G64" s="2" t="s">
        <v>212</v>
      </c>
      <c r="H64" s="2" t="s">
        <v>2563</v>
      </c>
    </row>
    <row r="65" customFormat="false" ht="15" hidden="false" customHeight="false" outlineLevel="0" collapsed="false">
      <c r="A65" s="2" t="s">
        <v>2626</v>
      </c>
      <c r="B65" s="2" t="s">
        <v>318</v>
      </c>
      <c r="C65" s="2" t="s">
        <v>795</v>
      </c>
      <c r="D65" s="2" t="s">
        <v>97</v>
      </c>
      <c r="E65" s="2" t="n">
        <v>1</v>
      </c>
      <c r="F65" s="2" t="s">
        <v>2562</v>
      </c>
      <c r="G65" s="2" t="s">
        <v>212</v>
      </c>
      <c r="H65" s="2" t="s">
        <v>2563</v>
      </c>
    </row>
    <row r="66" customFormat="false" ht="15" hidden="false" customHeight="false" outlineLevel="0" collapsed="false">
      <c r="A66" s="2" t="s">
        <v>2627</v>
      </c>
      <c r="B66" s="2" t="s">
        <v>320</v>
      </c>
      <c r="C66" s="2" t="s">
        <v>792</v>
      </c>
      <c r="D66" s="2" t="s">
        <v>95</v>
      </c>
      <c r="E66" s="2" t="n">
        <v>1</v>
      </c>
      <c r="F66" s="2" t="s">
        <v>2562</v>
      </c>
      <c r="G66" s="2" t="s">
        <v>212</v>
      </c>
      <c r="H66" s="2" t="s">
        <v>2563</v>
      </c>
    </row>
    <row r="67" customFormat="false" ht="15" hidden="false" customHeight="false" outlineLevel="0" collapsed="false">
      <c r="A67" s="2" t="s">
        <v>2628</v>
      </c>
      <c r="B67" s="2" t="s">
        <v>322</v>
      </c>
      <c r="C67" s="2" t="s">
        <v>798</v>
      </c>
      <c r="D67" s="2" t="s">
        <v>140</v>
      </c>
      <c r="E67" s="2" t="n">
        <v>1</v>
      </c>
      <c r="F67" s="2" t="s">
        <v>2562</v>
      </c>
      <c r="G67" s="2" t="s">
        <v>212</v>
      </c>
      <c r="H67" s="2" t="s">
        <v>2563</v>
      </c>
    </row>
    <row r="68" customFormat="false" ht="15" hidden="false" customHeight="false" outlineLevel="0" collapsed="false">
      <c r="A68" s="2" t="s">
        <v>2629</v>
      </c>
      <c r="B68" s="2" t="s">
        <v>324</v>
      </c>
      <c r="C68" s="2" t="s">
        <v>800</v>
      </c>
      <c r="D68" s="2" t="s">
        <v>102</v>
      </c>
      <c r="E68" s="2" t="n">
        <v>1</v>
      </c>
      <c r="F68" s="2" t="s">
        <v>2562</v>
      </c>
      <c r="G68" s="2" t="s">
        <v>212</v>
      </c>
      <c r="H68" s="2" t="s">
        <v>2563</v>
      </c>
    </row>
    <row r="69" customFormat="false" ht="15" hidden="false" customHeight="false" outlineLevel="0" collapsed="false">
      <c r="A69" s="2" t="s">
        <v>2630</v>
      </c>
      <c r="B69" s="2" t="s">
        <v>326</v>
      </c>
      <c r="C69" s="2" t="s">
        <v>802</v>
      </c>
      <c r="D69" s="2" t="s">
        <v>109</v>
      </c>
      <c r="E69" s="2" t="n">
        <v>1</v>
      </c>
      <c r="F69" s="2" t="s">
        <v>2562</v>
      </c>
      <c r="G69" s="2" t="s">
        <v>212</v>
      </c>
      <c r="H69" s="2" t="s">
        <v>2563</v>
      </c>
    </row>
    <row r="70" customFormat="false" ht="15" hidden="false" customHeight="false" outlineLevel="0" collapsed="false">
      <c r="A70" s="2" t="s">
        <v>2631</v>
      </c>
      <c r="B70" s="2" t="s">
        <v>328</v>
      </c>
      <c r="C70" s="2" t="s">
        <v>804</v>
      </c>
      <c r="D70" s="2" t="s">
        <v>147</v>
      </c>
      <c r="E70" s="2" t="n">
        <v>1</v>
      </c>
      <c r="F70" s="2" t="s">
        <v>2562</v>
      </c>
      <c r="G70" s="2" t="s">
        <v>212</v>
      </c>
      <c r="H70" s="2" t="s">
        <v>2563</v>
      </c>
    </row>
    <row r="71" customFormat="false" ht="15" hidden="false" customHeight="false" outlineLevel="0" collapsed="false">
      <c r="A71" s="2" t="s">
        <v>2632</v>
      </c>
      <c r="B71" s="2" t="s">
        <v>330</v>
      </c>
      <c r="C71" s="2" t="s">
        <v>806</v>
      </c>
      <c r="D71" s="2" t="s">
        <v>145</v>
      </c>
      <c r="E71" s="2" t="n">
        <v>1</v>
      </c>
      <c r="F71" s="2" t="s">
        <v>2562</v>
      </c>
      <c r="G71" s="2" t="s">
        <v>212</v>
      </c>
      <c r="H71" s="2" t="s">
        <v>2563</v>
      </c>
    </row>
    <row r="72" customFormat="false" ht="15" hidden="false" customHeight="false" outlineLevel="0" collapsed="false">
      <c r="A72" s="2" t="s">
        <v>2633</v>
      </c>
      <c r="B72" s="2" t="s">
        <v>332</v>
      </c>
      <c r="C72" s="2" t="s">
        <v>808</v>
      </c>
      <c r="D72" s="2" t="s">
        <v>126</v>
      </c>
      <c r="E72" s="2" t="n">
        <v>1</v>
      </c>
      <c r="F72" s="2" t="s">
        <v>2562</v>
      </c>
      <c r="G72" s="2" t="s">
        <v>212</v>
      </c>
      <c r="H72" s="2" t="s">
        <v>2563</v>
      </c>
    </row>
    <row r="73" customFormat="false" ht="15" hidden="false" customHeight="false" outlineLevel="0" collapsed="false">
      <c r="A73" s="2" t="s">
        <v>2634</v>
      </c>
      <c r="B73" s="2" t="s">
        <v>334</v>
      </c>
      <c r="C73" s="2" t="s">
        <v>778</v>
      </c>
      <c r="D73" s="2" t="s">
        <v>129</v>
      </c>
      <c r="E73" s="2" t="n">
        <v>1</v>
      </c>
      <c r="F73" s="2" t="s">
        <v>2562</v>
      </c>
      <c r="G73" s="2" t="s">
        <v>212</v>
      </c>
      <c r="H73" s="2" t="s">
        <v>2563</v>
      </c>
    </row>
    <row r="74" customFormat="false" ht="15" hidden="false" customHeight="false" outlineLevel="0" collapsed="false">
      <c r="A74" s="2" t="s">
        <v>2635</v>
      </c>
      <c r="B74" s="2" t="s">
        <v>336</v>
      </c>
      <c r="C74" s="2" t="s">
        <v>691</v>
      </c>
      <c r="D74" s="2" t="s">
        <v>119</v>
      </c>
      <c r="E74" s="2" t="n">
        <v>1</v>
      </c>
      <c r="F74" s="2" t="s">
        <v>2562</v>
      </c>
      <c r="G74" s="2" t="s">
        <v>212</v>
      </c>
      <c r="H74" s="2" t="s">
        <v>2563</v>
      </c>
    </row>
    <row r="75" customFormat="false" ht="15" hidden="false" customHeight="false" outlineLevel="0" collapsed="false">
      <c r="A75" s="2" t="s">
        <v>2636</v>
      </c>
      <c r="B75" s="2" t="s">
        <v>337</v>
      </c>
      <c r="C75" s="2" t="s">
        <v>724</v>
      </c>
      <c r="D75" s="2" t="s">
        <v>142</v>
      </c>
      <c r="E75" s="2" t="n">
        <v>1</v>
      </c>
      <c r="F75" s="2" t="s">
        <v>2562</v>
      </c>
      <c r="G75" s="2" t="s">
        <v>212</v>
      </c>
      <c r="H75" s="2" t="s">
        <v>2563</v>
      </c>
    </row>
    <row r="76" customFormat="false" ht="15" hidden="false" customHeight="false" outlineLevel="0" collapsed="false">
      <c r="A76" s="2" t="s">
        <v>2637</v>
      </c>
      <c r="B76" s="2" t="s">
        <v>337</v>
      </c>
      <c r="C76" s="2" t="s">
        <v>698</v>
      </c>
      <c r="D76" s="2" t="s">
        <v>104</v>
      </c>
      <c r="E76" s="2" t="n">
        <v>2</v>
      </c>
      <c r="F76" s="2" t="s">
        <v>2562</v>
      </c>
      <c r="G76" s="2" t="s">
        <v>212</v>
      </c>
      <c r="H76" s="2" t="s">
        <v>2563</v>
      </c>
    </row>
    <row r="77" customFormat="false" ht="15" hidden="false" customHeight="false" outlineLevel="0" collapsed="false">
      <c r="A77" s="2" t="s">
        <v>2638</v>
      </c>
      <c r="B77" s="2" t="s">
        <v>338</v>
      </c>
      <c r="C77" s="2" t="s">
        <v>768</v>
      </c>
      <c r="D77" s="2" t="s">
        <v>90</v>
      </c>
      <c r="E77" s="2" t="n">
        <v>1</v>
      </c>
      <c r="F77" s="2" t="s">
        <v>2562</v>
      </c>
      <c r="G77" s="2" t="s">
        <v>212</v>
      </c>
      <c r="H77" s="2" t="s">
        <v>2563</v>
      </c>
    </row>
    <row r="78" customFormat="false" ht="15" hidden="false" customHeight="false" outlineLevel="0" collapsed="false">
      <c r="A78" s="2" t="s">
        <v>2639</v>
      </c>
      <c r="B78" s="2" t="s">
        <v>338</v>
      </c>
      <c r="C78" s="2" t="s">
        <v>724</v>
      </c>
      <c r="D78" s="2" t="s">
        <v>142</v>
      </c>
      <c r="E78" s="2" t="n">
        <v>2</v>
      </c>
      <c r="F78" s="2" t="s">
        <v>2562</v>
      </c>
      <c r="G78" s="2" t="s">
        <v>212</v>
      </c>
      <c r="H78" s="2" t="s">
        <v>2563</v>
      </c>
    </row>
    <row r="79" customFormat="false" ht="15" hidden="false" customHeight="false" outlineLevel="0" collapsed="false">
      <c r="A79" s="2" t="s">
        <v>2640</v>
      </c>
      <c r="B79" s="2" t="s">
        <v>340</v>
      </c>
      <c r="C79" s="2" t="s">
        <v>700</v>
      </c>
      <c r="D79" s="2" t="s">
        <v>141</v>
      </c>
      <c r="E79" s="2" t="n">
        <v>1</v>
      </c>
      <c r="F79" s="2" t="s">
        <v>2562</v>
      </c>
      <c r="G79" s="2" t="s">
        <v>212</v>
      </c>
      <c r="H79" s="2" t="s">
        <v>2563</v>
      </c>
    </row>
    <row r="80" customFormat="false" ht="15" hidden="false" customHeight="false" outlineLevel="0" collapsed="false">
      <c r="A80" s="2" t="s">
        <v>2641</v>
      </c>
      <c r="B80" s="2" t="s">
        <v>341</v>
      </c>
      <c r="C80" s="2" t="s">
        <v>700</v>
      </c>
      <c r="D80" s="2" t="s">
        <v>141</v>
      </c>
      <c r="E80" s="2" t="n">
        <v>1</v>
      </c>
      <c r="F80" s="2" t="s">
        <v>2562</v>
      </c>
      <c r="G80" s="2" t="s">
        <v>212</v>
      </c>
      <c r="H80" s="2" t="s">
        <v>2563</v>
      </c>
    </row>
    <row r="81" customFormat="false" ht="15" hidden="false" customHeight="false" outlineLevel="0" collapsed="false">
      <c r="A81" s="2" t="s">
        <v>2642</v>
      </c>
      <c r="B81" s="2" t="s">
        <v>341</v>
      </c>
      <c r="C81" s="2" t="s">
        <v>702</v>
      </c>
      <c r="D81" s="2" t="s">
        <v>106</v>
      </c>
      <c r="E81" s="2" t="n">
        <v>2</v>
      </c>
      <c r="F81" s="2" t="s">
        <v>2562</v>
      </c>
      <c r="G81" s="2" t="s">
        <v>212</v>
      </c>
      <c r="H81" s="2" t="s">
        <v>2563</v>
      </c>
    </row>
    <row r="82" customFormat="false" ht="15" hidden="false" customHeight="false" outlineLevel="0" collapsed="false">
      <c r="A82" s="2" t="s">
        <v>2643</v>
      </c>
      <c r="B82" s="2" t="s">
        <v>343</v>
      </c>
      <c r="C82" s="2" t="s">
        <v>702</v>
      </c>
      <c r="D82" s="2" t="s">
        <v>106</v>
      </c>
      <c r="E82" s="2" t="n">
        <v>1</v>
      </c>
      <c r="F82" s="2" t="s">
        <v>2562</v>
      </c>
      <c r="G82" s="2" t="s">
        <v>212</v>
      </c>
      <c r="H82" s="2" t="s">
        <v>2563</v>
      </c>
    </row>
    <row r="83" customFormat="false" ht="15" hidden="false" customHeight="false" outlineLevel="0" collapsed="false">
      <c r="A83" s="2" t="s">
        <v>2644</v>
      </c>
      <c r="B83" s="2" t="s">
        <v>344</v>
      </c>
      <c r="C83" s="2" t="s">
        <v>702</v>
      </c>
      <c r="D83" s="2" t="s">
        <v>106</v>
      </c>
      <c r="E83" s="2" t="n">
        <v>1</v>
      </c>
      <c r="F83" s="2" t="s">
        <v>2562</v>
      </c>
      <c r="G83" s="2" t="s">
        <v>212</v>
      </c>
      <c r="H83" s="2" t="s">
        <v>2563</v>
      </c>
    </row>
    <row r="84" customFormat="false" ht="15" hidden="false" customHeight="false" outlineLevel="0" collapsed="false">
      <c r="A84" s="2" t="s">
        <v>2645</v>
      </c>
      <c r="B84" s="2" t="s">
        <v>346</v>
      </c>
      <c r="C84" s="2" t="s">
        <v>700</v>
      </c>
      <c r="D84" s="2" t="s">
        <v>141</v>
      </c>
      <c r="E84" s="2" t="n">
        <v>1</v>
      </c>
      <c r="F84" s="2" t="s">
        <v>2562</v>
      </c>
      <c r="G84" s="2" t="s">
        <v>212</v>
      </c>
      <c r="H84" s="2" t="s">
        <v>2563</v>
      </c>
    </row>
    <row r="85" customFormat="false" ht="15" hidden="false" customHeight="false" outlineLevel="0" collapsed="false">
      <c r="A85" s="2" t="s">
        <v>2646</v>
      </c>
      <c r="B85" s="2" t="s">
        <v>346</v>
      </c>
      <c r="C85" s="2" t="s">
        <v>705</v>
      </c>
      <c r="D85" s="2" t="s">
        <v>98</v>
      </c>
      <c r="E85" s="2" t="n">
        <v>2</v>
      </c>
      <c r="F85" s="2" t="s">
        <v>2562</v>
      </c>
      <c r="G85" s="2" t="s">
        <v>212</v>
      </c>
      <c r="H85" s="2" t="s">
        <v>2563</v>
      </c>
    </row>
    <row r="86" customFormat="false" ht="15" hidden="false" customHeight="false" outlineLevel="0" collapsed="false">
      <c r="A86" s="2" t="s">
        <v>2647</v>
      </c>
      <c r="B86" s="2" t="s">
        <v>347</v>
      </c>
      <c r="C86" s="2" t="s">
        <v>707</v>
      </c>
      <c r="D86" s="2" t="s">
        <v>74</v>
      </c>
      <c r="E86" s="2" t="n">
        <v>1</v>
      </c>
      <c r="F86" s="2" t="s">
        <v>2562</v>
      </c>
      <c r="G86" s="2" t="s">
        <v>212</v>
      </c>
      <c r="H86" s="2" t="s">
        <v>2563</v>
      </c>
    </row>
    <row r="87" customFormat="false" ht="15" hidden="false" customHeight="false" outlineLevel="0" collapsed="false">
      <c r="A87" s="2" t="s">
        <v>2648</v>
      </c>
      <c r="B87" s="2" t="s">
        <v>348</v>
      </c>
      <c r="C87" s="2" t="s">
        <v>709</v>
      </c>
      <c r="D87" s="2" t="s">
        <v>70</v>
      </c>
      <c r="E87" s="2" t="n">
        <v>1</v>
      </c>
      <c r="F87" s="2" t="s">
        <v>2562</v>
      </c>
      <c r="G87" s="2" t="s">
        <v>212</v>
      </c>
      <c r="H87" s="2" t="s">
        <v>2563</v>
      </c>
    </row>
    <row r="88" customFormat="false" ht="15" hidden="false" customHeight="false" outlineLevel="0" collapsed="false">
      <c r="A88" s="2" t="s">
        <v>2649</v>
      </c>
      <c r="B88" s="2" t="s">
        <v>349</v>
      </c>
      <c r="C88" s="2" t="s">
        <v>715</v>
      </c>
      <c r="D88" s="2" t="s">
        <v>96</v>
      </c>
      <c r="E88" s="2" t="n">
        <v>1</v>
      </c>
      <c r="F88" s="2" t="s">
        <v>2562</v>
      </c>
      <c r="G88" s="2" t="s">
        <v>212</v>
      </c>
      <c r="H88" s="2" t="s">
        <v>2563</v>
      </c>
    </row>
    <row r="89" customFormat="false" ht="15" hidden="false" customHeight="false" outlineLevel="0" collapsed="false">
      <c r="A89" s="2" t="s">
        <v>2650</v>
      </c>
      <c r="B89" s="2" t="s">
        <v>350</v>
      </c>
      <c r="C89" s="2" t="s">
        <v>825</v>
      </c>
      <c r="D89" s="2" t="s">
        <v>110</v>
      </c>
      <c r="E89" s="2" t="n">
        <v>1</v>
      </c>
      <c r="F89" s="2" t="s">
        <v>2562</v>
      </c>
      <c r="G89" s="2" t="s">
        <v>212</v>
      </c>
      <c r="H89" s="2" t="s">
        <v>2563</v>
      </c>
    </row>
    <row r="90" customFormat="false" ht="15" hidden="false" customHeight="false" outlineLevel="0" collapsed="false">
      <c r="A90" s="2" t="s">
        <v>2651</v>
      </c>
      <c r="B90" s="2" t="s">
        <v>350</v>
      </c>
      <c r="C90" s="2" t="s">
        <v>826</v>
      </c>
      <c r="D90" s="2" t="s">
        <v>101</v>
      </c>
      <c r="E90" s="2" t="n">
        <v>2</v>
      </c>
      <c r="F90" s="2" t="s">
        <v>2562</v>
      </c>
      <c r="G90" s="2" t="s">
        <v>212</v>
      </c>
      <c r="H90" s="2" t="s">
        <v>2563</v>
      </c>
    </row>
    <row r="91" customFormat="false" ht="15" hidden="false" customHeight="false" outlineLevel="0" collapsed="false">
      <c r="A91" s="2" t="s">
        <v>2652</v>
      </c>
      <c r="B91" s="2" t="s">
        <v>352</v>
      </c>
      <c r="C91" s="2" t="s">
        <v>828</v>
      </c>
      <c r="D91" s="2" t="s">
        <v>51</v>
      </c>
      <c r="E91" s="2" t="n">
        <v>1</v>
      </c>
      <c r="F91" s="2" t="s">
        <v>2562</v>
      </c>
      <c r="G91" s="2" t="s">
        <v>212</v>
      </c>
      <c r="H91" s="2" t="s">
        <v>2563</v>
      </c>
    </row>
    <row r="92" customFormat="false" ht="15" hidden="false" customHeight="false" outlineLevel="0" collapsed="false">
      <c r="A92" s="2" t="s">
        <v>2653</v>
      </c>
      <c r="B92" s="2" t="s">
        <v>352</v>
      </c>
      <c r="C92" s="2" t="s">
        <v>736</v>
      </c>
      <c r="D92" s="2" t="s">
        <v>85</v>
      </c>
      <c r="E92" s="2" t="n">
        <v>2</v>
      </c>
      <c r="F92" s="2" t="s">
        <v>2562</v>
      </c>
      <c r="G92" s="2" t="s">
        <v>212</v>
      </c>
      <c r="H92" s="2" t="s">
        <v>2563</v>
      </c>
    </row>
    <row r="93" customFormat="false" ht="15" hidden="false" customHeight="false" outlineLevel="0" collapsed="false">
      <c r="A93" s="2" t="s">
        <v>2654</v>
      </c>
      <c r="B93" s="2" t="s">
        <v>352</v>
      </c>
      <c r="C93" s="2" t="s">
        <v>722</v>
      </c>
      <c r="D93" s="2" t="s">
        <v>72</v>
      </c>
      <c r="E93" s="2" t="n">
        <v>3</v>
      </c>
      <c r="F93" s="2" t="s">
        <v>2562</v>
      </c>
      <c r="G93" s="2" t="s">
        <v>212</v>
      </c>
      <c r="H93" s="2" t="s">
        <v>2563</v>
      </c>
    </row>
    <row r="94" customFormat="false" ht="15" hidden="false" customHeight="false" outlineLevel="0" collapsed="false">
      <c r="A94" s="2" t="s">
        <v>2655</v>
      </c>
      <c r="B94" s="2" t="s">
        <v>354</v>
      </c>
      <c r="C94" s="2" t="s">
        <v>734</v>
      </c>
      <c r="D94" s="2" t="s">
        <v>87</v>
      </c>
      <c r="E94" s="2" t="n">
        <v>1</v>
      </c>
      <c r="F94" s="2" t="s">
        <v>2562</v>
      </c>
      <c r="G94" s="2" t="s">
        <v>212</v>
      </c>
      <c r="H94" s="2" t="s">
        <v>2563</v>
      </c>
    </row>
    <row r="95" customFormat="false" ht="15" hidden="false" customHeight="false" outlineLevel="0" collapsed="false">
      <c r="A95" s="2" t="s">
        <v>2656</v>
      </c>
      <c r="B95" s="2" t="s">
        <v>355</v>
      </c>
      <c r="C95" s="2" t="s">
        <v>831</v>
      </c>
      <c r="D95" s="2" t="s">
        <v>80</v>
      </c>
      <c r="E95" s="2" t="n">
        <v>1</v>
      </c>
      <c r="F95" s="2" t="s">
        <v>2562</v>
      </c>
      <c r="G95" s="2" t="s">
        <v>212</v>
      </c>
      <c r="H95" s="2" t="s">
        <v>2563</v>
      </c>
    </row>
    <row r="96" customFormat="false" ht="15" hidden="false" customHeight="false" outlineLevel="0" collapsed="false">
      <c r="A96" s="2" t="s">
        <v>2657</v>
      </c>
      <c r="B96" s="2" t="s">
        <v>357</v>
      </c>
      <c r="C96" s="2" t="s">
        <v>833</v>
      </c>
      <c r="D96" s="2" t="s">
        <v>86</v>
      </c>
      <c r="E96" s="2" t="n">
        <v>1</v>
      </c>
      <c r="F96" s="2" t="s">
        <v>2562</v>
      </c>
      <c r="G96" s="2" t="s">
        <v>212</v>
      </c>
      <c r="H96" s="2" t="s">
        <v>2563</v>
      </c>
    </row>
    <row r="97" customFormat="false" ht="15" hidden="false" customHeight="false" outlineLevel="0" collapsed="false">
      <c r="A97" s="2" t="s">
        <v>2658</v>
      </c>
      <c r="B97" s="2" t="s">
        <v>358</v>
      </c>
      <c r="C97" s="2" t="s">
        <v>798</v>
      </c>
      <c r="D97" s="2" t="s">
        <v>140</v>
      </c>
      <c r="E97" s="2" t="n">
        <v>1</v>
      </c>
      <c r="F97" s="2" t="s">
        <v>2562</v>
      </c>
      <c r="G97" s="2" t="s">
        <v>212</v>
      </c>
      <c r="H97" s="2" t="s">
        <v>2563</v>
      </c>
    </row>
    <row r="98" customFormat="false" ht="15" hidden="false" customHeight="false" outlineLevel="0" collapsed="false">
      <c r="A98" s="2" t="s">
        <v>2659</v>
      </c>
      <c r="B98" s="2" t="s">
        <v>360</v>
      </c>
      <c r="C98" s="2" t="s">
        <v>836</v>
      </c>
      <c r="D98" s="2" t="s">
        <v>128</v>
      </c>
      <c r="E98" s="2" t="n">
        <v>1</v>
      </c>
      <c r="F98" s="2" t="s">
        <v>2562</v>
      </c>
      <c r="G98" s="2" t="s">
        <v>212</v>
      </c>
      <c r="H98" s="2" t="s">
        <v>2563</v>
      </c>
    </row>
    <row r="99" customFormat="false" ht="15" hidden="false" customHeight="false" outlineLevel="0" collapsed="false">
      <c r="A99" s="2" t="s">
        <v>2660</v>
      </c>
      <c r="B99" s="2" t="s">
        <v>362</v>
      </c>
      <c r="C99" s="2" t="s">
        <v>838</v>
      </c>
      <c r="D99" s="2" t="s">
        <v>111</v>
      </c>
      <c r="E99" s="2" t="n">
        <v>1</v>
      </c>
      <c r="F99" s="2" t="s">
        <v>2562</v>
      </c>
      <c r="G99" s="2" t="s">
        <v>212</v>
      </c>
      <c r="H99" s="2" t="s">
        <v>2563</v>
      </c>
    </row>
    <row r="100" customFormat="false" ht="15" hidden="false" customHeight="false" outlineLevel="0" collapsed="false">
      <c r="A100" s="2" t="s">
        <v>2661</v>
      </c>
      <c r="B100" s="2" t="s">
        <v>362</v>
      </c>
      <c r="C100" s="2" t="s">
        <v>839</v>
      </c>
      <c r="D100" s="2" t="s">
        <v>125</v>
      </c>
      <c r="E100" s="2" t="n">
        <v>2</v>
      </c>
      <c r="F100" s="2" t="s">
        <v>2562</v>
      </c>
      <c r="G100" s="2" t="s">
        <v>212</v>
      </c>
      <c r="H100" s="2" t="s">
        <v>2563</v>
      </c>
    </row>
    <row r="101" customFormat="false" ht="15" hidden="false" customHeight="false" outlineLevel="0" collapsed="false">
      <c r="A101" s="2" t="s">
        <v>2662</v>
      </c>
      <c r="B101" s="2" t="s">
        <v>364</v>
      </c>
      <c r="C101" s="2" t="s">
        <v>826</v>
      </c>
      <c r="D101" s="2" t="s">
        <v>101</v>
      </c>
      <c r="E101" s="2" t="n">
        <v>1</v>
      </c>
      <c r="F101" s="2" t="s">
        <v>2562</v>
      </c>
      <c r="G101" s="2" t="s">
        <v>212</v>
      </c>
      <c r="H101" s="2" t="s">
        <v>2563</v>
      </c>
    </row>
    <row r="102" customFormat="false" ht="15" hidden="false" customHeight="false" outlineLevel="0" collapsed="false">
      <c r="A102" s="2" t="s">
        <v>2663</v>
      </c>
      <c r="B102" s="2" t="s">
        <v>364</v>
      </c>
      <c r="C102" s="2" t="s">
        <v>800</v>
      </c>
      <c r="D102" s="2" t="s">
        <v>102</v>
      </c>
      <c r="E102" s="2" t="n">
        <v>2</v>
      </c>
      <c r="F102" s="2" t="s">
        <v>2562</v>
      </c>
      <c r="G102" s="2" t="s">
        <v>212</v>
      </c>
      <c r="H102" s="2" t="s">
        <v>2563</v>
      </c>
    </row>
    <row r="103" customFormat="false" ht="15" hidden="false" customHeight="false" outlineLevel="0" collapsed="false">
      <c r="A103" s="2" t="s">
        <v>2664</v>
      </c>
      <c r="B103" s="2" t="s">
        <v>366</v>
      </c>
      <c r="C103" s="2" t="s">
        <v>742</v>
      </c>
      <c r="D103" s="2" t="s">
        <v>88</v>
      </c>
      <c r="E103" s="2" t="n">
        <v>1</v>
      </c>
      <c r="F103" s="2" t="s">
        <v>2562</v>
      </c>
      <c r="G103" s="2" t="s">
        <v>212</v>
      </c>
      <c r="H103" s="2" t="s">
        <v>2563</v>
      </c>
    </row>
    <row r="104" customFormat="false" ht="15" hidden="false" customHeight="false" outlineLevel="0" collapsed="false">
      <c r="A104" s="2" t="s">
        <v>2665</v>
      </c>
      <c r="B104" s="2" t="s">
        <v>367</v>
      </c>
      <c r="C104" s="2" t="s">
        <v>806</v>
      </c>
      <c r="D104" s="2" t="s">
        <v>145</v>
      </c>
      <c r="E104" s="2" t="n">
        <v>1</v>
      </c>
      <c r="F104" s="2" t="s">
        <v>2562</v>
      </c>
      <c r="G104" s="2" t="s">
        <v>212</v>
      </c>
      <c r="H104" s="2" t="s">
        <v>2563</v>
      </c>
    </row>
    <row r="105" customFormat="false" ht="15" hidden="false" customHeight="false" outlineLevel="0" collapsed="false">
      <c r="A105" s="2" t="s">
        <v>2666</v>
      </c>
      <c r="B105" s="2" t="s">
        <v>367</v>
      </c>
      <c r="C105" s="2" t="s">
        <v>843</v>
      </c>
      <c r="D105" s="2" t="s">
        <v>120</v>
      </c>
      <c r="E105" s="2" t="n">
        <v>2</v>
      </c>
      <c r="F105" s="2" t="s">
        <v>2562</v>
      </c>
      <c r="G105" s="2" t="s">
        <v>212</v>
      </c>
      <c r="H105" s="2" t="s">
        <v>2563</v>
      </c>
    </row>
    <row r="106" customFormat="false" ht="15" hidden="false" customHeight="false" outlineLevel="0" collapsed="false">
      <c r="A106" s="2" t="s">
        <v>2667</v>
      </c>
      <c r="B106" s="2" t="s">
        <v>369</v>
      </c>
      <c r="C106" s="2" t="s">
        <v>750</v>
      </c>
      <c r="D106" s="2" t="s">
        <v>91</v>
      </c>
      <c r="E106" s="2" t="n">
        <v>1</v>
      </c>
      <c r="F106" s="2" t="s">
        <v>2562</v>
      </c>
      <c r="G106" s="2" t="s">
        <v>212</v>
      </c>
      <c r="H106" s="2" t="s">
        <v>2563</v>
      </c>
    </row>
    <row r="107" customFormat="false" ht="15" hidden="false" customHeight="false" outlineLevel="0" collapsed="false">
      <c r="A107" s="2" t="s">
        <v>2668</v>
      </c>
      <c r="B107" s="2" t="s">
        <v>370</v>
      </c>
      <c r="C107" s="2" t="s">
        <v>846</v>
      </c>
      <c r="D107" s="2" t="s">
        <v>112</v>
      </c>
      <c r="E107" s="2" t="n">
        <v>1</v>
      </c>
      <c r="F107" s="2" t="s">
        <v>2562</v>
      </c>
      <c r="G107" s="2" t="s">
        <v>212</v>
      </c>
      <c r="H107" s="2" t="s">
        <v>2563</v>
      </c>
    </row>
    <row r="108" customFormat="false" ht="15" hidden="false" customHeight="false" outlineLevel="0" collapsed="false">
      <c r="A108" s="2" t="s">
        <v>2669</v>
      </c>
      <c r="B108" s="2" t="s">
        <v>371</v>
      </c>
      <c r="C108" s="2" t="s">
        <v>848</v>
      </c>
      <c r="D108" s="2" t="s">
        <v>127</v>
      </c>
      <c r="E108" s="2" t="n">
        <v>1</v>
      </c>
      <c r="F108" s="2" t="s">
        <v>2562</v>
      </c>
      <c r="G108" s="2" t="s">
        <v>212</v>
      </c>
      <c r="H108" s="2" t="s">
        <v>2563</v>
      </c>
    </row>
    <row r="109" customFormat="false" ht="15" hidden="false" customHeight="false" outlineLevel="0" collapsed="false">
      <c r="A109" s="2" t="s">
        <v>2670</v>
      </c>
      <c r="B109" s="2" t="s">
        <v>373</v>
      </c>
      <c r="C109" s="2" t="s">
        <v>754</v>
      </c>
      <c r="D109" s="2" t="s">
        <v>124</v>
      </c>
      <c r="E109" s="2" t="n">
        <v>1</v>
      </c>
      <c r="F109" s="2" t="s">
        <v>2562</v>
      </c>
      <c r="G109" s="2" t="s">
        <v>212</v>
      </c>
      <c r="H109" s="2" t="s">
        <v>2563</v>
      </c>
    </row>
    <row r="110" customFormat="false" ht="15" hidden="false" customHeight="false" outlineLevel="0" collapsed="false">
      <c r="A110" s="2" t="s">
        <v>2671</v>
      </c>
      <c r="B110" s="2" t="s">
        <v>375</v>
      </c>
      <c r="C110" s="2" t="s">
        <v>758</v>
      </c>
      <c r="D110" s="2" t="s">
        <v>84</v>
      </c>
      <c r="E110" s="2" t="n">
        <v>1</v>
      </c>
      <c r="F110" s="2" t="s">
        <v>2562</v>
      </c>
      <c r="G110" s="2" t="s">
        <v>212</v>
      </c>
      <c r="H110" s="2" t="s">
        <v>2563</v>
      </c>
    </row>
    <row r="111" customFormat="false" ht="15" hidden="false" customHeight="false" outlineLevel="0" collapsed="false">
      <c r="A111" s="2" t="s">
        <v>2672</v>
      </c>
      <c r="B111" s="2" t="s">
        <v>376</v>
      </c>
      <c r="C111" s="2" t="s">
        <v>852</v>
      </c>
      <c r="D111" s="2" t="s">
        <v>114</v>
      </c>
      <c r="E111" s="2" t="n">
        <v>1</v>
      </c>
      <c r="F111" s="2" t="s">
        <v>2562</v>
      </c>
      <c r="G111" s="2" t="s">
        <v>212</v>
      </c>
      <c r="H111" s="2" t="s">
        <v>2563</v>
      </c>
    </row>
    <row r="112" customFormat="false" ht="15" hidden="false" customHeight="false" outlineLevel="0" collapsed="false">
      <c r="A112" s="2" t="s">
        <v>2673</v>
      </c>
      <c r="B112" s="2" t="s">
        <v>378</v>
      </c>
      <c r="C112" s="2" t="s">
        <v>806</v>
      </c>
      <c r="D112" s="2" t="s">
        <v>145</v>
      </c>
      <c r="E112" s="2" t="n">
        <v>1</v>
      </c>
      <c r="F112" s="2" t="s">
        <v>2562</v>
      </c>
      <c r="G112" s="2" t="s">
        <v>212</v>
      </c>
      <c r="H112" s="2" t="s">
        <v>2563</v>
      </c>
    </row>
    <row r="113" customFormat="false" ht="15" hidden="false" customHeight="false" outlineLevel="0" collapsed="false">
      <c r="A113" s="2" t="s">
        <v>2674</v>
      </c>
      <c r="B113" s="2" t="s">
        <v>380</v>
      </c>
      <c r="C113" s="2" t="s">
        <v>744</v>
      </c>
      <c r="D113" s="2" t="s">
        <v>131</v>
      </c>
      <c r="E113" s="2" t="n">
        <v>1</v>
      </c>
      <c r="F113" s="2" t="s">
        <v>2562</v>
      </c>
      <c r="G113" s="2" t="s">
        <v>212</v>
      </c>
      <c r="H113" s="2" t="s">
        <v>2563</v>
      </c>
    </row>
    <row r="114" customFormat="false" ht="15" hidden="false" customHeight="false" outlineLevel="0" collapsed="false">
      <c r="A114" s="2" t="s">
        <v>2675</v>
      </c>
      <c r="B114" s="2" t="s">
        <v>382</v>
      </c>
      <c r="C114" s="2" t="s">
        <v>828</v>
      </c>
      <c r="D114" s="2" t="s">
        <v>51</v>
      </c>
      <c r="E114" s="2" t="n">
        <v>1</v>
      </c>
      <c r="F114" s="2" t="s">
        <v>2562</v>
      </c>
      <c r="G114" s="2" t="s">
        <v>212</v>
      </c>
      <c r="H114" s="2" t="s">
        <v>2563</v>
      </c>
    </row>
    <row r="115" customFormat="false" ht="15" hidden="false" customHeight="false" outlineLevel="0" collapsed="false">
      <c r="A115" s="2" t="s">
        <v>2676</v>
      </c>
      <c r="B115" s="2" t="s">
        <v>384</v>
      </c>
      <c r="C115" s="2" t="s">
        <v>825</v>
      </c>
      <c r="D115" s="2" t="s">
        <v>110</v>
      </c>
      <c r="E115" s="2" t="n">
        <v>1</v>
      </c>
      <c r="F115" s="2" t="s">
        <v>2562</v>
      </c>
      <c r="G115" s="2" t="s">
        <v>212</v>
      </c>
      <c r="H115" s="2" t="s">
        <v>2563</v>
      </c>
    </row>
    <row r="116" customFormat="false" ht="15" hidden="false" customHeight="false" outlineLevel="0" collapsed="false">
      <c r="A116" s="2" t="s">
        <v>2677</v>
      </c>
      <c r="B116" s="2" t="s">
        <v>386</v>
      </c>
      <c r="C116" s="2" t="s">
        <v>804</v>
      </c>
      <c r="D116" s="2" t="s">
        <v>147</v>
      </c>
      <c r="E116" s="2" t="n">
        <v>1</v>
      </c>
      <c r="F116" s="2" t="s">
        <v>2562</v>
      </c>
      <c r="G116" s="2" t="s">
        <v>212</v>
      </c>
      <c r="H116" s="2" t="s">
        <v>2563</v>
      </c>
    </row>
    <row r="117" customFormat="false" ht="15" hidden="false" customHeight="false" outlineLevel="0" collapsed="false">
      <c r="A117" s="2" t="s">
        <v>2678</v>
      </c>
      <c r="B117" s="2" t="s">
        <v>386</v>
      </c>
      <c r="C117" s="2" t="s">
        <v>745</v>
      </c>
      <c r="D117" s="2" t="s">
        <v>135</v>
      </c>
      <c r="E117" s="2" t="n">
        <v>2</v>
      </c>
      <c r="F117" s="2" t="s">
        <v>2562</v>
      </c>
      <c r="G117" s="2" t="s">
        <v>212</v>
      </c>
      <c r="H117" s="2" t="s">
        <v>2563</v>
      </c>
    </row>
    <row r="118" customFormat="false" ht="15" hidden="false" customHeight="false" outlineLevel="0" collapsed="false">
      <c r="A118" s="2" t="s">
        <v>2679</v>
      </c>
      <c r="B118" s="2" t="s">
        <v>388</v>
      </c>
      <c r="C118" s="2" t="s">
        <v>760</v>
      </c>
      <c r="D118" s="2" t="s">
        <v>68</v>
      </c>
      <c r="E118" s="2" t="n">
        <v>1</v>
      </c>
      <c r="F118" s="2" t="s">
        <v>2562</v>
      </c>
      <c r="G118" s="2" t="s">
        <v>212</v>
      </c>
      <c r="H118" s="2" t="s">
        <v>2563</v>
      </c>
    </row>
    <row r="119" customFormat="false" ht="15" hidden="false" customHeight="false" outlineLevel="0" collapsed="false">
      <c r="A119" s="2" t="s">
        <v>2680</v>
      </c>
      <c r="B119" s="2" t="s">
        <v>389</v>
      </c>
      <c r="C119" s="2" t="s">
        <v>724</v>
      </c>
      <c r="D119" s="2" t="s">
        <v>142</v>
      </c>
      <c r="E119" s="2" t="n">
        <v>1</v>
      </c>
      <c r="F119" s="2" t="s">
        <v>2562</v>
      </c>
      <c r="G119" s="2" t="s">
        <v>212</v>
      </c>
      <c r="H119" s="2" t="s">
        <v>2563</v>
      </c>
    </row>
    <row r="120" customFormat="false" ht="15" hidden="false" customHeight="false" outlineLevel="0" collapsed="false">
      <c r="A120" s="2" t="s">
        <v>2681</v>
      </c>
      <c r="B120" s="2" t="s">
        <v>389</v>
      </c>
      <c r="C120" s="2" t="s">
        <v>698</v>
      </c>
      <c r="D120" s="2" t="s">
        <v>104</v>
      </c>
      <c r="E120" s="2" t="n">
        <v>2</v>
      </c>
      <c r="F120" s="2" t="s">
        <v>2562</v>
      </c>
      <c r="G120" s="2" t="s">
        <v>212</v>
      </c>
      <c r="H120" s="2" t="s">
        <v>2563</v>
      </c>
    </row>
    <row r="121" customFormat="false" ht="15" hidden="false" customHeight="false" outlineLevel="0" collapsed="false">
      <c r="A121" s="2" t="s">
        <v>2682</v>
      </c>
      <c r="B121" s="2" t="s">
        <v>389</v>
      </c>
      <c r="C121" s="2" t="s">
        <v>806</v>
      </c>
      <c r="D121" s="2" t="s">
        <v>145</v>
      </c>
      <c r="E121" s="2" t="n">
        <v>3</v>
      </c>
      <c r="F121" s="2" t="s">
        <v>2562</v>
      </c>
      <c r="G121" s="2" t="s">
        <v>212</v>
      </c>
      <c r="H121" s="2" t="s">
        <v>2563</v>
      </c>
    </row>
    <row r="122" customFormat="false" ht="15" hidden="false" customHeight="false" outlineLevel="0" collapsed="false">
      <c r="A122" s="2" t="s">
        <v>2683</v>
      </c>
      <c r="B122" s="2" t="s">
        <v>390</v>
      </c>
      <c r="C122" s="2" t="s">
        <v>724</v>
      </c>
      <c r="D122" s="2" t="s">
        <v>142</v>
      </c>
      <c r="E122" s="2" t="n">
        <v>1</v>
      </c>
      <c r="F122" s="2" t="s">
        <v>2562</v>
      </c>
      <c r="G122" s="2" t="s">
        <v>212</v>
      </c>
      <c r="H122" s="2" t="s">
        <v>2563</v>
      </c>
    </row>
    <row r="123" customFormat="false" ht="15" hidden="false" customHeight="false" outlineLevel="0" collapsed="false">
      <c r="A123" s="2" t="s">
        <v>2684</v>
      </c>
      <c r="B123" s="2" t="s">
        <v>390</v>
      </c>
      <c r="C123" s="2" t="s">
        <v>768</v>
      </c>
      <c r="D123" s="2" t="s">
        <v>90</v>
      </c>
      <c r="E123" s="2" t="n">
        <v>2</v>
      </c>
      <c r="F123" s="2" t="s">
        <v>2562</v>
      </c>
      <c r="G123" s="2" t="s">
        <v>212</v>
      </c>
      <c r="H123" s="2" t="s">
        <v>2563</v>
      </c>
    </row>
    <row r="124" customFormat="false" ht="15" hidden="false" customHeight="false" outlineLevel="0" collapsed="false">
      <c r="A124" s="2" t="s">
        <v>2685</v>
      </c>
      <c r="B124" s="2" t="s">
        <v>391</v>
      </c>
      <c r="C124" s="2" t="s">
        <v>698</v>
      </c>
      <c r="D124" s="2" t="s">
        <v>104</v>
      </c>
      <c r="E124" s="2" t="n">
        <v>1</v>
      </c>
      <c r="F124" s="2" t="s">
        <v>2562</v>
      </c>
      <c r="G124" s="2" t="s">
        <v>212</v>
      </c>
      <c r="H124" s="2" t="s">
        <v>2563</v>
      </c>
    </row>
    <row r="125" customFormat="false" ht="15" hidden="false" customHeight="false" outlineLevel="0" collapsed="false">
      <c r="A125" s="2" t="s">
        <v>2686</v>
      </c>
      <c r="B125" s="2" t="s">
        <v>391</v>
      </c>
      <c r="C125" s="2" t="s">
        <v>754</v>
      </c>
      <c r="D125" s="2" t="s">
        <v>124</v>
      </c>
      <c r="E125" s="2" t="n">
        <v>2</v>
      </c>
      <c r="F125" s="2" t="s">
        <v>2562</v>
      </c>
      <c r="G125" s="2" t="s">
        <v>212</v>
      </c>
      <c r="H125" s="2" t="s">
        <v>2563</v>
      </c>
    </row>
    <row r="126" customFormat="false" ht="15" hidden="false" customHeight="false" outlineLevel="0" collapsed="false">
      <c r="A126" s="2" t="s">
        <v>2687</v>
      </c>
      <c r="B126" s="2" t="s">
        <v>393</v>
      </c>
      <c r="C126" s="2" t="s">
        <v>838</v>
      </c>
      <c r="D126" s="2" t="s">
        <v>111</v>
      </c>
      <c r="E126" s="2" t="n">
        <v>1</v>
      </c>
      <c r="F126" s="2" t="s">
        <v>2562</v>
      </c>
      <c r="G126" s="2" t="s">
        <v>212</v>
      </c>
      <c r="H126" s="2" t="s">
        <v>2563</v>
      </c>
    </row>
    <row r="127" customFormat="false" ht="15" hidden="false" customHeight="false" outlineLevel="0" collapsed="false">
      <c r="A127" s="2" t="s">
        <v>2688</v>
      </c>
      <c r="B127" s="2" t="s">
        <v>395</v>
      </c>
      <c r="C127" s="2" t="s">
        <v>825</v>
      </c>
      <c r="D127" s="2" t="s">
        <v>110</v>
      </c>
      <c r="E127" s="2" t="n">
        <v>1</v>
      </c>
      <c r="F127" s="2" t="s">
        <v>2562</v>
      </c>
      <c r="G127" s="2" t="s">
        <v>212</v>
      </c>
      <c r="H127" s="2" t="s">
        <v>2563</v>
      </c>
    </row>
    <row r="128" customFormat="false" ht="15" hidden="false" customHeight="false" outlineLevel="0" collapsed="false">
      <c r="A128" s="2" t="s">
        <v>2689</v>
      </c>
      <c r="B128" s="2" t="s">
        <v>395</v>
      </c>
      <c r="C128" s="2" t="s">
        <v>784</v>
      </c>
      <c r="D128" s="2" t="s">
        <v>89</v>
      </c>
      <c r="E128" s="2" t="n">
        <v>2</v>
      </c>
      <c r="F128" s="2" t="s">
        <v>2562</v>
      </c>
      <c r="G128" s="2" t="s">
        <v>212</v>
      </c>
      <c r="H128" s="2" t="s">
        <v>2563</v>
      </c>
    </row>
    <row r="129" customFormat="false" ht="15" hidden="false" customHeight="false" outlineLevel="0" collapsed="false">
      <c r="A129" s="2" t="s">
        <v>2690</v>
      </c>
      <c r="B129" s="2" t="s">
        <v>397</v>
      </c>
      <c r="C129" s="2" t="s">
        <v>836</v>
      </c>
      <c r="D129" s="2" t="s">
        <v>128</v>
      </c>
      <c r="E129" s="2" t="n">
        <v>1</v>
      </c>
      <c r="F129" s="2" t="s">
        <v>2562</v>
      </c>
      <c r="G129" s="2" t="s">
        <v>212</v>
      </c>
      <c r="H129" s="2" t="s">
        <v>2563</v>
      </c>
    </row>
    <row r="130" customFormat="false" ht="15" hidden="false" customHeight="false" outlineLevel="0" collapsed="false">
      <c r="A130" s="2" t="s">
        <v>2691</v>
      </c>
      <c r="B130" s="2" t="s">
        <v>399</v>
      </c>
      <c r="C130" s="2" t="s">
        <v>722</v>
      </c>
      <c r="D130" s="2" t="s">
        <v>72</v>
      </c>
      <c r="E130" s="2" t="n">
        <v>1</v>
      </c>
      <c r="F130" s="2" t="s">
        <v>2562</v>
      </c>
      <c r="G130" s="2" t="s">
        <v>212</v>
      </c>
      <c r="H130" s="2" t="s">
        <v>2563</v>
      </c>
    </row>
    <row r="131" customFormat="false" ht="15" hidden="false" customHeight="false" outlineLevel="0" collapsed="false">
      <c r="A131" s="2" t="s">
        <v>2692</v>
      </c>
      <c r="B131" s="2" t="s">
        <v>401</v>
      </c>
      <c r="C131" s="2" t="s">
        <v>722</v>
      </c>
      <c r="D131" s="2" t="s">
        <v>72</v>
      </c>
      <c r="E131" s="2" t="n">
        <v>1</v>
      </c>
      <c r="F131" s="2" t="s">
        <v>2562</v>
      </c>
      <c r="G131" s="2" t="s">
        <v>212</v>
      </c>
      <c r="H131" s="2" t="s">
        <v>2563</v>
      </c>
    </row>
    <row r="132" customFormat="false" ht="15" hidden="false" customHeight="false" outlineLevel="0" collapsed="false">
      <c r="A132" s="2" t="s">
        <v>2693</v>
      </c>
      <c r="B132" s="2" t="s">
        <v>403</v>
      </c>
      <c r="C132" s="2" t="s">
        <v>776</v>
      </c>
      <c r="D132" s="2" t="s">
        <v>92</v>
      </c>
      <c r="E132" s="2" t="n">
        <v>1</v>
      </c>
      <c r="F132" s="2" t="s">
        <v>2562</v>
      </c>
      <c r="G132" s="2" t="s">
        <v>212</v>
      </c>
      <c r="H132" s="2" t="s">
        <v>2563</v>
      </c>
    </row>
    <row r="133" customFormat="false" ht="15" hidden="false" customHeight="false" outlineLevel="0" collapsed="false">
      <c r="A133" s="2" t="s">
        <v>2694</v>
      </c>
      <c r="B133" s="2" t="s">
        <v>404</v>
      </c>
      <c r="C133" s="2" t="s">
        <v>828</v>
      </c>
      <c r="D133" s="2" t="s">
        <v>51</v>
      </c>
      <c r="E133" s="2" t="n">
        <v>1</v>
      </c>
      <c r="F133" s="2" t="s">
        <v>2562</v>
      </c>
      <c r="G133" s="2" t="s">
        <v>212</v>
      </c>
      <c r="H133" s="2" t="s">
        <v>2563</v>
      </c>
    </row>
    <row r="134" customFormat="false" ht="15" hidden="false" customHeight="false" outlineLevel="0" collapsed="false">
      <c r="A134" s="2" t="s">
        <v>2695</v>
      </c>
      <c r="B134" s="2" t="s">
        <v>406</v>
      </c>
      <c r="C134" s="2" t="s">
        <v>795</v>
      </c>
      <c r="D134" s="2" t="s">
        <v>97</v>
      </c>
      <c r="E134" s="2" t="n">
        <v>1</v>
      </c>
      <c r="F134" s="2" t="s">
        <v>2562</v>
      </c>
      <c r="G134" s="2" t="s">
        <v>212</v>
      </c>
      <c r="H134" s="2" t="s">
        <v>2563</v>
      </c>
    </row>
    <row r="135" customFormat="false" ht="15" hidden="false" customHeight="false" outlineLevel="0" collapsed="false">
      <c r="A135" s="2" t="s">
        <v>2696</v>
      </c>
      <c r="B135" s="2" t="s">
        <v>408</v>
      </c>
      <c r="C135" s="2" t="s">
        <v>808</v>
      </c>
      <c r="D135" s="2" t="s">
        <v>126</v>
      </c>
      <c r="E135" s="2" t="n">
        <v>1</v>
      </c>
      <c r="F135" s="2" t="s">
        <v>2562</v>
      </c>
      <c r="G135" s="2" t="s">
        <v>212</v>
      </c>
      <c r="H135" s="2" t="s">
        <v>2563</v>
      </c>
    </row>
    <row r="136" customFormat="false" ht="15" hidden="false" customHeight="false" outlineLevel="0" collapsed="false">
      <c r="A136" s="2" t="s">
        <v>2697</v>
      </c>
      <c r="B136" s="2" t="s">
        <v>409</v>
      </c>
      <c r="C136" s="2" t="s">
        <v>724</v>
      </c>
      <c r="D136" s="2" t="s">
        <v>142</v>
      </c>
      <c r="E136" s="2" t="n">
        <v>1</v>
      </c>
      <c r="F136" s="2" t="s">
        <v>2562</v>
      </c>
      <c r="G136" s="2" t="s">
        <v>212</v>
      </c>
      <c r="H136" s="2" t="s">
        <v>2563</v>
      </c>
    </row>
    <row r="137" customFormat="false" ht="15" hidden="false" customHeight="false" outlineLevel="0" collapsed="false">
      <c r="A137" s="2" t="s">
        <v>2698</v>
      </c>
      <c r="B137" s="2" t="s">
        <v>411</v>
      </c>
      <c r="C137" s="2" t="s">
        <v>793</v>
      </c>
      <c r="D137" s="2" t="s">
        <v>130</v>
      </c>
      <c r="E137" s="2" t="n">
        <v>1</v>
      </c>
      <c r="F137" s="2" t="s">
        <v>2562</v>
      </c>
      <c r="G137" s="2" t="s">
        <v>212</v>
      </c>
      <c r="H137" s="2" t="s">
        <v>2563</v>
      </c>
    </row>
    <row r="138" customFormat="false" ht="15" hidden="false" customHeight="false" outlineLevel="0" collapsed="false">
      <c r="A138" s="2" t="s">
        <v>2699</v>
      </c>
      <c r="B138" s="2" t="s">
        <v>412</v>
      </c>
      <c r="C138" s="2" t="s">
        <v>744</v>
      </c>
      <c r="D138" s="2" t="s">
        <v>131</v>
      </c>
      <c r="E138" s="2" t="n">
        <v>1</v>
      </c>
      <c r="F138" s="2" t="s">
        <v>2562</v>
      </c>
      <c r="G138" s="2" t="s">
        <v>212</v>
      </c>
      <c r="H138" s="2" t="s">
        <v>2563</v>
      </c>
    </row>
    <row r="139" customFormat="false" ht="15" hidden="false" customHeight="false" outlineLevel="0" collapsed="false">
      <c r="A139" s="2" t="s">
        <v>2700</v>
      </c>
      <c r="B139" s="2" t="s">
        <v>412</v>
      </c>
      <c r="C139" s="2" t="s">
        <v>724</v>
      </c>
      <c r="D139" s="2" t="s">
        <v>142</v>
      </c>
      <c r="E139" s="2" t="n">
        <v>2</v>
      </c>
      <c r="F139" s="2" t="s">
        <v>2562</v>
      </c>
      <c r="G139" s="2" t="s">
        <v>212</v>
      </c>
      <c r="H139" s="2" t="s">
        <v>2563</v>
      </c>
    </row>
    <row r="140" customFormat="false" ht="15" hidden="false" customHeight="false" outlineLevel="0" collapsed="false">
      <c r="A140" s="2" t="s">
        <v>2701</v>
      </c>
      <c r="B140" s="2" t="s">
        <v>412</v>
      </c>
      <c r="C140" s="2" t="s">
        <v>698</v>
      </c>
      <c r="D140" s="2" t="s">
        <v>104</v>
      </c>
      <c r="E140" s="2" t="n">
        <v>3</v>
      </c>
      <c r="F140" s="2" t="s">
        <v>2562</v>
      </c>
      <c r="G140" s="2" t="s">
        <v>212</v>
      </c>
      <c r="H140" s="2" t="s">
        <v>2563</v>
      </c>
    </row>
    <row r="141" customFormat="false" ht="15" hidden="false" customHeight="false" outlineLevel="0" collapsed="false">
      <c r="A141" s="2" t="s">
        <v>2702</v>
      </c>
      <c r="B141" s="2" t="s">
        <v>412</v>
      </c>
      <c r="C141" s="2" t="s">
        <v>740</v>
      </c>
      <c r="D141" s="2" t="s">
        <v>82</v>
      </c>
      <c r="E141" s="2" t="n">
        <v>4</v>
      </c>
      <c r="F141" s="2" t="s">
        <v>2562</v>
      </c>
      <c r="G141" s="2" t="s">
        <v>212</v>
      </c>
      <c r="H141" s="2" t="s">
        <v>2563</v>
      </c>
    </row>
    <row r="142" customFormat="false" ht="15" hidden="false" customHeight="false" outlineLevel="0" collapsed="false">
      <c r="A142" s="2" t="s">
        <v>2703</v>
      </c>
      <c r="B142" s="2" t="s">
        <v>414</v>
      </c>
      <c r="C142" s="2" t="s">
        <v>698</v>
      </c>
      <c r="D142" s="2" t="s">
        <v>104</v>
      </c>
      <c r="E142" s="2" t="n">
        <v>1</v>
      </c>
      <c r="F142" s="2" t="s">
        <v>2562</v>
      </c>
      <c r="G142" s="2" t="s">
        <v>212</v>
      </c>
      <c r="H142" s="2" t="s">
        <v>2563</v>
      </c>
    </row>
    <row r="143" customFormat="false" ht="15" hidden="false" customHeight="false" outlineLevel="0" collapsed="false">
      <c r="A143" s="2" t="s">
        <v>2704</v>
      </c>
      <c r="B143" s="2" t="s">
        <v>414</v>
      </c>
      <c r="C143" s="2" t="s">
        <v>724</v>
      </c>
      <c r="D143" s="2" t="s">
        <v>142</v>
      </c>
      <c r="E143" s="2" t="n">
        <v>2</v>
      </c>
      <c r="F143" s="2" t="s">
        <v>2562</v>
      </c>
      <c r="G143" s="2" t="s">
        <v>212</v>
      </c>
      <c r="H143" s="2" t="s">
        <v>2563</v>
      </c>
    </row>
    <row r="144" customFormat="false" ht="15" hidden="false" customHeight="false" outlineLevel="0" collapsed="false">
      <c r="A144" s="2" t="s">
        <v>2705</v>
      </c>
      <c r="B144" s="2" t="s">
        <v>414</v>
      </c>
      <c r="C144" s="2" t="s">
        <v>740</v>
      </c>
      <c r="D144" s="2" t="s">
        <v>82</v>
      </c>
      <c r="E144" s="2" t="n">
        <v>3</v>
      </c>
      <c r="F144" s="2" t="s">
        <v>2562</v>
      </c>
      <c r="G144" s="2" t="s">
        <v>212</v>
      </c>
      <c r="H144" s="2" t="s">
        <v>2563</v>
      </c>
    </row>
    <row r="145" customFormat="false" ht="15" hidden="false" customHeight="false" outlineLevel="0" collapsed="false">
      <c r="A145" s="2" t="s">
        <v>2706</v>
      </c>
      <c r="B145" s="2" t="s">
        <v>415</v>
      </c>
      <c r="C145" s="2" t="s">
        <v>768</v>
      </c>
      <c r="D145" s="2" t="s">
        <v>90</v>
      </c>
      <c r="E145" s="2" t="n">
        <v>1</v>
      </c>
      <c r="F145" s="2" t="s">
        <v>2562</v>
      </c>
      <c r="G145" s="2" t="s">
        <v>212</v>
      </c>
      <c r="H145" s="2" t="s">
        <v>2563</v>
      </c>
    </row>
    <row r="146" customFormat="false" ht="15" hidden="false" customHeight="false" outlineLevel="0" collapsed="false">
      <c r="A146" s="2" t="s">
        <v>2707</v>
      </c>
      <c r="B146" s="2" t="s">
        <v>416</v>
      </c>
      <c r="C146" s="2" t="s">
        <v>880</v>
      </c>
      <c r="D146" s="2" t="s">
        <v>107</v>
      </c>
      <c r="E146" s="2" t="n">
        <v>1</v>
      </c>
      <c r="F146" s="2" t="s">
        <v>2562</v>
      </c>
      <c r="G146" s="2" t="s">
        <v>212</v>
      </c>
      <c r="H146" s="2" t="s">
        <v>2563</v>
      </c>
    </row>
    <row r="147" customFormat="false" ht="15" hidden="false" customHeight="false" outlineLevel="0" collapsed="false">
      <c r="A147" s="2" t="s">
        <v>2708</v>
      </c>
      <c r="B147" s="2" t="s">
        <v>418</v>
      </c>
      <c r="C147" s="2" t="s">
        <v>806</v>
      </c>
      <c r="D147" s="2" t="s">
        <v>145</v>
      </c>
      <c r="E147" s="2" t="n">
        <v>1</v>
      </c>
      <c r="F147" s="2" t="s">
        <v>2562</v>
      </c>
      <c r="G147" s="2" t="s">
        <v>212</v>
      </c>
      <c r="H147" s="2" t="s">
        <v>2563</v>
      </c>
    </row>
    <row r="148" customFormat="false" ht="15" hidden="false" customHeight="false" outlineLevel="0" collapsed="false">
      <c r="A148" s="2" t="s">
        <v>2709</v>
      </c>
      <c r="B148" s="2" t="s">
        <v>420</v>
      </c>
      <c r="C148" s="2" t="s">
        <v>883</v>
      </c>
      <c r="D148" s="2" t="s">
        <v>146</v>
      </c>
      <c r="E148" s="2" t="n">
        <v>1</v>
      </c>
      <c r="F148" s="2" t="s">
        <v>2562</v>
      </c>
      <c r="G148" s="2" t="s">
        <v>212</v>
      </c>
      <c r="H148" s="2" t="s">
        <v>2563</v>
      </c>
    </row>
    <row r="149" customFormat="false" ht="15" hidden="false" customHeight="false" outlineLevel="0" collapsed="false">
      <c r="A149" s="2" t="s">
        <v>2710</v>
      </c>
      <c r="B149" s="2" t="s">
        <v>420</v>
      </c>
      <c r="C149" s="2" t="s">
        <v>884</v>
      </c>
      <c r="D149" s="2" t="s">
        <v>148</v>
      </c>
      <c r="E149" s="2" t="n">
        <v>2</v>
      </c>
      <c r="F149" s="2" t="s">
        <v>2562</v>
      </c>
      <c r="G149" s="2" t="s">
        <v>212</v>
      </c>
      <c r="H149" s="2" t="s">
        <v>2563</v>
      </c>
    </row>
    <row r="150" customFormat="false" ht="23.85" hidden="false" customHeight="false" outlineLevel="0" collapsed="false">
      <c r="A150" s="2" t="s">
        <v>2711</v>
      </c>
      <c r="B150" s="2" t="s">
        <v>422</v>
      </c>
      <c r="C150" s="2" t="s">
        <v>886</v>
      </c>
      <c r="D150" s="2" t="s">
        <v>423</v>
      </c>
      <c r="E150" s="2" t="n">
        <v>1</v>
      </c>
      <c r="F150" s="2" t="s">
        <v>2712</v>
      </c>
      <c r="G150" s="2" t="s">
        <v>212</v>
      </c>
      <c r="H150" s="2" t="s">
        <v>2713</v>
      </c>
    </row>
    <row r="151" customFormat="false" ht="15" hidden="false" customHeight="false" outlineLevel="0" collapsed="false">
      <c r="A151" s="2" t="s">
        <v>2714</v>
      </c>
      <c r="B151" s="2" t="s">
        <v>424</v>
      </c>
      <c r="C151" s="2" t="s">
        <v>825</v>
      </c>
      <c r="D151" s="2" t="s">
        <v>110</v>
      </c>
      <c r="E151" s="2" t="n">
        <v>1</v>
      </c>
      <c r="F151" s="2" t="s">
        <v>2562</v>
      </c>
      <c r="G151" s="2" t="s">
        <v>212</v>
      </c>
      <c r="H151" s="2" t="s">
        <v>2563</v>
      </c>
    </row>
    <row r="152" customFormat="false" ht="15" hidden="false" customHeight="false" outlineLevel="0" collapsed="false">
      <c r="A152" s="2" t="s">
        <v>2715</v>
      </c>
      <c r="B152" s="2" t="s">
        <v>426</v>
      </c>
      <c r="C152" s="2" t="s">
        <v>726</v>
      </c>
      <c r="D152" s="2" t="s">
        <v>134</v>
      </c>
      <c r="E152" s="2" t="n">
        <v>1</v>
      </c>
      <c r="F152" s="2" t="s">
        <v>2562</v>
      </c>
      <c r="G152" s="2" t="s">
        <v>212</v>
      </c>
      <c r="H152" s="2" t="s">
        <v>2563</v>
      </c>
    </row>
    <row r="153" customFormat="false" ht="15" hidden="false" customHeight="false" outlineLevel="0" collapsed="false">
      <c r="A153" s="2" t="s">
        <v>2716</v>
      </c>
      <c r="B153" s="2" t="s">
        <v>427</v>
      </c>
      <c r="C153" s="2" t="s">
        <v>828</v>
      </c>
      <c r="D153" s="2" t="s">
        <v>51</v>
      </c>
      <c r="E153" s="2" t="n">
        <v>1</v>
      </c>
      <c r="F153" s="2" t="s">
        <v>2562</v>
      </c>
      <c r="G153" s="2" t="s">
        <v>212</v>
      </c>
      <c r="H153" s="2" t="s">
        <v>2563</v>
      </c>
    </row>
    <row r="154" customFormat="false" ht="15" hidden="false" customHeight="false" outlineLevel="0" collapsed="false">
      <c r="A154" s="2" t="s">
        <v>2717</v>
      </c>
      <c r="B154" s="2" t="s">
        <v>427</v>
      </c>
      <c r="C154" s="2" t="s">
        <v>884</v>
      </c>
      <c r="D154" s="2" t="s">
        <v>148</v>
      </c>
      <c r="E154" s="2" t="n">
        <v>2</v>
      </c>
      <c r="F154" s="2" t="s">
        <v>2562</v>
      </c>
      <c r="G154" s="2" t="s">
        <v>212</v>
      </c>
      <c r="H154" s="2" t="s">
        <v>2563</v>
      </c>
    </row>
    <row r="155" customFormat="false" ht="15" hidden="false" customHeight="false" outlineLevel="0" collapsed="false">
      <c r="A155" s="2" t="s">
        <v>2718</v>
      </c>
      <c r="B155" s="2" t="s">
        <v>429</v>
      </c>
      <c r="C155" s="2" t="s">
        <v>734</v>
      </c>
      <c r="D155" s="2" t="s">
        <v>87</v>
      </c>
      <c r="E155" s="2" t="n">
        <v>1</v>
      </c>
      <c r="F155" s="2" t="s">
        <v>2562</v>
      </c>
      <c r="G155" s="2" t="s">
        <v>212</v>
      </c>
      <c r="H155" s="2" t="s">
        <v>2563</v>
      </c>
    </row>
    <row r="156" customFormat="false" ht="15" hidden="false" customHeight="false" outlineLevel="0" collapsed="false">
      <c r="A156" s="2" t="s">
        <v>2719</v>
      </c>
      <c r="B156" s="2" t="s">
        <v>430</v>
      </c>
      <c r="C156" s="2" t="s">
        <v>736</v>
      </c>
      <c r="D156" s="2" t="s">
        <v>85</v>
      </c>
      <c r="E156" s="2" t="n">
        <v>1</v>
      </c>
      <c r="F156" s="2" t="s">
        <v>2562</v>
      </c>
      <c r="G156" s="2" t="s">
        <v>212</v>
      </c>
      <c r="H156" s="2" t="s">
        <v>2563</v>
      </c>
    </row>
    <row r="157" customFormat="false" ht="15" hidden="false" customHeight="false" outlineLevel="0" collapsed="false">
      <c r="A157" s="2" t="s">
        <v>2720</v>
      </c>
      <c r="B157" s="2" t="s">
        <v>431</v>
      </c>
      <c r="C157" s="2" t="s">
        <v>798</v>
      </c>
      <c r="D157" s="2" t="s">
        <v>140</v>
      </c>
      <c r="E157" s="2" t="n">
        <v>1</v>
      </c>
      <c r="F157" s="2" t="s">
        <v>2562</v>
      </c>
      <c r="G157" s="2" t="s">
        <v>212</v>
      </c>
      <c r="H157" s="2" t="s">
        <v>2563</v>
      </c>
    </row>
    <row r="158" customFormat="false" ht="15" hidden="false" customHeight="false" outlineLevel="0" collapsed="false">
      <c r="A158" s="2" t="s">
        <v>2721</v>
      </c>
      <c r="B158" s="2" t="s">
        <v>432</v>
      </c>
      <c r="C158" s="2" t="s">
        <v>744</v>
      </c>
      <c r="D158" s="2" t="s">
        <v>131</v>
      </c>
      <c r="E158" s="2" t="n">
        <v>1</v>
      </c>
      <c r="F158" s="2" t="s">
        <v>2562</v>
      </c>
      <c r="G158" s="2" t="s">
        <v>212</v>
      </c>
      <c r="H158" s="2" t="s">
        <v>2563</v>
      </c>
    </row>
    <row r="159" customFormat="false" ht="15" hidden="false" customHeight="false" outlineLevel="0" collapsed="false">
      <c r="A159" s="2" t="s">
        <v>2722</v>
      </c>
      <c r="B159" s="2" t="s">
        <v>434</v>
      </c>
      <c r="C159" s="2" t="s">
        <v>762</v>
      </c>
      <c r="D159" s="2" t="s">
        <v>108</v>
      </c>
      <c r="E159" s="2" t="n">
        <v>1</v>
      </c>
      <c r="F159" s="2" t="s">
        <v>2562</v>
      </c>
      <c r="G159" s="2" t="s">
        <v>212</v>
      </c>
      <c r="H159" s="2" t="s">
        <v>2563</v>
      </c>
    </row>
    <row r="160" customFormat="false" ht="15" hidden="false" customHeight="false" outlineLevel="0" collapsed="false">
      <c r="A160" s="2" t="s">
        <v>2723</v>
      </c>
      <c r="B160" s="2" t="s">
        <v>434</v>
      </c>
      <c r="C160" s="2" t="s">
        <v>754</v>
      </c>
      <c r="D160" s="2" t="s">
        <v>124</v>
      </c>
      <c r="E160" s="2" t="n">
        <v>2</v>
      </c>
      <c r="F160" s="2" t="s">
        <v>2562</v>
      </c>
      <c r="G160" s="2" t="s">
        <v>212</v>
      </c>
      <c r="H160" s="2" t="s">
        <v>2563</v>
      </c>
    </row>
    <row r="161" customFormat="false" ht="15" hidden="false" customHeight="false" outlineLevel="0" collapsed="false">
      <c r="A161" s="2" t="s">
        <v>2724</v>
      </c>
      <c r="B161" s="2" t="s">
        <v>435</v>
      </c>
      <c r="C161" s="2" t="s">
        <v>795</v>
      </c>
      <c r="D161" s="2" t="s">
        <v>97</v>
      </c>
      <c r="E161" s="2" t="n">
        <v>1</v>
      </c>
      <c r="F161" s="2" t="s">
        <v>2562</v>
      </c>
      <c r="G161" s="2" t="s">
        <v>212</v>
      </c>
      <c r="H161" s="2" t="s">
        <v>2563</v>
      </c>
    </row>
    <row r="162" customFormat="false" ht="15" hidden="false" customHeight="false" outlineLevel="0" collapsed="false">
      <c r="A162" s="2" t="s">
        <v>2725</v>
      </c>
      <c r="B162" s="2" t="s">
        <v>437</v>
      </c>
      <c r="C162" s="2" t="s">
        <v>754</v>
      </c>
      <c r="D162" s="2" t="s">
        <v>124</v>
      </c>
      <c r="E162" s="2" t="n">
        <v>1</v>
      </c>
      <c r="F162" s="2" t="s">
        <v>2562</v>
      </c>
      <c r="G162" s="2" t="s">
        <v>212</v>
      </c>
      <c r="H162" s="2" t="s">
        <v>2563</v>
      </c>
    </row>
    <row r="163" customFormat="false" ht="15" hidden="false" customHeight="false" outlineLevel="0" collapsed="false">
      <c r="A163" s="2" t="s">
        <v>2726</v>
      </c>
      <c r="B163" s="2" t="s">
        <v>439</v>
      </c>
      <c r="C163" s="2" t="s">
        <v>898</v>
      </c>
      <c r="D163" s="2" t="s">
        <v>62</v>
      </c>
      <c r="E163" s="2" t="n">
        <v>1</v>
      </c>
      <c r="F163" s="2" t="s">
        <v>2562</v>
      </c>
      <c r="G163" s="2" t="s">
        <v>212</v>
      </c>
      <c r="H163" s="2" t="s">
        <v>2563</v>
      </c>
    </row>
    <row r="164" customFormat="false" ht="15" hidden="false" customHeight="false" outlineLevel="0" collapsed="false">
      <c r="A164" s="2" t="s">
        <v>2727</v>
      </c>
      <c r="B164" s="2" t="s">
        <v>439</v>
      </c>
      <c r="C164" s="2" t="s">
        <v>744</v>
      </c>
      <c r="D164" s="2" t="s">
        <v>131</v>
      </c>
      <c r="E164" s="2" t="n">
        <v>2</v>
      </c>
      <c r="F164" s="2" t="s">
        <v>2562</v>
      </c>
      <c r="G164" s="2" t="s">
        <v>212</v>
      </c>
      <c r="H164" s="2" t="s">
        <v>2563</v>
      </c>
    </row>
    <row r="165" customFormat="false" ht="15" hidden="false" customHeight="false" outlineLevel="0" collapsed="false">
      <c r="A165" s="2" t="s">
        <v>2728</v>
      </c>
      <c r="B165" s="2" t="s">
        <v>441</v>
      </c>
      <c r="C165" s="2" t="s">
        <v>804</v>
      </c>
      <c r="D165" s="2" t="s">
        <v>147</v>
      </c>
      <c r="E165" s="2" t="n">
        <v>1</v>
      </c>
      <c r="F165" s="2" t="s">
        <v>2562</v>
      </c>
      <c r="G165" s="2" t="s">
        <v>212</v>
      </c>
      <c r="H165" s="2" t="s">
        <v>2563</v>
      </c>
    </row>
    <row r="166" customFormat="false" ht="15" hidden="false" customHeight="false" outlineLevel="0" collapsed="false">
      <c r="A166" s="2" t="s">
        <v>2729</v>
      </c>
      <c r="B166" s="2" t="s">
        <v>443</v>
      </c>
      <c r="C166" s="2" t="s">
        <v>722</v>
      </c>
      <c r="D166" s="2" t="s">
        <v>72</v>
      </c>
      <c r="E166" s="2" t="n">
        <v>1</v>
      </c>
      <c r="F166" s="2" t="s">
        <v>2562</v>
      </c>
      <c r="G166" s="2" t="s">
        <v>212</v>
      </c>
      <c r="H166" s="2" t="s">
        <v>2563</v>
      </c>
    </row>
    <row r="167" customFormat="false" ht="15" hidden="false" customHeight="false" outlineLevel="0" collapsed="false">
      <c r="A167" s="2" t="s">
        <v>2730</v>
      </c>
      <c r="B167" s="2" t="s">
        <v>443</v>
      </c>
      <c r="C167" s="2" t="s">
        <v>898</v>
      </c>
      <c r="D167" s="2" t="s">
        <v>62</v>
      </c>
      <c r="E167" s="2" t="n">
        <v>2</v>
      </c>
      <c r="F167" s="2" t="s">
        <v>2562</v>
      </c>
      <c r="G167" s="2" t="s">
        <v>212</v>
      </c>
      <c r="H167" s="2" t="s">
        <v>2563</v>
      </c>
    </row>
    <row r="168" customFormat="false" ht="15" hidden="false" customHeight="false" outlineLevel="0" collapsed="false">
      <c r="A168" s="2" t="s">
        <v>2731</v>
      </c>
      <c r="B168" s="2" t="s">
        <v>443</v>
      </c>
      <c r="C168" s="2" t="s">
        <v>740</v>
      </c>
      <c r="D168" s="2" t="s">
        <v>82</v>
      </c>
      <c r="E168" s="2" t="n">
        <v>3</v>
      </c>
      <c r="F168" s="2" t="s">
        <v>2562</v>
      </c>
      <c r="G168" s="2" t="s">
        <v>212</v>
      </c>
      <c r="H168" s="2" t="s">
        <v>2563</v>
      </c>
    </row>
    <row r="169" customFormat="false" ht="15" hidden="false" customHeight="false" outlineLevel="0" collapsed="false">
      <c r="A169" s="2" t="s">
        <v>2732</v>
      </c>
      <c r="B169" s="2" t="s">
        <v>445</v>
      </c>
      <c r="C169" s="2" t="s">
        <v>724</v>
      </c>
      <c r="D169" s="2" t="s">
        <v>142</v>
      </c>
      <c r="E169" s="2" t="n">
        <v>1</v>
      </c>
      <c r="F169" s="2" t="s">
        <v>2562</v>
      </c>
      <c r="G169" s="2" t="s">
        <v>212</v>
      </c>
      <c r="H169" s="2" t="s">
        <v>2563</v>
      </c>
    </row>
    <row r="170" customFormat="false" ht="15" hidden="false" customHeight="false" outlineLevel="0" collapsed="false">
      <c r="A170" s="2" t="s">
        <v>2733</v>
      </c>
      <c r="B170" s="2" t="s">
        <v>445</v>
      </c>
      <c r="C170" s="2" t="s">
        <v>698</v>
      </c>
      <c r="D170" s="2" t="s">
        <v>104</v>
      </c>
      <c r="E170" s="2" t="n">
        <v>2</v>
      </c>
      <c r="F170" s="2" t="s">
        <v>2562</v>
      </c>
      <c r="G170" s="2" t="s">
        <v>212</v>
      </c>
      <c r="H170" s="2" t="s">
        <v>2563</v>
      </c>
    </row>
    <row r="171" customFormat="false" ht="15" hidden="false" customHeight="false" outlineLevel="0" collapsed="false">
      <c r="A171" s="2" t="s">
        <v>2734</v>
      </c>
      <c r="B171" s="2" t="s">
        <v>445</v>
      </c>
      <c r="C171" s="2" t="s">
        <v>734</v>
      </c>
      <c r="D171" s="2" t="s">
        <v>87</v>
      </c>
      <c r="E171" s="2" t="n">
        <v>3</v>
      </c>
      <c r="F171" s="2" t="s">
        <v>2562</v>
      </c>
      <c r="G171" s="2" t="s">
        <v>212</v>
      </c>
      <c r="H171" s="2" t="s">
        <v>2563</v>
      </c>
    </row>
    <row r="172" customFormat="false" ht="15" hidden="false" customHeight="false" outlineLevel="0" collapsed="false">
      <c r="A172" s="2" t="s">
        <v>2735</v>
      </c>
      <c r="B172" s="2" t="s">
        <v>446</v>
      </c>
      <c r="C172" s="2" t="s">
        <v>768</v>
      </c>
      <c r="D172" s="2" t="s">
        <v>90</v>
      </c>
      <c r="E172" s="2" t="n">
        <v>1</v>
      </c>
      <c r="F172" s="2" t="s">
        <v>2562</v>
      </c>
      <c r="G172" s="2" t="s">
        <v>212</v>
      </c>
      <c r="H172" s="2" t="s">
        <v>2563</v>
      </c>
    </row>
    <row r="173" customFormat="false" ht="15" hidden="false" customHeight="false" outlineLevel="0" collapsed="false">
      <c r="A173" s="2" t="s">
        <v>2736</v>
      </c>
      <c r="B173" s="2" t="s">
        <v>447</v>
      </c>
      <c r="C173" s="2" t="s">
        <v>698</v>
      </c>
      <c r="D173" s="2" t="s">
        <v>104</v>
      </c>
      <c r="E173" s="2" t="n">
        <v>1</v>
      </c>
      <c r="F173" s="2" t="s">
        <v>2562</v>
      </c>
      <c r="G173" s="2" t="s">
        <v>212</v>
      </c>
      <c r="H173" s="2" t="s">
        <v>2563</v>
      </c>
    </row>
    <row r="174" customFormat="false" ht="15" hidden="false" customHeight="false" outlineLevel="0" collapsed="false">
      <c r="A174" s="2" t="s">
        <v>2737</v>
      </c>
      <c r="B174" s="2" t="s">
        <v>449</v>
      </c>
      <c r="C174" s="2" t="s">
        <v>905</v>
      </c>
      <c r="D174" s="2" t="s">
        <v>137</v>
      </c>
      <c r="E174" s="2" t="n">
        <v>1</v>
      </c>
      <c r="F174" s="2" t="s">
        <v>2562</v>
      </c>
      <c r="G174" s="2" t="s">
        <v>212</v>
      </c>
      <c r="H174" s="2" t="s">
        <v>2563</v>
      </c>
    </row>
    <row r="175" customFormat="false" ht="15" hidden="false" customHeight="false" outlineLevel="0" collapsed="false">
      <c r="A175" s="2" t="s">
        <v>2738</v>
      </c>
      <c r="B175" s="2" t="s">
        <v>449</v>
      </c>
      <c r="C175" s="2" t="s">
        <v>795</v>
      </c>
      <c r="D175" s="2" t="s">
        <v>97</v>
      </c>
      <c r="E175" s="2" t="n">
        <v>2</v>
      </c>
      <c r="F175" s="2" t="s">
        <v>2562</v>
      </c>
      <c r="G175" s="2" t="s">
        <v>212</v>
      </c>
      <c r="H175" s="2" t="s">
        <v>2563</v>
      </c>
    </row>
    <row r="176" customFormat="false" ht="15" hidden="false" customHeight="false" outlineLevel="0" collapsed="false">
      <c r="A176" s="2" t="s">
        <v>2739</v>
      </c>
      <c r="B176" s="2" t="s">
        <v>449</v>
      </c>
      <c r="C176" s="2" t="s">
        <v>833</v>
      </c>
      <c r="D176" s="2" t="s">
        <v>86</v>
      </c>
      <c r="E176" s="2" t="n">
        <v>3</v>
      </c>
      <c r="F176" s="2" t="s">
        <v>2562</v>
      </c>
      <c r="G176" s="2" t="s">
        <v>212</v>
      </c>
      <c r="H176" s="2" t="s">
        <v>2563</v>
      </c>
    </row>
    <row r="177" customFormat="false" ht="15" hidden="false" customHeight="false" outlineLevel="0" collapsed="false">
      <c r="A177" s="2" t="s">
        <v>2740</v>
      </c>
      <c r="B177" s="2" t="s">
        <v>449</v>
      </c>
      <c r="C177" s="2" t="s">
        <v>744</v>
      </c>
      <c r="D177" s="2" t="s">
        <v>131</v>
      </c>
      <c r="E177" s="2" t="n">
        <v>4</v>
      </c>
      <c r="F177" s="2" t="s">
        <v>2562</v>
      </c>
      <c r="G177" s="2" t="s">
        <v>212</v>
      </c>
      <c r="H177" s="2" t="s">
        <v>2563</v>
      </c>
    </row>
    <row r="178" customFormat="false" ht="15" hidden="false" customHeight="false" outlineLevel="0" collapsed="false">
      <c r="A178" s="2" t="s">
        <v>2741</v>
      </c>
      <c r="B178" s="2" t="s">
        <v>451</v>
      </c>
      <c r="C178" s="2" t="s">
        <v>744</v>
      </c>
      <c r="D178" s="2" t="s">
        <v>131</v>
      </c>
      <c r="E178" s="2" t="n">
        <v>1</v>
      </c>
      <c r="F178" s="2" t="s">
        <v>2562</v>
      </c>
      <c r="G178" s="2" t="s">
        <v>212</v>
      </c>
      <c r="H178" s="2" t="s">
        <v>2563</v>
      </c>
    </row>
    <row r="179" customFormat="false" ht="15" hidden="false" customHeight="false" outlineLevel="0" collapsed="false">
      <c r="A179" s="2" t="s">
        <v>2742</v>
      </c>
      <c r="B179" s="2" t="s">
        <v>452</v>
      </c>
      <c r="C179" s="2" t="s">
        <v>730</v>
      </c>
      <c r="D179" s="2" t="s">
        <v>138</v>
      </c>
      <c r="E179" s="2" t="n">
        <v>1</v>
      </c>
      <c r="F179" s="2" t="s">
        <v>2562</v>
      </c>
      <c r="G179" s="2" t="s">
        <v>212</v>
      </c>
      <c r="H179" s="2" t="s">
        <v>2563</v>
      </c>
    </row>
    <row r="180" customFormat="false" ht="15" hidden="false" customHeight="false" outlineLevel="0" collapsed="false">
      <c r="A180" s="2" t="s">
        <v>2743</v>
      </c>
      <c r="B180" s="2" t="s">
        <v>452</v>
      </c>
      <c r="C180" s="2" t="s">
        <v>798</v>
      </c>
      <c r="D180" s="2" t="s">
        <v>140</v>
      </c>
      <c r="E180" s="2" t="n">
        <v>2</v>
      </c>
      <c r="F180" s="2" t="s">
        <v>2562</v>
      </c>
      <c r="G180" s="2" t="s">
        <v>212</v>
      </c>
      <c r="H180" s="2" t="s">
        <v>2563</v>
      </c>
    </row>
    <row r="181" customFormat="false" ht="15" hidden="false" customHeight="false" outlineLevel="0" collapsed="false">
      <c r="A181" s="2" t="s">
        <v>2744</v>
      </c>
      <c r="B181" s="2" t="s">
        <v>453</v>
      </c>
      <c r="C181" s="2" t="s">
        <v>722</v>
      </c>
      <c r="D181" s="2" t="s">
        <v>72</v>
      </c>
      <c r="E181" s="2" t="n">
        <v>1</v>
      </c>
      <c r="F181" s="2" t="s">
        <v>2562</v>
      </c>
      <c r="G181" s="2" t="s">
        <v>212</v>
      </c>
      <c r="H181" s="2" t="s">
        <v>2563</v>
      </c>
    </row>
    <row r="182" customFormat="false" ht="15" hidden="false" customHeight="false" outlineLevel="0" collapsed="false">
      <c r="A182" s="2" t="s">
        <v>2745</v>
      </c>
      <c r="B182" s="2" t="s">
        <v>454</v>
      </c>
      <c r="C182" s="2" t="s">
        <v>843</v>
      </c>
      <c r="D182" s="2" t="s">
        <v>120</v>
      </c>
      <c r="E182" s="2" t="n">
        <v>1</v>
      </c>
      <c r="F182" s="2" t="s">
        <v>2562</v>
      </c>
      <c r="G182" s="2" t="s">
        <v>212</v>
      </c>
      <c r="H182" s="2" t="s">
        <v>2563</v>
      </c>
    </row>
    <row r="183" customFormat="false" ht="15" hidden="false" customHeight="false" outlineLevel="0" collapsed="false">
      <c r="A183" s="2" t="s">
        <v>2746</v>
      </c>
      <c r="B183" s="2" t="s">
        <v>456</v>
      </c>
      <c r="C183" s="2" t="s">
        <v>808</v>
      </c>
      <c r="D183" s="2" t="s">
        <v>126</v>
      </c>
      <c r="E183" s="2" t="n">
        <v>1</v>
      </c>
      <c r="F183" s="2" t="s">
        <v>2562</v>
      </c>
      <c r="G183" s="2" t="s">
        <v>212</v>
      </c>
      <c r="H183" s="2" t="s">
        <v>2563</v>
      </c>
    </row>
    <row r="184" customFormat="false" ht="15" hidden="false" customHeight="false" outlineLevel="0" collapsed="false">
      <c r="A184" s="2" t="s">
        <v>2747</v>
      </c>
      <c r="B184" s="2" t="s">
        <v>458</v>
      </c>
      <c r="C184" s="2" t="s">
        <v>724</v>
      </c>
      <c r="D184" s="2" t="s">
        <v>142</v>
      </c>
      <c r="E184" s="2" t="n">
        <v>1</v>
      </c>
      <c r="F184" s="2" t="s">
        <v>2562</v>
      </c>
      <c r="G184" s="2" t="s">
        <v>212</v>
      </c>
      <c r="H184" s="2" t="s">
        <v>2563</v>
      </c>
    </row>
    <row r="185" customFormat="false" ht="15" hidden="false" customHeight="false" outlineLevel="0" collapsed="false">
      <c r="A185" s="2" t="s">
        <v>2748</v>
      </c>
      <c r="B185" s="2" t="s">
        <v>458</v>
      </c>
      <c r="C185" s="2" t="s">
        <v>744</v>
      </c>
      <c r="D185" s="2" t="s">
        <v>131</v>
      </c>
      <c r="E185" s="2" t="n">
        <v>2</v>
      </c>
      <c r="F185" s="2" t="s">
        <v>2562</v>
      </c>
      <c r="G185" s="2" t="s">
        <v>212</v>
      </c>
      <c r="H185" s="2" t="s">
        <v>2563</v>
      </c>
    </row>
    <row r="186" customFormat="false" ht="15" hidden="false" customHeight="false" outlineLevel="0" collapsed="false">
      <c r="A186" s="2" t="s">
        <v>2749</v>
      </c>
      <c r="B186" s="2" t="s">
        <v>458</v>
      </c>
      <c r="C186" s="2" t="s">
        <v>740</v>
      </c>
      <c r="D186" s="2" t="s">
        <v>82</v>
      </c>
      <c r="E186" s="2" t="n">
        <v>3</v>
      </c>
      <c r="F186" s="2" t="s">
        <v>2562</v>
      </c>
      <c r="G186" s="2" t="s">
        <v>212</v>
      </c>
      <c r="H186" s="2" t="s">
        <v>2563</v>
      </c>
    </row>
    <row r="187" customFormat="false" ht="23.85" hidden="false" customHeight="false" outlineLevel="0" collapsed="false">
      <c r="A187" s="2" t="s">
        <v>2750</v>
      </c>
      <c r="B187" s="2" t="s">
        <v>473</v>
      </c>
      <c r="C187" s="2" t="s">
        <v>886</v>
      </c>
      <c r="D187" s="2" t="s">
        <v>423</v>
      </c>
      <c r="E187" s="2" t="n">
        <v>1</v>
      </c>
      <c r="F187" s="2" t="s">
        <v>2712</v>
      </c>
      <c r="G187" s="2" t="s">
        <v>212</v>
      </c>
      <c r="H187" s="2" t="s">
        <v>2713</v>
      </c>
    </row>
    <row r="188" customFormat="false" ht="46.25" hidden="false" customHeight="false" outlineLevel="0" collapsed="false">
      <c r="A188" s="2" t="s">
        <v>2751</v>
      </c>
      <c r="B188" s="2" t="s">
        <v>459</v>
      </c>
      <c r="C188" s="2" t="s">
        <v>804</v>
      </c>
      <c r="D188" s="2" t="s">
        <v>147</v>
      </c>
      <c r="E188" s="2" t="n">
        <v>1</v>
      </c>
      <c r="F188" s="2" t="s">
        <v>2562</v>
      </c>
      <c r="G188" s="2" t="s">
        <v>462</v>
      </c>
      <c r="H188" s="2" t="s">
        <v>2752</v>
      </c>
    </row>
    <row r="189" customFormat="false" ht="46.25" hidden="false" customHeight="false" outlineLevel="0" collapsed="false">
      <c r="A189" s="2" t="s">
        <v>2753</v>
      </c>
      <c r="B189" s="2" t="s">
        <v>463</v>
      </c>
      <c r="C189" s="2" t="s">
        <v>694</v>
      </c>
      <c r="D189" s="2" t="s">
        <v>139</v>
      </c>
      <c r="E189" s="2" t="n">
        <v>1</v>
      </c>
      <c r="F189" s="2" t="s">
        <v>2562</v>
      </c>
      <c r="G189" s="2" t="s">
        <v>462</v>
      </c>
      <c r="H189" s="2" t="s">
        <v>2752</v>
      </c>
    </row>
    <row r="190" customFormat="false" ht="46.25" hidden="false" customHeight="false" outlineLevel="0" collapsed="false">
      <c r="A190" s="2" t="s">
        <v>2754</v>
      </c>
      <c r="B190" s="2" t="s">
        <v>464</v>
      </c>
      <c r="C190" s="2" t="s">
        <v>806</v>
      </c>
      <c r="D190" s="2" t="s">
        <v>145</v>
      </c>
      <c r="E190" s="2" t="n">
        <v>1</v>
      </c>
      <c r="F190" s="2" t="s">
        <v>2562</v>
      </c>
      <c r="G190" s="2" t="s">
        <v>462</v>
      </c>
      <c r="H190" s="2" t="s">
        <v>2752</v>
      </c>
    </row>
    <row r="191" customFormat="false" ht="46.25" hidden="false" customHeight="false" outlineLevel="0" collapsed="false">
      <c r="A191" s="2" t="s">
        <v>2755</v>
      </c>
      <c r="B191" s="2" t="s">
        <v>466</v>
      </c>
      <c r="C191" s="2" t="s">
        <v>740</v>
      </c>
      <c r="D191" s="2" t="s">
        <v>82</v>
      </c>
      <c r="E191" s="2" t="n">
        <v>1</v>
      </c>
      <c r="F191" s="2" t="s">
        <v>2562</v>
      </c>
      <c r="G191" s="2" t="s">
        <v>462</v>
      </c>
      <c r="H191" s="2" t="s">
        <v>2752</v>
      </c>
    </row>
    <row r="192" customFormat="false" ht="46.25" hidden="false" customHeight="false" outlineLevel="0" collapsed="false">
      <c r="A192" s="2" t="s">
        <v>2756</v>
      </c>
      <c r="B192" s="2" t="s">
        <v>466</v>
      </c>
      <c r="C192" s="2" t="s">
        <v>744</v>
      </c>
      <c r="D192" s="2" t="s">
        <v>131</v>
      </c>
      <c r="E192" s="2" t="n">
        <v>2</v>
      </c>
      <c r="F192" s="2" t="s">
        <v>2562</v>
      </c>
      <c r="G192" s="2" t="s">
        <v>462</v>
      </c>
      <c r="H192" s="2" t="s">
        <v>2752</v>
      </c>
    </row>
    <row r="193" customFormat="false" ht="46.25" hidden="false" customHeight="false" outlineLevel="0" collapsed="false">
      <c r="A193" s="2" t="s">
        <v>2757</v>
      </c>
      <c r="B193" s="2" t="s">
        <v>466</v>
      </c>
      <c r="C193" s="2" t="s">
        <v>724</v>
      </c>
      <c r="D193" s="2" t="s">
        <v>142</v>
      </c>
      <c r="E193" s="2" t="n">
        <v>3</v>
      </c>
      <c r="F193" s="2" t="s">
        <v>2562</v>
      </c>
      <c r="G193" s="2" t="s">
        <v>462</v>
      </c>
      <c r="H193" s="2" t="s">
        <v>2752</v>
      </c>
    </row>
    <row r="194" customFormat="false" ht="46.25" hidden="false" customHeight="false" outlineLevel="0" collapsed="false">
      <c r="A194" s="2" t="s">
        <v>2758</v>
      </c>
      <c r="B194" s="2" t="s">
        <v>467</v>
      </c>
      <c r="C194" s="2" t="s">
        <v>698</v>
      </c>
      <c r="D194" s="2" t="s">
        <v>104</v>
      </c>
      <c r="E194" s="2" t="n">
        <v>1</v>
      </c>
      <c r="F194" s="2" t="s">
        <v>2562</v>
      </c>
      <c r="G194" s="2" t="s">
        <v>462</v>
      </c>
      <c r="H194" s="2" t="s">
        <v>2752</v>
      </c>
    </row>
    <row r="195" customFormat="false" ht="46.25" hidden="false" customHeight="false" outlineLevel="0" collapsed="false">
      <c r="A195" s="2" t="s">
        <v>2759</v>
      </c>
      <c r="B195" s="2" t="s">
        <v>468</v>
      </c>
      <c r="C195" s="2" t="s">
        <v>768</v>
      </c>
      <c r="D195" s="2" t="s">
        <v>90</v>
      </c>
      <c r="E195" s="2" t="n">
        <v>1</v>
      </c>
      <c r="F195" s="2" t="s">
        <v>2562</v>
      </c>
      <c r="G195" s="2" t="s">
        <v>462</v>
      </c>
      <c r="H195" s="2" t="s">
        <v>2752</v>
      </c>
    </row>
    <row r="196" customFormat="false" ht="46.25" hidden="false" customHeight="false" outlineLevel="0" collapsed="false">
      <c r="A196" s="2" t="s">
        <v>2760</v>
      </c>
      <c r="B196" s="2" t="s">
        <v>469</v>
      </c>
      <c r="C196" s="2" t="s">
        <v>700</v>
      </c>
      <c r="D196" s="2" t="s">
        <v>141</v>
      </c>
      <c r="E196" s="2" t="n">
        <v>1</v>
      </c>
      <c r="F196" s="2" t="s">
        <v>2562</v>
      </c>
      <c r="G196" s="2" t="s">
        <v>462</v>
      </c>
      <c r="H196" s="2" t="s">
        <v>2752</v>
      </c>
    </row>
    <row r="197" customFormat="false" ht="46.25" hidden="false" customHeight="false" outlineLevel="0" collapsed="false">
      <c r="A197" s="2" t="s">
        <v>2761</v>
      </c>
      <c r="B197" s="2" t="s">
        <v>470</v>
      </c>
      <c r="C197" s="2" t="s">
        <v>705</v>
      </c>
      <c r="D197" s="2" t="s">
        <v>98</v>
      </c>
      <c r="E197" s="2" t="n">
        <v>1</v>
      </c>
      <c r="F197" s="2" t="s">
        <v>2562</v>
      </c>
      <c r="G197" s="2" t="s">
        <v>462</v>
      </c>
      <c r="H197" s="2" t="s">
        <v>2752</v>
      </c>
    </row>
    <row r="198" customFormat="false" ht="46.25" hidden="false" customHeight="false" outlineLevel="0" collapsed="false">
      <c r="A198" s="2" t="s">
        <v>2762</v>
      </c>
      <c r="B198" s="2" t="s">
        <v>471</v>
      </c>
      <c r="C198" s="2" t="s">
        <v>702</v>
      </c>
      <c r="D198" s="2" t="s">
        <v>106</v>
      </c>
      <c r="E198" s="2" t="n">
        <v>1</v>
      </c>
      <c r="F198" s="2" t="s">
        <v>2562</v>
      </c>
      <c r="G198" s="2" t="s">
        <v>462</v>
      </c>
      <c r="H198" s="2" t="s">
        <v>2752</v>
      </c>
    </row>
    <row r="199" customFormat="false" ht="46.25" hidden="false" customHeight="false" outlineLevel="0" collapsed="false">
      <c r="A199" s="2" t="s">
        <v>2763</v>
      </c>
      <c r="B199" s="2" t="s">
        <v>475</v>
      </c>
      <c r="C199" s="2" t="s">
        <v>702</v>
      </c>
      <c r="D199" s="2" t="s">
        <v>106</v>
      </c>
      <c r="E199" s="2" t="n">
        <v>1</v>
      </c>
      <c r="F199" s="2" t="s">
        <v>2562</v>
      </c>
      <c r="G199" s="2" t="s">
        <v>462</v>
      </c>
      <c r="H199" s="2" t="s">
        <v>2752</v>
      </c>
    </row>
    <row r="200" customFormat="false" ht="46.25" hidden="false" customHeight="false" outlineLevel="0" collapsed="false">
      <c r="A200" s="2" t="s">
        <v>2764</v>
      </c>
      <c r="B200" s="2" t="s">
        <v>477</v>
      </c>
      <c r="C200" s="2" t="s">
        <v>705</v>
      </c>
      <c r="D200" s="2" t="s">
        <v>98</v>
      </c>
      <c r="E200" s="2" t="n">
        <v>1</v>
      </c>
      <c r="F200" s="2" t="s">
        <v>2562</v>
      </c>
      <c r="G200" s="2" t="s">
        <v>462</v>
      </c>
      <c r="H200" s="2" t="s">
        <v>2752</v>
      </c>
    </row>
    <row r="201" customFormat="false" ht="46.25" hidden="false" customHeight="false" outlineLevel="0" collapsed="false">
      <c r="A201" s="2" t="s">
        <v>2765</v>
      </c>
      <c r="B201" s="2" t="s">
        <v>477</v>
      </c>
      <c r="C201" s="2" t="s">
        <v>700</v>
      </c>
      <c r="D201" s="2" t="s">
        <v>141</v>
      </c>
      <c r="E201" s="2" t="n">
        <v>2</v>
      </c>
      <c r="F201" s="2" t="s">
        <v>2562</v>
      </c>
      <c r="G201" s="2" t="s">
        <v>462</v>
      </c>
      <c r="H201" s="2" t="s">
        <v>2752</v>
      </c>
    </row>
    <row r="202" customFormat="false" ht="46.25" hidden="false" customHeight="false" outlineLevel="0" collapsed="false">
      <c r="A202" s="2" t="s">
        <v>2766</v>
      </c>
      <c r="B202" s="2" t="s">
        <v>478</v>
      </c>
      <c r="C202" s="2" t="s">
        <v>700</v>
      </c>
      <c r="D202" s="2" t="s">
        <v>141</v>
      </c>
      <c r="E202" s="2" t="n">
        <v>1</v>
      </c>
      <c r="F202" s="2" t="s">
        <v>2562</v>
      </c>
      <c r="G202" s="2" t="s">
        <v>462</v>
      </c>
      <c r="H202" s="2" t="s">
        <v>2752</v>
      </c>
    </row>
    <row r="203" customFormat="false" ht="46.25" hidden="false" customHeight="false" outlineLevel="0" collapsed="false">
      <c r="A203" s="2" t="s">
        <v>2767</v>
      </c>
      <c r="B203" s="2" t="s">
        <v>480</v>
      </c>
      <c r="C203" s="2" t="s">
        <v>717</v>
      </c>
      <c r="D203" s="2" t="s">
        <v>76</v>
      </c>
      <c r="E203" s="2" t="n">
        <v>1</v>
      </c>
      <c r="F203" s="2" t="s">
        <v>2562</v>
      </c>
      <c r="G203" s="2" t="s">
        <v>462</v>
      </c>
      <c r="H203" s="2" t="s">
        <v>2752</v>
      </c>
    </row>
    <row r="204" customFormat="false" ht="46.25" hidden="false" customHeight="false" outlineLevel="0" collapsed="false">
      <c r="A204" s="2" t="s">
        <v>2768</v>
      </c>
      <c r="B204" s="2" t="s">
        <v>482</v>
      </c>
      <c r="C204" s="2" t="s">
        <v>707</v>
      </c>
      <c r="D204" s="2" t="s">
        <v>74</v>
      </c>
      <c r="E204" s="2" t="n">
        <v>1</v>
      </c>
      <c r="F204" s="2" t="s">
        <v>2562</v>
      </c>
      <c r="G204" s="2" t="s">
        <v>462</v>
      </c>
      <c r="H204" s="2" t="s">
        <v>2752</v>
      </c>
    </row>
    <row r="205" customFormat="false" ht="46.25" hidden="false" customHeight="false" outlineLevel="0" collapsed="false">
      <c r="A205" s="2" t="s">
        <v>2769</v>
      </c>
      <c r="B205" s="2" t="s">
        <v>483</v>
      </c>
      <c r="C205" s="2" t="s">
        <v>750</v>
      </c>
      <c r="D205" s="2" t="s">
        <v>91</v>
      </c>
      <c r="E205" s="2" t="n">
        <v>1</v>
      </c>
      <c r="F205" s="2" t="s">
        <v>2562</v>
      </c>
      <c r="G205" s="2" t="s">
        <v>462</v>
      </c>
      <c r="H205" s="2" t="s">
        <v>2752</v>
      </c>
    </row>
    <row r="206" customFormat="false" ht="46.25" hidden="false" customHeight="false" outlineLevel="0" collapsed="false">
      <c r="A206" s="2" t="s">
        <v>2770</v>
      </c>
      <c r="B206" s="2" t="s">
        <v>485</v>
      </c>
      <c r="C206" s="2" t="s">
        <v>709</v>
      </c>
      <c r="D206" s="2" t="s">
        <v>70</v>
      </c>
      <c r="E206" s="2" t="n">
        <v>1</v>
      </c>
      <c r="F206" s="2" t="s">
        <v>2562</v>
      </c>
      <c r="G206" s="2" t="s">
        <v>462</v>
      </c>
      <c r="H206" s="2" t="s">
        <v>2752</v>
      </c>
    </row>
    <row r="207" customFormat="false" ht="46.25" hidden="false" customHeight="false" outlineLevel="0" collapsed="false">
      <c r="A207" s="2" t="s">
        <v>2771</v>
      </c>
      <c r="B207" s="2" t="s">
        <v>486</v>
      </c>
      <c r="C207" s="2" t="s">
        <v>933</v>
      </c>
      <c r="D207" s="2" t="s">
        <v>78</v>
      </c>
      <c r="E207" s="2" t="n">
        <v>1</v>
      </c>
      <c r="F207" s="2" t="s">
        <v>2562</v>
      </c>
      <c r="G207" s="2" t="s">
        <v>462</v>
      </c>
      <c r="H207" s="2" t="s">
        <v>2752</v>
      </c>
    </row>
    <row r="208" customFormat="false" ht="46.25" hidden="false" customHeight="false" outlineLevel="0" collapsed="false">
      <c r="A208" s="2" t="s">
        <v>2772</v>
      </c>
      <c r="B208" s="2" t="s">
        <v>487</v>
      </c>
      <c r="C208" s="2" t="s">
        <v>715</v>
      </c>
      <c r="D208" s="2" t="s">
        <v>96</v>
      </c>
      <c r="E208" s="2" t="n">
        <v>1</v>
      </c>
      <c r="F208" s="2" t="s">
        <v>2562</v>
      </c>
      <c r="G208" s="2" t="s">
        <v>462</v>
      </c>
      <c r="H208" s="2" t="s">
        <v>2752</v>
      </c>
    </row>
    <row r="209" customFormat="false" ht="46.25" hidden="false" customHeight="false" outlineLevel="0" collapsed="false">
      <c r="A209" s="2" t="s">
        <v>2773</v>
      </c>
      <c r="B209" s="2" t="s">
        <v>488</v>
      </c>
      <c r="C209" s="2" t="s">
        <v>713</v>
      </c>
      <c r="D209" s="2" t="s">
        <v>94</v>
      </c>
      <c r="E209" s="2" t="n">
        <v>1</v>
      </c>
      <c r="F209" s="2" t="s">
        <v>2562</v>
      </c>
      <c r="G209" s="2" t="s">
        <v>462</v>
      </c>
      <c r="H209" s="2" t="s">
        <v>2752</v>
      </c>
    </row>
    <row r="210" customFormat="false" ht="46.25" hidden="false" customHeight="false" outlineLevel="0" collapsed="false">
      <c r="A210" s="2" t="s">
        <v>2774</v>
      </c>
      <c r="B210" s="2" t="s">
        <v>490</v>
      </c>
      <c r="C210" s="2" t="s">
        <v>715</v>
      </c>
      <c r="D210" s="2" t="s">
        <v>96</v>
      </c>
      <c r="E210" s="2" t="n">
        <v>1</v>
      </c>
      <c r="F210" s="2" t="s">
        <v>2562</v>
      </c>
      <c r="G210" s="2" t="s">
        <v>462</v>
      </c>
      <c r="H210" s="2" t="s">
        <v>2752</v>
      </c>
    </row>
    <row r="211" customFormat="false" ht="46.25" hidden="false" customHeight="false" outlineLevel="0" collapsed="false">
      <c r="A211" s="2" t="s">
        <v>2775</v>
      </c>
      <c r="B211" s="2" t="s">
        <v>491</v>
      </c>
      <c r="C211" s="2" t="s">
        <v>938</v>
      </c>
      <c r="D211" s="2" t="s">
        <v>83</v>
      </c>
      <c r="E211" s="2" t="n">
        <v>1</v>
      </c>
      <c r="F211" s="2" t="s">
        <v>2562</v>
      </c>
      <c r="G211" s="2" t="s">
        <v>462</v>
      </c>
      <c r="H211" s="2" t="s">
        <v>2752</v>
      </c>
    </row>
    <row r="212" customFormat="false" ht="46.25" hidden="false" customHeight="false" outlineLevel="0" collapsed="false">
      <c r="A212" s="2" t="s">
        <v>2776</v>
      </c>
      <c r="B212" s="2" t="s">
        <v>491</v>
      </c>
      <c r="C212" s="2" t="s">
        <v>724</v>
      </c>
      <c r="D212" s="2" t="s">
        <v>142</v>
      </c>
      <c r="E212" s="2" t="n">
        <v>2</v>
      </c>
      <c r="F212" s="2" t="s">
        <v>2562</v>
      </c>
      <c r="G212" s="2" t="s">
        <v>462</v>
      </c>
      <c r="H212" s="2" t="s">
        <v>2752</v>
      </c>
    </row>
    <row r="213" customFormat="false" ht="46.25" hidden="false" customHeight="false" outlineLevel="0" collapsed="false">
      <c r="A213" s="2" t="s">
        <v>2777</v>
      </c>
      <c r="B213" s="2" t="s">
        <v>493</v>
      </c>
      <c r="C213" s="2" t="s">
        <v>808</v>
      </c>
      <c r="D213" s="2" t="s">
        <v>126</v>
      </c>
      <c r="E213" s="2" t="n">
        <v>1</v>
      </c>
      <c r="F213" s="2" t="s">
        <v>2562</v>
      </c>
      <c r="G213" s="2" t="s">
        <v>462</v>
      </c>
      <c r="H213" s="2" t="s">
        <v>2752</v>
      </c>
    </row>
    <row r="214" customFormat="false" ht="46.25" hidden="false" customHeight="false" outlineLevel="0" collapsed="false">
      <c r="A214" s="2" t="s">
        <v>2778</v>
      </c>
      <c r="B214" s="2" t="s">
        <v>496</v>
      </c>
      <c r="C214" s="2" t="s">
        <v>726</v>
      </c>
      <c r="D214" s="2" t="s">
        <v>134</v>
      </c>
      <c r="E214" s="2" t="n">
        <v>1</v>
      </c>
      <c r="F214" s="2" t="s">
        <v>2562</v>
      </c>
      <c r="G214" s="2" t="s">
        <v>462</v>
      </c>
      <c r="H214" s="2" t="s">
        <v>2752</v>
      </c>
    </row>
    <row r="215" customFormat="false" ht="46.25" hidden="false" customHeight="false" outlineLevel="0" collapsed="false">
      <c r="A215" s="2" t="s">
        <v>2779</v>
      </c>
      <c r="B215" s="2" t="s">
        <v>497</v>
      </c>
      <c r="C215" s="2" t="s">
        <v>792</v>
      </c>
      <c r="D215" s="2" t="s">
        <v>95</v>
      </c>
      <c r="E215" s="2" t="n">
        <v>1</v>
      </c>
      <c r="F215" s="2" t="s">
        <v>2562</v>
      </c>
      <c r="G215" s="2" t="s">
        <v>462</v>
      </c>
      <c r="H215" s="2" t="s">
        <v>2752</v>
      </c>
    </row>
    <row r="216" customFormat="false" ht="46.25" hidden="false" customHeight="false" outlineLevel="0" collapsed="false">
      <c r="A216" s="2" t="s">
        <v>2780</v>
      </c>
      <c r="B216" s="2" t="s">
        <v>497</v>
      </c>
      <c r="C216" s="2" t="s">
        <v>748</v>
      </c>
      <c r="D216" s="2" t="s">
        <v>132</v>
      </c>
      <c r="E216" s="2" t="n">
        <v>2</v>
      </c>
      <c r="F216" s="2" t="s">
        <v>2562</v>
      </c>
      <c r="G216" s="2" t="s">
        <v>462</v>
      </c>
      <c r="H216" s="2" t="s">
        <v>2752</v>
      </c>
    </row>
    <row r="217" customFormat="false" ht="46.25" hidden="false" customHeight="false" outlineLevel="0" collapsed="false">
      <c r="A217" s="2" t="s">
        <v>2781</v>
      </c>
      <c r="B217" s="2" t="s">
        <v>498</v>
      </c>
      <c r="C217" s="2" t="s">
        <v>732</v>
      </c>
      <c r="D217" s="2" t="s">
        <v>77</v>
      </c>
      <c r="E217" s="2" t="n">
        <v>1</v>
      </c>
      <c r="F217" s="2" t="s">
        <v>2562</v>
      </c>
      <c r="G217" s="2" t="s">
        <v>462</v>
      </c>
      <c r="H217" s="2" t="s">
        <v>2752</v>
      </c>
    </row>
    <row r="218" customFormat="false" ht="46.25" hidden="false" customHeight="false" outlineLevel="0" collapsed="false">
      <c r="A218" s="2" t="s">
        <v>2782</v>
      </c>
      <c r="B218" s="2" t="s">
        <v>499</v>
      </c>
      <c r="C218" s="2" t="s">
        <v>734</v>
      </c>
      <c r="D218" s="2" t="s">
        <v>87</v>
      </c>
      <c r="E218" s="2" t="n">
        <v>1</v>
      </c>
      <c r="F218" s="2" t="s">
        <v>2562</v>
      </c>
      <c r="G218" s="2" t="s">
        <v>462</v>
      </c>
      <c r="H218" s="2" t="s">
        <v>2752</v>
      </c>
    </row>
    <row r="219" customFormat="false" ht="46.25" hidden="false" customHeight="false" outlineLevel="0" collapsed="false">
      <c r="A219" s="2" t="s">
        <v>2783</v>
      </c>
      <c r="B219" s="2" t="s">
        <v>500</v>
      </c>
      <c r="C219" s="2" t="s">
        <v>798</v>
      </c>
      <c r="D219" s="2" t="s">
        <v>140</v>
      </c>
      <c r="E219" s="2" t="n">
        <v>1</v>
      </c>
      <c r="F219" s="2" t="s">
        <v>2562</v>
      </c>
      <c r="G219" s="2" t="s">
        <v>462</v>
      </c>
      <c r="H219" s="2" t="s">
        <v>2752</v>
      </c>
    </row>
    <row r="220" customFormat="false" ht="46.25" hidden="false" customHeight="false" outlineLevel="0" collapsed="false">
      <c r="A220" s="2" t="s">
        <v>2784</v>
      </c>
      <c r="B220" s="2" t="s">
        <v>501</v>
      </c>
      <c r="C220" s="2" t="s">
        <v>780</v>
      </c>
      <c r="D220" s="2" t="s">
        <v>105</v>
      </c>
      <c r="E220" s="2" t="n">
        <v>1</v>
      </c>
      <c r="F220" s="2" t="s">
        <v>2562</v>
      </c>
      <c r="G220" s="2" t="s">
        <v>462</v>
      </c>
      <c r="H220" s="2" t="s">
        <v>2752</v>
      </c>
    </row>
    <row r="221" customFormat="false" ht="46.25" hidden="false" customHeight="false" outlineLevel="0" collapsed="false">
      <c r="A221" s="2" t="s">
        <v>2785</v>
      </c>
      <c r="B221" s="2" t="s">
        <v>503</v>
      </c>
      <c r="C221" s="2" t="s">
        <v>740</v>
      </c>
      <c r="D221" s="2" t="s">
        <v>82</v>
      </c>
      <c r="E221" s="2" t="n">
        <v>1</v>
      </c>
      <c r="F221" s="2" t="s">
        <v>2562</v>
      </c>
      <c r="G221" s="2" t="s">
        <v>462</v>
      </c>
      <c r="H221" s="2" t="s">
        <v>2752</v>
      </c>
    </row>
    <row r="222" customFormat="false" ht="46.25" hidden="false" customHeight="false" outlineLevel="0" collapsed="false">
      <c r="A222" s="2" t="s">
        <v>2786</v>
      </c>
      <c r="B222" s="2" t="s">
        <v>504</v>
      </c>
      <c r="C222" s="2" t="s">
        <v>880</v>
      </c>
      <c r="D222" s="2" t="s">
        <v>107</v>
      </c>
      <c r="E222" s="2" t="n">
        <v>1</v>
      </c>
      <c r="F222" s="2" t="s">
        <v>2562</v>
      </c>
      <c r="G222" s="2" t="s">
        <v>462</v>
      </c>
      <c r="H222" s="2" t="s">
        <v>2752</v>
      </c>
    </row>
    <row r="223" customFormat="false" ht="46.25" hidden="false" customHeight="false" outlineLevel="0" collapsed="false">
      <c r="A223" s="2" t="s">
        <v>2787</v>
      </c>
      <c r="B223" s="2" t="s">
        <v>506</v>
      </c>
      <c r="C223" s="2" t="s">
        <v>825</v>
      </c>
      <c r="D223" s="2" t="s">
        <v>110</v>
      </c>
      <c r="E223" s="2" t="n">
        <v>1</v>
      </c>
      <c r="F223" s="2" t="s">
        <v>2562</v>
      </c>
      <c r="G223" s="2" t="s">
        <v>462</v>
      </c>
      <c r="H223" s="2" t="s">
        <v>2752</v>
      </c>
    </row>
    <row r="224" customFormat="false" ht="46.25" hidden="false" customHeight="false" outlineLevel="0" collapsed="false">
      <c r="A224" s="2" t="s">
        <v>2788</v>
      </c>
      <c r="B224" s="2" t="s">
        <v>508</v>
      </c>
      <c r="C224" s="2" t="s">
        <v>742</v>
      </c>
      <c r="D224" s="2" t="s">
        <v>88</v>
      </c>
      <c r="E224" s="2" t="n">
        <v>1</v>
      </c>
      <c r="F224" s="2" t="s">
        <v>2562</v>
      </c>
      <c r="G224" s="2" t="s">
        <v>462</v>
      </c>
      <c r="H224" s="2" t="s">
        <v>2752</v>
      </c>
    </row>
    <row r="225" customFormat="false" ht="46.25" hidden="false" customHeight="false" outlineLevel="0" collapsed="false">
      <c r="A225" s="2" t="s">
        <v>2789</v>
      </c>
      <c r="B225" s="2" t="s">
        <v>509</v>
      </c>
      <c r="C225" s="2" t="s">
        <v>730</v>
      </c>
      <c r="D225" s="2" t="s">
        <v>138</v>
      </c>
      <c r="E225" s="2" t="n">
        <v>1</v>
      </c>
      <c r="F225" s="2" t="s">
        <v>2562</v>
      </c>
      <c r="G225" s="2" t="s">
        <v>462</v>
      </c>
      <c r="H225" s="2" t="s">
        <v>2752</v>
      </c>
    </row>
    <row r="226" customFormat="false" ht="46.25" hidden="false" customHeight="false" outlineLevel="0" collapsed="false">
      <c r="A226" s="2" t="s">
        <v>2790</v>
      </c>
      <c r="B226" s="2" t="s">
        <v>511</v>
      </c>
      <c r="C226" s="2" t="s">
        <v>734</v>
      </c>
      <c r="D226" s="2" t="s">
        <v>87</v>
      </c>
      <c r="E226" s="2" t="n">
        <v>1</v>
      </c>
      <c r="F226" s="2" t="s">
        <v>2562</v>
      </c>
      <c r="G226" s="2" t="s">
        <v>462</v>
      </c>
      <c r="H226" s="2" t="s">
        <v>2752</v>
      </c>
    </row>
    <row r="227" customFormat="false" ht="46.25" hidden="false" customHeight="false" outlineLevel="0" collapsed="false">
      <c r="A227" s="2" t="s">
        <v>2791</v>
      </c>
      <c r="B227" s="2" t="s">
        <v>511</v>
      </c>
      <c r="C227" s="2" t="s">
        <v>726</v>
      </c>
      <c r="D227" s="2" t="s">
        <v>134</v>
      </c>
      <c r="E227" s="2" t="n">
        <v>2</v>
      </c>
      <c r="F227" s="2" t="s">
        <v>2562</v>
      </c>
      <c r="G227" s="2" t="s">
        <v>462</v>
      </c>
      <c r="H227" s="2" t="s">
        <v>2752</v>
      </c>
    </row>
    <row r="228" customFormat="false" ht="46.25" hidden="false" customHeight="false" outlineLevel="0" collapsed="false">
      <c r="A228" s="2" t="s">
        <v>2792</v>
      </c>
      <c r="B228" s="2" t="s">
        <v>511</v>
      </c>
      <c r="C228" s="2" t="s">
        <v>728</v>
      </c>
      <c r="D228" s="2" t="s">
        <v>136</v>
      </c>
      <c r="E228" s="2" t="n">
        <v>3</v>
      </c>
      <c r="F228" s="2" t="s">
        <v>2562</v>
      </c>
      <c r="G228" s="2" t="s">
        <v>462</v>
      </c>
      <c r="H228" s="2" t="s">
        <v>2752</v>
      </c>
    </row>
    <row r="229" customFormat="false" ht="46.25" hidden="false" customHeight="false" outlineLevel="0" collapsed="false">
      <c r="A229" s="2" t="s">
        <v>2793</v>
      </c>
      <c r="B229" s="2" t="s">
        <v>512</v>
      </c>
      <c r="C229" s="2" t="s">
        <v>758</v>
      </c>
      <c r="D229" s="2" t="s">
        <v>84</v>
      </c>
      <c r="E229" s="2" t="n">
        <v>1</v>
      </c>
      <c r="F229" s="2" t="s">
        <v>2562</v>
      </c>
      <c r="G229" s="2" t="s">
        <v>462</v>
      </c>
      <c r="H229" s="2" t="s">
        <v>2752</v>
      </c>
    </row>
    <row r="230" customFormat="false" ht="46.25" hidden="false" customHeight="false" outlineLevel="0" collapsed="false">
      <c r="A230" s="2" t="s">
        <v>2794</v>
      </c>
      <c r="B230" s="2" t="s">
        <v>514</v>
      </c>
      <c r="C230" s="2" t="s">
        <v>802</v>
      </c>
      <c r="D230" s="2" t="s">
        <v>109</v>
      </c>
      <c r="E230" s="2" t="n">
        <v>1</v>
      </c>
      <c r="F230" s="2" t="s">
        <v>2562</v>
      </c>
      <c r="G230" s="2" t="s">
        <v>462</v>
      </c>
      <c r="H230" s="2" t="s">
        <v>2752</v>
      </c>
    </row>
    <row r="231" customFormat="false" ht="46.25" hidden="false" customHeight="false" outlineLevel="0" collapsed="false">
      <c r="A231" s="2" t="s">
        <v>2795</v>
      </c>
      <c r="B231" s="2" t="s">
        <v>516</v>
      </c>
      <c r="C231" s="2" t="s">
        <v>752</v>
      </c>
      <c r="D231" s="2" t="s">
        <v>113</v>
      </c>
      <c r="E231" s="2" t="n">
        <v>1</v>
      </c>
      <c r="F231" s="2" t="s">
        <v>2562</v>
      </c>
      <c r="G231" s="2" t="s">
        <v>462</v>
      </c>
      <c r="H231" s="2" t="s">
        <v>2752</v>
      </c>
    </row>
    <row r="232" customFormat="false" ht="46.25" hidden="false" customHeight="false" outlineLevel="0" collapsed="false">
      <c r="A232" s="2" t="s">
        <v>2796</v>
      </c>
      <c r="B232" s="2" t="s">
        <v>516</v>
      </c>
      <c r="C232" s="2" t="s">
        <v>808</v>
      </c>
      <c r="D232" s="2" t="s">
        <v>126</v>
      </c>
      <c r="E232" s="2" t="n">
        <v>2</v>
      </c>
      <c r="F232" s="2" t="s">
        <v>2562</v>
      </c>
      <c r="G232" s="2" t="s">
        <v>462</v>
      </c>
      <c r="H232" s="2" t="s">
        <v>2752</v>
      </c>
    </row>
    <row r="233" customFormat="false" ht="46.25" hidden="false" customHeight="false" outlineLevel="0" collapsed="false">
      <c r="A233" s="2" t="s">
        <v>2797</v>
      </c>
      <c r="B233" s="2" t="s">
        <v>517</v>
      </c>
      <c r="C233" s="2" t="s">
        <v>848</v>
      </c>
      <c r="D233" s="2" t="s">
        <v>127</v>
      </c>
      <c r="E233" s="2" t="n">
        <v>1</v>
      </c>
      <c r="F233" s="2" t="s">
        <v>2562</v>
      </c>
      <c r="G233" s="2" t="s">
        <v>462</v>
      </c>
      <c r="H233" s="2" t="s">
        <v>2752</v>
      </c>
    </row>
    <row r="234" customFormat="false" ht="46.25" hidden="false" customHeight="false" outlineLevel="0" collapsed="false">
      <c r="A234" s="2" t="s">
        <v>2798</v>
      </c>
      <c r="B234" s="2" t="s">
        <v>518</v>
      </c>
      <c r="C234" s="2" t="s">
        <v>898</v>
      </c>
      <c r="D234" s="2" t="s">
        <v>62</v>
      </c>
      <c r="E234" s="2" t="n">
        <v>1</v>
      </c>
      <c r="F234" s="2" t="s">
        <v>2562</v>
      </c>
      <c r="G234" s="2" t="s">
        <v>462</v>
      </c>
      <c r="H234" s="2" t="s">
        <v>2752</v>
      </c>
    </row>
    <row r="235" customFormat="false" ht="46.25" hidden="false" customHeight="false" outlineLevel="0" collapsed="false">
      <c r="A235" s="2" t="s">
        <v>2799</v>
      </c>
      <c r="B235" s="2" t="s">
        <v>518</v>
      </c>
      <c r="C235" s="2" t="s">
        <v>734</v>
      </c>
      <c r="D235" s="2" t="s">
        <v>87</v>
      </c>
      <c r="E235" s="2" t="n">
        <v>2</v>
      </c>
      <c r="F235" s="2" t="s">
        <v>2562</v>
      </c>
      <c r="G235" s="2" t="s">
        <v>462</v>
      </c>
      <c r="H235" s="2" t="s">
        <v>2752</v>
      </c>
    </row>
    <row r="236" customFormat="false" ht="46.25" hidden="false" customHeight="false" outlineLevel="0" collapsed="false">
      <c r="A236" s="2" t="s">
        <v>2800</v>
      </c>
      <c r="B236" s="2" t="s">
        <v>518</v>
      </c>
      <c r="C236" s="2" t="s">
        <v>884</v>
      </c>
      <c r="D236" s="2" t="s">
        <v>148</v>
      </c>
      <c r="E236" s="2" t="n">
        <v>3</v>
      </c>
      <c r="F236" s="2" t="s">
        <v>2562</v>
      </c>
      <c r="G236" s="2" t="s">
        <v>462</v>
      </c>
      <c r="H236" s="2" t="s">
        <v>2752</v>
      </c>
    </row>
    <row r="237" customFormat="false" ht="46.25" hidden="false" customHeight="false" outlineLevel="0" collapsed="false">
      <c r="A237" s="2" t="s">
        <v>2801</v>
      </c>
      <c r="B237" s="2" t="s">
        <v>520</v>
      </c>
      <c r="C237" s="2" t="s">
        <v>852</v>
      </c>
      <c r="D237" s="2" t="s">
        <v>114</v>
      </c>
      <c r="E237" s="2" t="n">
        <v>1</v>
      </c>
      <c r="F237" s="2" t="s">
        <v>2562</v>
      </c>
      <c r="G237" s="2" t="s">
        <v>462</v>
      </c>
      <c r="H237" s="2" t="s">
        <v>2752</v>
      </c>
    </row>
    <row r="238" customFormat="false" ht="46.25" hidden="false" customHeight="false" outlineLevel="0" collapsed="false">
      <c r="A238" s="2" t="s">
        <v>2802</v>
      </c>
      <c r="B238" s="2" t="s">
        <v>521</v>
      </c>
      <c r="C238" s="2" t="s">
        <v>959</v>
      </c>
      <c r="D238" s="2" t="s">
        <v>57</v>
      </c>
      <c r="E238" s="2" t="n">
        <v>1</v>
      </c>
      <c r="F238" s="2" t="s">
        <v>2562</v>
      </c>
      <c r="G238" s="2" t="s">
        <v>462</v>
      </c>
      <c r="H238" s="2" t="s">
        <v>2752</v>
      </c>
    </row>
    <row r="239" customFormat="false" ht="46.25" hidden="false" customHeight="false" outlineLevel="0" collapsed="false">
      <c r="A239" s="2" t="s">
        <v>2803</v>
      </c>
      <c r="B239" s="2" t="s">
        <v>523</v>
      </c>
      <c r="C239" s="2" t="s">
        <v>898</v>
      </c>
      <c r="D239" s="2" t="s">
        <v>62</v>
      </c>
      <c r="E239" s="2" t="n">
        <v>1</v>
      </c>
      <c r="F239" s="2" t="s">
        <v>2562</v>
      </c>
      <c r="G239" s="2" t="s">
        <v>462</v>
      </c>
      <c r="H239" s="2" t="s">
        <v>2752</v>
      </c>
    </row>
    <row r="240" customFormat="false" ht="46.25" hidden="false" customHeight="false" outlineLevel="0" collapsed="false">
      <c r="A240" s="2" t="s">
        <v>2804</v>
      </c>
      <c r="B240" s="2" t="s">
        <v>525</v>
      </c>
      <c r="C240" s="2" t="s">
        <v>800</v>
      </c>
      <c r="D240" s="2" t="s">
        <v>102</v>
      </c>
      <c r="E240" s="2" t="n">
        <v>1</v>
      </c>
      <c r="F240" s="2" t="s">
        <v>2562</v>
      </c>
      <c r="G240" s="2" t="s">
        <v>462</v>
      </c>
      <c r="H240" s="2" t="s">
        <v>2752</v>
      </c>
    </row>
    <row r="241" customFormat="false" ht="46.25" hidden="false" customHeight="false" outlineLevel="0" collapsed="false">
      <c r="A241" s="2" t="s">
        <v>2805</v>
      </c>
      <c r="B241" s="2" t="s">
        <v>527</v>
      </c>
      <c r="C241" s="2" t="s">
        <v>792</v>
      </c>
      <c r="D241" s="2" t="s">
        <v>95</v>
      </c>
      <c r="E241" s="2" t="n">
        <v>1</v>
      </c>
      <c r="F241" s="2" t="s">
        <v>2562</v>
      </c>
      <c r="G241" s="2" t="s">
        <v>462</v>
      </c>
      <c r="H241" s="2" t="s">
        <v>2752</v>
      </c>
    </row>
    <row r="242" customFormat="false" ht="46.25" hidden="false" customHeight="false" outlineLevel="0" collapsed="false">
      <c r="A242" s="2" t="s">
        <v>2806</v>
      </c>
      <c r="B242" s="2" t="s">
        <v>529</v>
      </c>
      <c r="C242" s="2" t="s">
        <v>795</v>
      </c>
      <c r="D242" s="2" t="s">
        <v>97</v>
      </c>
      <c r="E242" s="2" t="n">
        <v>1</v>
      </c>
      <c r="F242" s="2" t="s">
        <v>2562</v>
      </c>
      <c r="G242" s="2" t="s">
        <v>462</v>
      </c>
      <c r="H242" s="2" t="s">
        <v>2752</v>
      </c>
    </row>
    <row r="243" customFormat="false" ht="46.25" hidden="false" customHeight="false" outlineLevel="0" collapsed="false">
      <c r="A243" s="2" t="s">
        <v>2807</v>
      </c>
      <c r="B243" s="2" t="s">
        <v>531</v>
      </c>
      <c r="C243" s="2" t="s">
        <v>965</v>
      </c>
      <c r="D243" s="2" t="s">
        <v>65</v>
      </c>
      <c r="E243" s="2" t="n">
        <v>1</v>
      </c>
      <c r="F243" s="2" t="s">
        <v>2562</v>
      </c>
      <c r="G243" s="2" t="s">
        <v>462</v>
      </c>
      <c r="H243" s="2" t="s">
        <v>2752</v>
      </c>
    </row>
    <row r="244" customFormat="false" ht="46.25" hidden="false" customHeight="false" outlineLevel="0" collapsed="false">
      <c r="A244" s="2" t="s">
        <v>2808</v>
      </c>
      <c r="B244" s="2" t="s">
        <v>533</v>
      </c>
      <c r="C244" s="2" t="s">
        <v>967</v>
      </c>
      <c r="D244" s="2" t="s">
        <v>117</v>
      </c>
      <c r="E244" s="2" t="n">
        <v>1</v>
      </c>
      <c r="F244" s="2" t="s">
        <v>2562</v>
      </c>
      <c r="G244" s="2" t="s">
        <v>462</v>
      </c>
      <c r="H244" s="2" t="s">
        <v>2752</v>
      </c>
    </row>
    <row r="245" customFormat="false" ht="46.25" hidden="false" customHeight="false" outlineLevel="0" collapsed="false">
      <c r="A245" s="2" t="s">
        <v>2809</v>
      </c>
      <c r="B245" s="2" t="s">
        <v>535</v>
      </c>
      <c r="C245" s="2" t="s">
        <v>772</v>
      </c>
      <c r="D245" s="2" t="s">
        <v>118</v>
      </c>
      <c r="E245" s="2" t="n">
        <v>1</v>
      </c>
      <c r="F245" s="2" t="s">
        <v>2562</v>
      </c>
      <c r="G245" s="2" t="s">
        <v>462</v>
      </c>
      <c r="H245" s="2" t="s">
        <v>2752</v>
      </c>
    </row>
    <row r="246" customFormat="false" ht="46.25" hidden="false" customHeight="false" outlineLevel="0" collapsed="false">
      <c r="A246" s="2" t="s">
        <v>2810</v>
      </c>
      <c r="B246" s="2" t="s">
        <v>537</v>
      </c>
      <c r="C246" s="2" t="s">
        <v>970</v>
      </c>
      <c r="D246" s="2" t="s">
        <v>116</v>
      </c>
      <c r="E246" s="2" t="n">
        <v>1</v>
      </c>
      <c r="F246" s="2" t="s">
        <v>2562</v>
      </c>
      <c r="G246" s="2" t="s">
        <v>462</v>
      </c>
      <c r="H246" s="2" t="s">
        <v>2752</v>
      </c>
    </row>
    <row r="247" customFormat="false" ht="46.25" hidden="false" customHeight="false" outlineLevel="0" collapsed="false">
      <c r="A247" s="2" t="s">
        <v>2811</v>
      </c>
      <c r="B247" s="2" t="s">
        <v>539</v>
      </c>
      <c r="C247" s="2" t="s">
        <v>754</v>
      </c>
      <c r="D247" s="2" t="s">
        <v>124</v>
      </c>
      <c r="E247" s="2" t="n">
        <v>1</v>
      </c>
      <c r="F247" s="2" t="s">
        <v>2562</v>
      </c>
      <c r="G247" s="2" t="s">
        <v>462</v>
      </c>
      <c r="H247" s="2" t="s">
        <v>2752</v>
      </c>
    </row>
    <row r="248" customFormat="false" ht="46.25" hidden="false" customHeight="false" outlineLevel="0" collapsed="false">
      <c r="A248" s="2" t="s">
        <v>2812</v>
      </c>
      <c r="B248" s="2" t="s">
        <v>540</v>
      </c>
      <c r="C248" s="2" t="s">
        <v>764</v>
      </c>
      <c r="D248" s="2" t="s">
        <v>115</v>
      </c>
      <c r="E248" s="2" t="n">
        <v>1</v>
      </c>
      <c r="F248" s="2" t="s">
        <v>2562</v>
      </c>
      <c r="G248" s="2" t="s">
        <v>462</v>
      </c>
      <c r="H248" s="2" t="s">
        <v>2752</v>
      </c>
    </row>
    <row r="249" customFormat="false" ht="46.25" hidden="false" customHeight="false" outlineLevel="0" collapsed="false">
      <c r="A249" s="2" t="s">
        <v>2813</v>
      </c>
      <c r="B249" s="2" t="s">
        <v>541</v>
      </c>
      <c r="C249" s="2" t="s">
        <v>852</v>
      </c>
      <c r="D249" s="2" t="s">
        <v>114</v>
      </c>
      <c r="E249" s="2" t="n">
        <v>1</v>
      </c>
      <c r="F249" s="2" t="s">
        <v>2562</v>
      </c>
      <c r="G249" s="2" t="s">
        <v>462</v>
      </c>
      <c r="H249" s="2" t="s">
        <v>2752</v>
      </c>
    </row>
    <row r="250" customFormat="false" ht="46.25" hidden="false" customHeight="false" outlineLevel="0" collapsed="false">
      <c r="A250" s="2" t="s">
        <v>2814</v>
      </c>
      <c r="B250" s="2" t="s">
        <v>543</v>
      </c>
      <c r="C250" s="2" t="s">
        <v>762</v>
      </c>
      <c r="D250" s="2" t="s">
        <v>108</v>
      </c>
      <c r="E250" s="2" t="n">
        <v>1</v>
      </c>
      <c r="F250" s="2" t="s">
        <v>2562</v>
      </c>
      <c r="G250" s="2" t="s">
        <v>462</v>
      </c>
      <c r="H250" s="2" t="s">
        <v>2752</v>
      </c>
    </row>
    <row r="251" customFormat="false" ht="46.25" hidden="false" customHeight="false" outlineLevel="0" collapsed="false">
      <c r="A251" s="2" t="s">
        <v>2815</v>
      </c>
      <c r="B251" s="2" t="s">
        <v>545</v>
      </c>
      <c r="C251" s="2" t="s">
        <v>698</v>
      </c>
      <c r="D251" s="2" t="s">
        <v>104</v>
      </c>
      <c r="E251" s="2" t="n">
        <v>1</v>
      </c>
      <c r="F251" s="2" t="s">
        <v>2562</v>
      </c>
      <c r="G251" s="2" t="s">
        <v>462</v>
      </c>
      <c r="H251" s="2" t="s">
        <v>2752</v>
      </c>
    </row>
    <row r="252" customFormat="false" ht="46.25" hidden="false" customHeight="false" outlineLevel="0" collapsed="false">
      <c r="A252" s="2" t="s">
        <v>2816</v>
      </c>
      <c r="B252" s="2" t="s">
        <v>545</v>
      </c>
      <c r="C252" s="2" t="s">
        <v>724</v>
      </c>
      <c r="D252" s="2" t="s">
        <v>142</v>
      </c>
      <c r="E252" s="2" t="n">
        <v>2</v>
      </c>
      <c r="F252" s="2" t="s">
        <v>2562</v>
      </c>
      <c r="G252" s="2" t="s">
        <v>462</v>
      </c>
      <c r="H252" s="2" t="s">
        <v>2752</v>
      </c>
    </row>
    <row r="253" customFormat="false" ht="46.25" hidden="false" customHeight="false" outlineLevel="0" collapsed="false">
      <c r="A253" s="2" t="s">
        <v>2817</v>
      </c>
      <c r="B253" s="2" t="s">
        <v>546</v>
      </c>
      <c r="C253" s="2" t="s">
        <v>768</v>
      </c>
      <c r="D253" s="2" t="s">
        <v>90</v>
      </c>
      <c r="E253" s="2" t="n">
        <v>1</v>
      </c>
      <c r="F253" s="2" t="s">
        <v>2562</v>
      </c>
      <c r="G253" s="2" t="s">
        <v>462</v>
      </c>
      <c r="H253" s="2" t="s">
        <v>2752</v>
      </c>
    </row>
    <row r="254" customFormat="false" ht="46.25" hidden="false" customHeight="false" outlineLevel="0" collapsed="false">
      <c r="A254" s="2" t="s">
        <v>2818</v>
      </c>
      <c r="B254" s="2" t="s">
        <v>547</v>
      </c>
      <c r="C254" s="2" t="s">
        <v>744</v>
      </c>
      <c r="D254" s="2" t="s">
        <v>131</v>
      </c>
      <c r="E254" s="2" t="n">
        <v>1</v>
      </c>
      <c r="F254" s="2" t="s">
        <v>2562</v>
      </c>
      <c r="G254" s="2" t="s">
        <v>462</v>
      </c>
      <c r="H254" s="2" t="s">
        <v>2752</v>
      </c>
    </row>
    <row r="255" customFormat="false" ht="46.25" hidden="false" customHeight="false" outlineLevel="0" collapsed="false">
      <c r="A255" s="2" t="s">
        <v>2819</v>
      </c>
      <c r="B255" s="2" t="s">
        <v>548</v>
      </c>
      <c r="C255" s="2" t="s">
        <v>722</v>
      </c>
      <c r="D255" s="2" t="s">
        <v>72</v>
      </c>
      <c r="E255" s="2" t="n">
        <v>1</v>
      </c>
      <c r="F255" s="2" t="s">
        <v>2562</v>
      </c>
      <c r="G255" s="2" t="s">
        <v>462</v>
      </c>
      <c r="H255" s="2" t="s">
        <v>2752</v>
      </c>
    </row>
    <row r="256" customFormat="false" ht="46.25" hidden="false" customHeight="false" outlineLevel="0" collapsed="false">
      <c r="A256" s="2" t="s">
        <v>2820</v>
      </c>
      <c r="B256" s="2" t="s">
        <v>550</v>
      </c>
      <c r="C256" s="2" t="s">
        <v>786</v>
      </c>
      <c r="D256" s="2" t="s">
        <v>122</v>
      </c>
      <c r="E256" s="2" t="n">
        <v>1</v>
      </c>
      <c r="F256" s="2" t="s">
        <v>2562</v>
      </c>
      <c r="G256" s="2" t="s">
        <v>462</v>
      </c>
      <c r="H256" s="2" t="s">
        <v>2752</v>
      </c>
    </row>
    <row r="257" customFormat="false" ht="46.25" hidden="false" customHeight="false" outlineLevel="0" collapsed="false">
      <c r="A257" s="2" t="s">
        <v>2821</v>
      </c>
      <c r="B257" s="2" t="s">
        <v>551</v>
      </c>
      <c r="C257" s="2" t="s">
        <v>766</v>
      </c>
      <c r="D257" s="2" t="s">
        <v>143</v>
      </c>
      <c r="E257" s="2" t="n">
        <v>1</v>
      </c>
      <c r="F257" s="2" t="s">
        <v>2562</v>
      </c>
      <c r="G257" s="2" t="s">
        <v>462</v>
      </c>
      <c r="H257" s="2" t="s">
        <v>2752</v>
      </c>
    </row>
    <row r="258" customFormat="false" ht="46.25" hidden="false" customHeight="false" outlineLevel="0" collapsed="false">
      <c r="A258" s="2" t="s">
        <v>2822</v>
      </c>
      <c r="B258" s="2" t="s">
        <v>552</v>
      </c>
      <c r="C258" s="2" t="s">
        <v>744</v>
      </c>
      <c r="D258" s="2" t="s">
        <v>131</v>
      </c>
      <c r="E258" s="2" t="n">
        <v>1</v>
      </c>
      <c r="F258" s="2" t="s">
        <v>2562</v>
      </c>
      <c r="G258" s="2" t="s">
        <v>462</v>
      </c>
      <c r="H258" s="2" t="s">
        <v>2752</v>
      </c>
    </row>
    <row r="259" customFormat="false" ht="46.25" hidden="false" customHeight="false" outlineLevel="0" collapsed="false">
      <c r="A259" s="2" t="s">
        <v>2823</v>
      </c>
      <c r="B259" s="2" t="s">
        <v>553</v>
      </c>
      <c r="C259" s="2" t="s">
        <v>744</v>
      </c>
      <c r="D259" s="2" t="s">
        <v>131</v>
      </c>
      <c r="E259" s="2" t="n">
        <v>1</v>
      </c>
      <c r="F259" s="2" t="s">
        <v>2562</v>
      </c>
      <c r="G259" s="2" t="s">
        <v>462</v>
      </c>
      <c r="H259" s="2" t="s">
        <v>2752</v>
      </c>
    </row>
    <row r="260" customFormat="false" ht="46.25" hidden="false" customHeight="false" outlineLevel="0" collapsed="false">
      <c r="A260" s="2" t="s">
        <v>2824</v>
      </c>
      <c r="B260" s="2" t="s">
        <v>566</v>
      </c>
      <c r="C260" s="2" t="s">
        <v>734</v>
      </c>
      <c r="D260" s="2" t="s">
        <v>87</v>
      </c>
      <c r="E260" s="2" t="n">
        <v>1</v>
      </c>
      <c r="F260" s="2" t="s">
        <v>2562</v>
      </c>
      <c r="G260" s="2" t="s">
        <v>462</v>
      </c>
      <c r="H260" s="2" t="s">
        <v>2752</v>
      </c>
    </row>
    <row r="261" customFormat="false" ht="46.25" hidden="false" customHeight="false" outlineLevel="0" collapsed="false">
      <c r="A261" s="2" t="s">
        <v>2825</v>
      </c>
      <c r="B261" s="2" t="s">
        <v>566</v>
      </c>
      <c r="C261" s="2" t="s">
        <v>726</v>
      </c>
      <c r="D261" s="2" t="s">
        <v>134</v>
      </c>
      <c r="E261" s="2" t="n">
        <v>2</v>
      </c>
      <c r="F261" s="2" t="s">
        <v>2562</v>
      </c>
      <c r="G261" s="2" t="s">
        <v>462</v>
      </c>
      <c r="H261" s="2" t="s">
        <v>2752</v>
      </c>
    </row>
    <row r="262" customFormat="false" ht="46.25" hidden="false" customHeight="false" outlineLevel="0" collapsed="false">
      <c r="A262" s="2" t="s">
        <v>2826</v>
      </c>
      <c r="B262" s="2" t="s">
        <v>566</v>
      </c>
      <c r="C262" s="2" t="s">
        <v>728</v>
      </c>
      <c r="D262" s="2" t="s">
        <v>136</v>
      </c>
      <c r="E262" s="2" t="n">
        <v>3</v>
      </c>
      <c r="F262" s="2" t="s">
        <v>2562</v>
      </c>
      <c r="G262" s="2" t="s">
        <v>462</v>
      </c>
      <c r="H262" s="2" t="s">
        <v>2752</v>
      </c>
    </row>
    <row r="263" customFormat="false" ht="46.25" hidden="false" customHeight="false" outlineLevel="0" collapsed="false">
      <c r="A263" s="2" t="s">
        <v>2827</v>
      </c>
      <c r="B263" s="2" t="s">
        <v>567</v>
      </c>
      <c r="C263" s="2" t="s">
        <v>726</v>
      </c>
      <c r="D263" s="2" t="s">
        <v>134</v>
      </c>
      <c r="E263" s="2" t="n">
        <v>1</v>
      </c>
      <c r="F263" s="2" t="s">
        <v>2562</v>
      </c>
      <c r="G263" s="2" t="s">
        <v>462</v>
      </c>
      <c r="H263" s="2" t="s">
        <v>2752</v>
      </c>
    </row>
    <row r="264" customFormat="false" ht="46.25" hidden="false" customHeight="false" outlineLevel="0" collapsed="false">
      <c r="A264" s="2" t="s">
        <v>2828</v>
      </c>
      <c r="B264" s="2" t="s">
        <v>568</v>
      </c>
      <c r="C264" s="2" t="s">
        <v>740</v>
      </c>
      <c r="D264" s="2" t="s">
        <v>82</v>
      </c>
      <c r="E264" s="2" t="n">
        <v>1</v>
      </c>
      <c r="F264" s="2" t="s">
        <v>2562</v>
      </c>
      <c r="G264" s="2" t="s">
        <v>462</v>
      </c>
      <c r="H264" s="2" t="s">
        <v>2752</v>
      </c>
    </row>
    <row r="265" customFormat="false" ht="46.25" hidden="false" customHeight="false" outlineLevel="0" collapsed="false">
      <c r="A265" s="2" t="s">
        <v>2829</v>
      </c>
      <c r="B265" s="2" t="s">
        <v>568</v>
      </c>
      <c r="C265" s="2" t="s">
        <v>744</v>
      </c>
      <c r="D265" s="2" t="s">
        <v>131</v>
      </c>
      <c r="E265" s="2" t="n">
        <v>2</v>
      </c>
      <c r="F265" s="2" t="s">
        <v>2562</v>
      </c>
      <c r="G265" s="2" t="s">
        <v>462</v>
      </c>
      <c r="H265" s="2" t="s">
        <v>2752</v>
      </c>
    </row>
    <row r="266" customFormat="false" ht="46.25" hidden="false" customHeight="false" outlineLevel="0" collapsed="false">
      <c r="A266" s="2" t="s">
        <v>2830</v>
      </c>
      <c r="B266" s="2" t="s">
        <v>568</v>
      </c>
      <c r="C266" s="2" t="s">
        <v>724</v>
      </c>
      <c r="D266" s="2" t="s">
        <v>142</v>
      </c>
      <c r="E266" s="2" t="n">
        <v>3</v>
      </c>
      <c r="F266" s="2" t="s">
        <v>2562</v>
      </c>
      <c r="G266" s="2" t="s">
        <v>462</v>
      </c>
      <c r="H266" s="2" t="s">
        <v>2752</v>
      </c>
    </row>
    <row r="267" customFormat="false" ht="46.25" hidden="false" customHeight="false" outlineLevel="0" collapsed="false">
      <c r="A267" s="2" t="s">
        <v>2831</v>
      </c>
      <c r="B267" s="2" t="s">
        <v>569</v>
      </c>
      <c r="C267" s="2" t="s">
        <v>742</v>
      </c>
      <c r="D267" s="2" t="s">
        <v>88</v>
      </c>
      <c r="E267" s="2" t="n">
        <v>1</v>
      </c>
      <c r="F267" s="2" t="s">
        <v>2562</v>
      </c>
      <c r="G267" s="2" t="s">
        <v>462</v>
      </c>
      <c r="H267" s="2" t="s">
        <v>2752</v>
      </c>
    </row>
    <row r="268" customFormat="false" ht="46.25" hidden="false" customHeight="false" outlineLevel="0" collapsed="false">
      <c r="A268" s="2" t="s">
        <v>2832</v>
      </c>
      <c r="B268" s="2" t="s">
        <v>569</v>
      </c>
      <c r="C268" s="2" t="s">
        <v>744</v>
      </c>
      <c r="D268" s="2" t="s">
        <v>131</v>
      </c>
      <c r="E268" s="2" t="n">
        <v>2</v>
      </c>
      <c r="F268" s="2" t="s">
        <v>2562</v>
      </c>
      <c r="G268" s="2" t="s">
        <v>462</v>
      </c>
      <c r="H268" s="2" t="s">
        <v>2752</v>
      </c>
    </row>
    <row r="269" customFormat="false" ht="46.25" hidden="false" customHeight="false" outlineLevel="0" collapsed="false">
      <c r="A269" s="2" t="s">
        <v>2833</v>
      </c>
      <c r="B269" s="2" t="s">
        <v>571</v>
      </c>
      <c r="C269" s="2" t="s">
        <v>742</v>
      </c>
      <c r="D269" s="2" t="s">
        <v>88</v>
      </c>
      <c r="E269" s="2" t="n">
        <v>1</v>
      </c>
      <c r="F269" s="2" t="s">
        <v>2562</v>
      </c>
      <c r="G269" s="2" t="s">
        <v>462</v>
      </c>
      <c r="H269" s="2" t="s">
        <v>2752</v>
      </c>
    </row>
    <row r="270" customFormat="false" ht="46.25" hidden="false" customHeight="false" outlineLevel="0" collapsed="false">
      <c r="A270" s="2" t="s">
        <v>2834</v>
      </c>
      <c r="B270" s="2" t="s">
        <v>572</v>
      </c>
      <c r="C270" s="2" t="s">
        <v>766</v>
      </c>
      <c r="D270" s="2" t="s">
        <v>143</v>
      </c>
      <c r="E270" s="2" t="n">
        <v>1</v>
      </c>
      <c r="F270" s="2" t="s">
        <v>2562</v>
      </c>
      <c r="G270" s="2" t="s">
        <v>462</v>
      </c>
      <c r="H270" s="2" t="s">
        <v>2752</v>
      </c>
    </row>
    <row r="271" customFormat="false" ht="46.25" hidden="false" customHeight="false" outlineLevel="0" collapsed="false">
      <c r="A271" s="2" t="s">
        <v>2835</v>
      </c>
      <c r="B271" s="2" t="s">
        <v>573</v>
      </c>
      <c r="C271" s="2" t="s">
        <v>724</v>
      </c>
      <c r="D271" s="2" t="s">
        <v>142</v>
      </c>
      <c r="E271" s="2" t="n">
        <v>1</v>
      </c>
      <c r="F271" s="2" t="s">
        <v>2562</v>
      </c>
      <c r="G271" s="2" t="s">
        <v>462</v>
      </c>
      <c r="H271" s="2" t="s">
        <v>2752</v>
      </c>
    </row>
    <row r="272" customFormat="false" ht="46.25" hidden="false" customHeight="false" outlineLevel="0" collapsed="false">
      <c r="A272" s="2" t="s">
        <v>2836</v>
      </c>
      <c r="B272" s="2" t="s">
        <v>575</v>
      </c>
      <c r="C272" s="2" t="s">
        <v>724</v>
      </c>
      <c r="D272" s="2" t="s">
        <v>142</v>
      </c>
      <c r="E272" s="2" t="n">
        <v>1</v>
      </c>
      <c r="F272" s="2" t="s">
        <v>2562</v>
      </c>
      <c r="G272" s="2" t="s">
        <v>462</v>
      </c>
      <c r="H272" s="2" t="s">
        <v>2752</v>
      </c>
    </row>
    <row r="273" customFormat="false" ht="46.25" hidden="false" customHeight="false" outlineLevel="0" collapsed="false">
      <c r="A273" s="2" t="s">
        <v>2837</v>
      </c>
      <c r="B273" s="2" t="s">
        <v>576</v>
      </c>
      <c r="C273" s="2" t="s">
        <v>992</v>
      </c>
      <c r="D273" s="2" t="s">
        <v>99</v>
      </c>
      <c r="E273" s="2" t="n">
        <v>1</v>
      </c>
      <c r="F273" s="2" t="s">
        <v>2562</v>
      </c>
      <c r="G273" s="2" t="s">
        <v>462</v>
      </c>
      <c r="H273" s="2" t="s">
        <v>2752</v>
      </c>
    </row>
    <row r="274" customFormat="false" ht="46.25" hidden="false" customHeight="false" outlineLevel="0" collapsed="false">
      <c r="A274" s="2" t="s">
        <v>2838</v>
      </c>
      <c r="B274" s="2" t="s">
        <v>576</v>
      </c>
      <c r="C274" s="2" t="s">
        <v>730</v>
      </c>
      <c r="D274" s="2" t="s">
        <v>138</v>
      </c>
      <c r="E274" s="2" t="n">
        <v>2</v>
      </c>
      <c r="F274" s="2" t="s">
        <v>2562</v>
      </c>
      <c r="G274" s="2" t="s">
        <v>462</v>
      </c>
      <c r="H274" s="2" t="s">
        <v>2752</v>
      </c>
    </row>
    <row r="275" customFormat="false" ht="46.25" hidden="false" customHeight="false" outlineLevel="0" collapsed="false">
      <c r="A275" s="2" t="s">
        <v>2839</v>
      </c>
      <c r="B275" s="2" t="s">
        <v>578</v>
      </c>
      <c r="C275" s="2" t="s">
        <v>698</v>
      </c>
      <c r="D275" s="2" t="s">
        <v>104</v>
      </c>
      <c r="E275" s="2" t="n">
        <v>1</v>
      </c>
      <c r="F275" s="2" t="s">
        <v>2562</v>
      </c>
      <c r="G275" s="2" t="s">
        <v>462</v>
      </c>
      <c r="H275" s="2" t="s">
        <v>2752</v>
      </c>
    </row>
    <row r="276" customFormat="false" ht="46.25" hidden="false" customHeight="false" outlineLevel="0" collapsed="false">
      <c r="A276" s="2" t="s">
        <v>2840</v>
      </c>
      <c r="B276" s="2" t="s">
        <v>578</v>
      </c>
      <c r="C276" s="2" t="s">
        <v>724</v>
      </c>
      <c r="D276" s="2" t="s">
        <v>142</v>
      </c>
      <c r="E276" s="2" t="n">
        <v>2</v>
      </c>
      <c r="F276" s="2" t="s">
        <v>2562</v>
      </c>
      <c r="G276" s="2" t="s">
        <v>462</v>
      </c>
      <c r="H276" s="2" t="s">
        <v>2752</v>
      </c>
    </row>
    <row r="277" customFormat="false" ht="46.25" hidden="false" customHeight="false" outlineLevel="0" collapsed="false">
      <c r="A277" s="2" t="s">
        <v>2841</v>
      </c>
      <c r="B277" s="2" t="s">
        <v>579</v>
      </c>
      <c r="C277" s="2" t="s">
        <v>698</v>
      </c>
      <c r="D277" s="2" t="s">
        <v>104</v>
      </c>
      <c r="E277" s="2" t="n">
        <v>1</v>
      </c>
      <c r="F277" s="2" t="s">
        <v>2562</v>
      </c>
      <c r="G277" s="2" t="s">
        <v>462</v>
      </c>
      <c r="H277" s="2" t="s">
        <v>2752</v>
      </c>
    </row>
    <row r="278" customFormat="false" ht="46.25" hidden="false" customHeight="false" outlineLevel="0" collapsed="false">
      <c r="A278" s="2" t="s">
        <v>2842</v>
      </c>
      <c r="B278" s="2" t="s">
        <v>580</v>
      </c>
      <c r="C278" s="2" t="s">
        <v>970</v>
      </c>
      <c r="D278" s="2" t="s">
        <v>116</v>
      </c>
      <c r="E278" s="2" t="n">
        <v>1</v>
      </c>
      <c r="F278" s="2" t="s">
        <v>2562</v>
      </c>
      <c r="G278" s="2" t="s">
        <v>462</v>
      </c>
      <c r="H278" s="2" t="s">
        <v>2752</v>
      </c>
    </row>
    <row r="279" customFormat="false" ht="46.25" hidden="false" customHeight="false" outlineLevel="0" collapsed="false">
      <c r="A279" s="2" t="s">
        <v>2843</v>
      </c>
      <c r="B279" s="2" t="s">
        <v>582</v>
      </c>
      <c r="C279" s="2" t="s">
        <v>754</v>
      </c>
      <c r="D279" s="2" t="s">
        <v>124</v>
      </c>
      <c r="E279" s="2" t="n">
        <v>1</v>
      </c>
      <c r="F279" s="2" t="s">
        <v>2562</v>
      </c>
      <c r="G279" s="2" t="s">
        <v>462</v>
      </c>
      <c r="H279" s="2" t="s">
        <v>2752</v>
      </c>
    </row>
    <row r="280" customFormat="false" ht="46.25" hidden="false" customHeight="false" outlineLevel="0" collapsed="false">
      <c r="A280" s="2" t="s">
        <v>2844</v>
      </c>
      <c r="B280" s="2" t="s">
        <v>583</v>
      </c>
      <c r="C280" s="2" t="s">
        <v>848</v>
      </c>
      <c r="D280" s="2" t="s">
        <v>127</v>
      </c>
      <c r="E280" s="2" t="n">
        <v>1</v>
      </c>
      <c r="F280" s="2" t="s">
        <v>2562</v>
      </c>
      <c r="G280" s="2" t="s">
        <v>462</v>
      </c>
      <c r="H280" s="2" t="s">
        <v>2752</v>
      </c>
    </row>
    <row r="281" customFormat="false" ht="46.25" hidden="false" customHeight="false" outlineLevel="0" collapsed="false">
      <c r="A281" s="2" t="s">
        <v>2845</v>
      </c>
      <c r="B281" s="2" t="s">
        <v>584</v>
      </c>
      <c r="C281" s="2" t="s">
        <v>808</v>
      </c>
      <c r="D281" s="2" t="s">
        <v>126</v>
      </c>
      <c r="E281" s="2" t="n">
        <v>1</v>
      </c>
      <c r="F281" s="2" t="s">
        <v>2562</v>
      </c>
      <c r="G281" s="2" t="s">
        <v>462</v>
      </c>
      <c r="H281" s="2" t="s">
        <v>2752</v>
      </c>
    </row>
    <row r="282" customFormat="false" ht="46.25" hidden="false" customHeight="false" outlineLevel="0" collapsed="false">
      <c r="A282" s="2" t="s">
        <v>2846</v>
      </c>
      <c r="B282" s="2" t="s">
        <v>585</v>
      </c>
      <c r="C282" s="2" t="s">
        <v>786</v>
      </c>
      <c r="D282" s="2" t="s">
        <v>122</v>
      </c>
      <c r="E282" s="2" t="n">
        <v>1</v>
      </c>
      <c r="F282" s="2" t="s">
        <v>2562</v>
      </c>
      <c r="G282" s="2" t="s">
        <v>462</v>
      </c>
      <c r="H282" s="2" t="s">
        <v>2752</v>
      </c>
    </row>
    <row r="283" customFormat="false" ht="46.25" hidden="false" customHeight="false" outlineLevel="0" collapsed="false">
      <c r="A283" s="2" t="s">
        <v>2847</v>
      </c>
      <c r="B283" s="2" t="s">
        <v>586</v>
      </c>
      <c r="C283" s="2" t="s">
        <v>732</v>
      </c>
      <c r="D283" s="2" t="s">
        <v>77</v>
      </c>
      <c r="E283" s="2" t="n">
        <v>1</v>
      </c>
      <c r="F283" s="2" t="s">
        <v>2562</v>
      </c>
      <c r="G283" s="2" t="s">
        <v>462</v>
      </c>
      <c r="H283" s="2" t="s">
        <v>2752</v>
      </c>
    </row>
    <row r="284" customFormat="false" ht="46.25" hidden="false" customHeight="false" outlineLevel="0" collapsed="false">
      <c r="A284" s="2" t="s">
        <v>2848</v>
      </c>
      <c r="B284" s="2" t="s">
        <v>587</v>
      </c>
      <c r="C284" s="2" t="s">
        <v>722</v>
      </c>
      <c r="D284" s="2" t="s">
        <v>72</v>
      </c>
      <c r="E284" s="2" t="n">
        <v>1</v>
      </c>
      <c r="F284" s="2" t="s">
        <v>2562</v>
      </c>
      <c r="G284" s="2" t="s">
        <v>462</v>
      </c>
      <c r="H284" s="2" t="s">
        <v>2752</v>
      </c>
    </row>
    <row r="285" customFormat="false" ht="46.25" hidden="false" customHeight="false" outlineLevel="0" collapsed="false">
      <c r="A285" s="2" t="s">
        <v>2849</v>
      </c>
      <c r="B285" s="2" t="s">
        <v>588</v>
      </c>
      <c r="C285" s="2" t="s">
        <v>933</v>
      </c>
      <c r="D285" s="2" t="s">
        <v>78</v>
      </c>
      <c r="E285" s="2" t="n">
        <v>1</v>
      </c>
      <c r="F285" s="2" t="s">
        <v>2562</v>
      </c>
      <c r="G285" s="2" t="s">
        <v>462</v>
      </c>
      <c r="H285" s="2" t="s">
        <v>2752</v>
      </c>
    </row>
    <row r="286" customFormat="false" ht="46.25" hidden="false" customHeight="false" outlineLevel="0" collapsed="false">
      <c r="A286" s="2" t="s">
        <v>2850</v>
      </c>
      <c r="B286" s="2" t="s">
        <v>589</v>
      </c>
      <c r="C286" s="2" t="s">
        <v>709</v>
      </c>
      <c r="D286" s="2" t="s">
        <v>70</v>
      </c>
      <c r="E286" s="2" t="n">
        <v>1</v>
      </c>
      <c r="F286" s="2" t="s">
        <v>2562</v>
      </c>
      <c r="G286" s="2" t="s">
        <v>462</v>
      </c>
      <c r="H286" s="2" t="s">
        <v>2752</v>
      </c>
    </row>
    <row r="287" customFormat="false" ht="46.25" hidden="false" customHeight="false" outlineLevel="0" collapsed="false">
      <c r="A287" s="2" t="s">
        <v>2851</v>
      </c>
      <c r="B287" s="2" t="s">
        <v>590</v>
      </c>
      <c r="C287" s="2" t="s">
        <v>959</v>
      </c>
      <c r="D287" s="2" t="s">
        <v>57</v>
      </c>
      <c r="E287" s="2" t="n">
        <v>1</v>
      </c>
      <c r="F287" s="2" t="s">
        <v>2562</v>
      </c>
      <c r="G287" s="2" t="s">
        <v>462</v>
      </c>
      <c r="H287" s="2" t="s">
        <v>2752</v>
      </c>
    </row>
    <row r="288" customFormat="false" ht="46.25" hidden="false" customHeight="false" outlineLevel="0" collapsed="false">
      <c r="A288" s="2" t="s">
        <v>2852</v>
      </c>
      <c r="B288" s="2" t="s">
        <v>591</v>
      </c>
      <c r="C288" s="2" t="s">
        <v>898</v>
      </c>
      <c r="D288" s="2" t="s">
        <v>62</v>
      </c>
      <c r="E288" s="2" t="n">
        <v>1</v>
      </c>
      <c r="F288" s="2" t="s">
        <v>2562</v>
      </c>
      <c r="G288" s="2" t="s">
        <v>462</v>
      </c>
      <c r="H288" s="2" t="s">
        <v>2752</v>
      </c>
    </row>
    <row r="289" customFormat="false" ht="46.25" hidden="false" customHeight="false" outlineLevel="0" collapsed="false">
      <c r="A289" s="2" t="s">
        <v>2853</v>
      </c>
      <c r="B289" s="2" t="s">
        <v>592</v>
      </c>
      <c r="C289" s="2" t="s">
        <v>707</v>
      </c>
      <c r="D289" s="2" t="s">
        <v>74</v>
      </c>
      <c r="E289" s="2" t="n">
        <v>1</v>
      </c>
      <c r="F289" s="2" t="s">
        <v>2562</v>
      </c>
      <c r="G289" s="2" t="s">
        <v>462</v>
      </c>
      <c r="H289" s="2" t="s">
        <v>2752</v>
      </c>
    </row>
    <row r="290" customFormat="false" ht="46.25" hidden="false" customHeight="false" outlineLevel="0" collapsed="false">
      <c r="A290" s="2" t="s">
        <v>2854</v>
      </c>
      <c r="B290" s="2" t="s">
        <v>593</v>
      </c>
      <c r="C290" s="2" t="s">
        <v>717</v>
      </c>
      <c r="D290" s="2" t="s">
        <v>76</v>
      </c>
      <c r="E290" s="2" t="n">
        <v>1</v>
      </c>
      <c r="F290" s="2" t="s">
        <v>2562</v>
      </c>
      <c r="G290" s="2" t="s">
        <v>462</v>
      </c>
      <c r="H290" s="2" t="s">
        <v>2752</v>
      </c>
    </row>
    <row r="291" customFormat="false" ht="46.25" hidden="false" customHeight="false" outlineLevel="0" collapsed="false">
      <c r="A291" s="2" t="s">
        <v>2855</v>
      </c>
      <c r="B291" s="2" t="s">
        <v>594</v>
      </c>
      <c r="C291" s="2" t="s">
        <v>798</v>
      </c>
      <c r="D291" s="2" t="s">
        <v>140</v>
      </c>
      <c r="E291" s="2" t="n">
        <v>1</v>
      </c>
      <c r="F291" s="2" t="s">
        <v>2562</v>
      </c>
      <c r="G291" s="2" t="s">
        <v>462</v>
      </c>
      <c r="H291" s="2" t="s">
        <v>2752</v>
      </c>
    </row>
    <row r="292" customFormat="false" ht="46.25" hidden="false" customHeight="false" outlineLevel="0" collapsed="false">
      <c r="A292" s="2" t="s">
        <v>2856</v>
      </c>
      <c r="B292" s="2" t="s">
        <v>595</v>
      </c>
      <c r="C292" s="2" t="s">
        <v>700</v>
      </c>
      <c r="D292" s="2" t="s">
        <v>141</v>
      </c>
      <c r="E292" s="2" t="n">
        <v>1</v>
      </c>
      <c r="F292" s="2" t="s">
        <v>2562</v>
      </c>
      <c r="G292" s="2" t="s">
        <v>462</v>
      </c>
      <c r="H292" s="2" t="s">
        <v>2752</v>
      </c>
    </row>
    <row r="293" customFormat="false" ht="46.25" hidden="false" customHeight="false" outlineLevel="0" collapsed="false">
      <c r="A293" s="2" t="s">
        <v>2857</v>
      </c>
      <c r="B293" s="2" t="s">
        <v>596</v>
      </c>
      <c r="C293" s="2" t="s">
        <v>694</v>
      </c>
      <c r="D293" s="2" t="s">
        <v>139</v>
      </c>
      <c r="E293" s="2" t="n">
        <v>1</v>
      </c>
      <c r="F293" s="2" t="s">
        <v>2562</v>
      </c>
      <c r="G293" s="2" t="s">
        <v>462</v>
      </c>
      <c r="H293" s="2" t="s">
        <v>2752</v>
      </c>
    </row>
    <row r="294" customFormat="false" ht="46.25" hidden="false" customHeight="false" outlineLevel="0" collapsed="false">
      <c r="A294" s="2" t="s">
        <v>2858</v>
      </c>
      <c r="B294" s="2" t="s">
        <v>597</v>
      </c>
      <c r="C294" s="2" t="s">
        <v>700</v>
      </c>
      <c r="D294" s="2" t="s">
        <v>141</v>
      </c>
      <c r="E294" s="2" t="n">
        <v>1</v>
      </c>
      <c r="F294" s="2" t="s">
        <v>2562</v>
      </c>
      <c r="G294" s="2" t="s">
        <v>462</v>
      </c>
      <c r="H294" s="2" t="s">
        <v>2752</v>
      </c>
    </row>
    <row r="295" customFormat="false" ht="46.25" hidden="false" customHeight="false" outlineLevel="0" collapsed="false">
      <c r="A295" s="2" t="s">
        <v>2859</v>
      </c>
      <c r="B295" s="2" t="s">
        <v>599</v>
      </c>
      <c r="C295" s="2" t="s">
        <v>730</v>
      </c>
      <c r="D295" s="2" t="s">
        <v>138</v>
      </c>
      <c r="E295" s="2" t="n">
        <v>1</v>
      </c>
      <c r="F295" s="2" t="s">
        <v>2562</v>
      </c>
      <c r="G295" s="2" t="s">
        <v>462</v>
      </c>
      <c r="H295" s="2" t="s">
        <v>2752</v>
      </c>
    </row>
    <row r="296" customFormat="false" ht="46.25" hidden="false" customHeight="false" outlineLevel="0" collapsed="false">
      <c r="A296" s="2" t="s">
        <v>2860</v>
      </c>
      <c r="B296" s="2" t="s">
        <v>600</v>
      </c>
      <c r="C296" s="2" t="s">
        <v>804</v>
      </c>
      <c r="D296" s="2" t="s">
        <v>147</v>
      </c>
      <c r="E296" s="2" t="n">
        <v>1</v>
      </c>
      <c r="F296" s="2" t="s">
        <v>2562</v>
      </c>
      <c r="G296" s="2" t="s">
        <v>462</v>
      </c>
      <c r="H296" s="2" t="s">
        <v>2752</v>
      </c>
    </row>
    <row r="297" customFormat="false" ht="46.25" hidden="false" customHeight="false" outlineLevel="0" collapsed="false">
      <c r="A297" s="2" t="s">
        <v>2861</v>
      </c>
      <c r="B297" s="2" t="s">
        <v>601</v>
      </c>
      <c r="C297" s="2" t="s">
        <v>700</v>
      </c>
      <c r="D297" s="2" t="s">
        <v>141</v>
      </c>
      <c r="E297" s="2" t="n">
        <v>1</v>
      </c>
      <c r="F297" s="2" t="s">
        <v>2562</v>
      </c>
      <c r="G297" s="2" t="s">
        <v>462</v>
      </c>
      <c r="H297" s="2" t="s">
        <v>2752</v>
      </c>
    </row>
    <row r="298" customFormat="false" ht="46.25" hidden="false" customHeight="false" outlineLevel="0" collapsed="false">
      <c r="A298" s="2" t="s">
        <v>2862</v>
      </c>
      <c r="B298" s="2" t="s">
        <v>602</v>
      </c>
      <c r="C298" s="2" t="s">
        <v>705</v>
      </c>
      <c r="D298" s="2" t="s">
        <v>98</v>
      </c>
      <c r="E298" s="2" t="n">
        <v>1</v>
      </c>
      <c r="F298" s="2" t="s">
        <v>2562</v>
      </c>
      <c r="G298" s="2" t="s">
        <v>462</v>
      </c>
      <c r="H298" s="2" t="s">
        <v>2752</v>
      </c>
    </row>
    <row r="299" customFormat="false" ht="46.25" hidden="false" customHeight="false" outlineLevel="0" collapsed="false">
      <c r="A299" s="2" t="s">
        <v>2863</v>
      </c>
      <c r="B299" s="2" t="s">
        <v>602</v>
      </c>
      <c r="C299" s="2" t="s">
        <v>700</v>
      </c>
      <c r="D299" s="2" t="s">
        <v>141</v>
      </c>
      <c r="E299" s="2" t="n">
        <v>2</v>
      </c>
      <c r="F299" s="2" t="s">
        <v>2562</v>
      </c>
      <c r="G299" s="2" t="s">
        <v>462</v>
      </c>
      <c r="H299" s="2" t="s">
        <v>2752</v>
      </c>
    </row>
    <row r="300" customFormat="false" ht="46.25" hidden="false" customHeight="false" outlineLevel="0" collapsed="false">
      <c r="A300" s="2" t="s">
        <v>2864</v>
      </c>
      <c r="B300" s="2" t="s">
        <v>603</v>
      </c>
      <c r="C300" s="2" t="s">
        <v>806</v>
      </c>
      <c r="D300" s="2" t="s">
        <v>145</v>
      </c>
      <c r="E300" s="2" t="n">
        <v>1</v>
      </c>
      <c r="F300" s="2" t="s">
        <v>2562</v>
      </c>
      <c r="G300" s="2" t="s">
        <v>462</v>
      </c>
      <c r="H300" s="2" t="s">
        <v>2752</v>
      </c>
    </row>
    <row r="301" customFormat="false" ht="46.25" hidden="false" customHeight="false" outlineLevel="0" collapsed="false">
      <c r="A301" s="2" t="s">
        <v>2865</v>
      </c>
      <c r="B301" s="2" t="s">
        <v>604</v>
      </c>
      <c r="C301" s="2" t="s">
        <v>705</v>
      </c>
      <c r="D301" s="2" t="s">
        <v>98</v>
      </c>
      <c r="E301" s="2" t="n">
        <v>1</v>
      </c>
      <c r="F301" s="2" t="s">
        <v>2562</v>
      </c>
      <c r="G301" s="2" t="s">
        <v>462</v>
      </c>
      <c r="H301" s="2" t="s">
        <v>2752</v>
      </c>
    </row>
    <row r="302" customFormat="false" ht="46.25" hidden="false" customHeight="false" outlineLevel="0" collapsed="false">
      <c r="A302" s="2" t="s">
        <v>2866</v>
      </c>
      <c r="B302" s="2" t="s">
        <v>605</v>
      </c>
      <c r="C302" s="2" t="s">
        <v>800</v>
      </c>
      <c r="D302" s="2" t="s">
        <v>102</v>
      </c>
      <c r="E302" s="2" t="n">
        <v>1</v>
      </c>
      <c r="F302" s="2" t="s">
        <v>2562</v>
      </c>
      <c r="G302" s="2" t="s">
        <v>462</v>
      </c>
      <c r="H302" s="2" t="s">
        <v>2752</v>
      </c>
    </row>
    <row r="303" customFormat="false" ht="46.25" hidden="false" customHeight="false" outlineLevel="0" collapsed="false">
      <c r="A303" s="2" t="s">
        <v>2867</v>
      </c>
      <c r="B303" s="2" t="s">
        <v>606</v>
      </c>
      <c r="C303" s="2" t="s">
        <v>702</v>
      </c>
      <c r="D303" s="2" t="s">
        <v>106</v>
      </c>
      <c r="E303" s="2" t="n">
        <v>1</v>
      </c>
      <c r="F303" s="2" t="s">
        <v>2562</v>
      </c>
      <c r="G303" s="2" t="s">
        <v>462</v>
      </c>
      <c r="H303" s="2" t="s">
        <v>2752</v>
      </c>
    </row>
    <row r="304" customFormat="false" ht="46.25" hidden="false" customHeight="false" outlineLevel="0" collapsed="false">
      <c r="A304" s="2" t="s">
        <v>2868</v>
      </c>
      <c r="B304" s="2" t="s">
        <v>607</v>
      </c>
      <c r="C304" s="2" t="s">
        <v>722</v>
      </c>
      <c r="D304" s="2" t="s">
        <v>72</v>
      </c>
      <c r="E304" s="2" t="n">
        <v>1</v>
      </c>
      <c r="F304" s="2" t="s">
        <v>2562</v>
      </c>
      <c r="G304" s="2" t="s">
        <v>462</v>
      </c>
      <c r="H304" s="2" t="s">
        <v>2752</v>
      </c>
    </row>
    <row r="305" customFormat="false" ht="46.25" hidden="false" customHeight="false" outlineLevel="0" collapsed="false">
      <c r="A305" s="2" t="s">
        <v>2869</v>
      </c>
      <c r="B305" s="2" t="s">
        <v>607</v>
      </c>
      <c r="C305" s="2" t="s">
        <v>795</v>
      </c>
      <c r="D305" s="2" t="s">
        <v>97</v>
      </c>
      <c r="E305" s="2" t="n">
        <v>2</v>
      </c>
      <c r="F305" s="2" t="s">
        <v>2562</v>
      </c>
      <c r="G305" s="2" t="s">
        <v>462</v>
      </c>
      <c r="H305" s="2" t="s">
        <v>2752</v>
      </c>
    </row>
    <row r="306" customFormat="false" ht="46.25" hidden="false" customHeight="false" outlineLevel="0" collapsed="false">
      <c r="A306" s="2" t="s">
        <v>2870</v>
      </c>
      <c r="B306" s="2" t="s">
        <v>607</v>
      </c>
      <c r="C306" s="2" t="s">
        <v>744</v>
      </c>
      <c r="D306" s="2" t="s">
        <v>131</v>
      </c>
      <c r="E306" s="2" t="n">
        <v>3</v>
      </c>
      <c r="F306" s="2" t="s">
        <v>2562</v>
      </c>
      <c r="G306" s="2" t="s">
        <v>462</v>
      </c>
      <c r="H306" s="2" t="s">
        <v>2752</v>
      </c>
    </row>
    <row r="307" customFormat="false" ht="46.25" hidden="false" customHeight="false" outlineLevel="0" collapsed="false">
      <c r="A307" s="2" t="s">
        <v>2871</v>
      </c>
      <c r="B307" s="2" t="s">
        <v>609</v>
      </c>
      <c r="C307" s="2" t="s">
        <v>715</v>
      </c>
      <c r="D307" s="2" t="s">
        <v>96</v>
      </c>
      <c r="E307" s="2" t="n">
        <v>1</v>
      </c>
      <c r="F307" s="2" t="s">
        <v>2562</v>
      </c>
      <c r="G307" s="2" t="s">
        <v>462</v>
      </c>
      <c r="H307" s="2" t="s">
        <v>2752</v>
      </c>
    </row>
    <row r="308" customFormat="false" ht="46.25" hidden="false" customHeight="false" outlineLevel="0" collapsed="false">
      <c r="A308" s="2" t="s">
        <v>2872</v>
      </c>
      <c r="B308" s="2" t="s">
        <v>610</v>
      </c>
      <c r="C308" s="2" t="s">
        <v>717</v>
      </c>
      <c r="D308" s="2" t="s">
        <v>76</v>
      </c>
      <c r="E308" s="2" t="n">
        <v>1</v>
      </c>
      <c r="F308" s="2" t="s">
        <v>2562</v>
      </c>
      <c r="G308" s="2" t="s">
        <v>462</v>
      </c>
      <c r="H308" s="2" t="s">
        <v>2752</v>
      </c>
    </row>
    <row r="309" customFormat="false" ht="46.25" hidden="false" customHeight="false" outlineLevel="0" collapsed="false">
      <c r="A309" s="2" t="s">
        <v>2873</v>
      </c>
      <c r="B309" s="2" t="s">
        <v>611</v>
      </c>
      <c r="C309" s="2" t="s">
        <v>965</v>
      </c>
      <c r="D309" s="2" t="s">
        <v>65</v>
      </c>
      <c r="E309" s="2" t="n">
        <v>1</v>
      </c>
      <c r="F309" s="2" t="s">
        <v>2562</v>
      </c>
      <c r="G309" s="2" t="s">
        <v>462</v>
      </c>
      <c r="H309" s="2" t="s">
        <v>2752</v>
      </c>
    </row>
    <row r="310" customFormat="false" ht="46.25" hidden="false" customHeight="false" outlineLevel="0" collapsed="false">
      <c r="A310" s="2" t="s">
        <v>2874</v>
      </c>
      <c r="B310" s="2" t="s">
        <v>612</v>
      </c>
      <c r="C310" s="2" t="s">
        <v>795</v>
      </c>
      <c r="D310" s="2" t="s">
        <v>97</v>
      </c>
      <c r="E310" s="2" t="n">
        <v>1</v>
      </c>
      <c r="F310" s="2" t="s">
        <v>2562</v>
      </c>
      <c r="G310" s="2" t="s">
        <v>462</v>
      </c>
      <c r="H310" s="2" t="s">
        <v>2752</v>
      </c>
    </row>
    <row r="311" customFormat="false" ht="46.25" hidden="false" customHeight="false" outlineLevel="0" collapsed="false">
      <c r="A311" s="2" t="s">
        <v>2875</v>
      </c>
      <c r="B311" s="2" t="s">
        <v>613</v>
      </c>
      <c r="C311" s="2" t="s">
        <v>792</v>
      </c>
      <c r="D311" s="2" t="s">
        <v>95</v>
      </c>
      <c r="E311" s="2" t="n">
        <v>1</v>
      </c>
      <c r="F311" s="2" t="s">
        <v>2562</v>
      </c>
      <c r="G311" s="2" t="s">
        <v>462</v>
      </c>
      <c r="H311" s="2" t="s">
        <v>2752</v>
      </c>
    </row>
    <row r="312" customFormat="false" ht="46.25" hidden="false" customHeight="false" outlineLevel="0" collapsed="false">
      <c r="A312" s="2" t="s">
        <v>2876</v>
      </c>
      <c r="B312" s="2" t="s">
        <v>614</v>
      </c>
      <c r="C312" s="2" t="s">
        <v>715</v>
      </c>
      <c r="D312" s="2" t="s">
        <v>96</v>
      </c>
      <c r="E312" s="2" t="n">
        <v>1</v>
      </c>
      <c r="F312" s="2" t="s">
        <v>2562</v>
      </c>
      <c r="G312" s="2" t="s">
        <v>462</v>
      </c>
      <c r="H312" s="2" t="s">
        <v>2752</v>
      </c>
    </row>
    <row r="313" customFormat="false" ht="46.25" hidden="false" customHeight="false" outlineLevel="0" collapsed="false">
      <c r="A313" s="2" t="s">
        <v>2877</v>
      </c>
      <c r="B313" s="2" t="s">
        <v>615</v>
      </c>
      <c r="C313" s="2" t="s">
        <v>713</v>
      </c>
      <c r="D313" s="2" t="s">
        <v>94</v>
      </c>
      <c r="E313" s="2" t="n">
        <v>1</v>
      </c>
      <c r="F313" s="2" t="s">
        <v>2562</v>
      </c>
      <c r="G313" s="2" t="s">
        <v>462</v>
      </c>
      <c r="H313" s="2" t="s">
        <v>2752</v>
      </c>
    </row>
    <row r="314" customFormat="false" ht="46.25" hidden="false" customHeight="false" outlineLevel="0" collapsed="false">
      <c r="A314" s="2" t="s">
        <v>2878</v>
      </c>
      <c r="B314" s="2" t="s">
        <v>616</v>
      </c>
      <c r="C314" s="2" t="s">
        <v>750</v>
      </c>
      <c r="D314" s="2" t="s">
        <v>91</v>
      </c>
      <c r="E314" s="2" t="n">
        <v>1</v>
      </c>
      <c r="F314" s="2" t="s">
        <v>2562</v>
      </c>
      <c r="G314" s="2" t="s">
        <v>462</v>
      </c>
      <c r="H314" s="2" t="s">
        <v>2752</v>
      </c>
    </row>
    <row r="315" customFormat="false" ht="46.25" hidden="false" customHeight="false" outlineLevel="0" collapsed="false">
      <c r="A315" s="2" t="s">
        <v>2879</v>
      </c>
      <c r="B315" s="2" t="s">
        <v>617</v>
      </c>
      <c r="C315" s="2" t="s">
        <v>792</v>
      </c>
      <c r="D315" s="2" t="s">
        <v>95</v>
      </c>
      <c r="E315" s="2" t="n">
        <v>1</v>
      </c>
      <c r="F315" s="2" t="s">
        <v>2562</v>
      </c>
      <c r="G315" s="2" t="s">
        <v>462</v>
      </c>
      <c r="H315" s="2" t="s">
        <v>2752</v>
      </c>
    </row>
    <row r="316" customFormat="false" ht="46.25" hidden="false" customHeight="false" outlineLevel="0" collapsed="false">
      <c r="A316" s="2" t="s">
        <v>2880</v>
      </c>
      <c r="B316" s="2" t="s">
        <v>617</v>
      </c>
      <c r="C316" s="2" t="s">
        <v>748</v>
      </c>
      <c r="D316" s="2" t="s">
        <v>132</v>
      </c>
      <c r="E316" s="2" t="n">
        <v>2</v>
      </c>
      <c r="F316" s="2" t="s">
        <v>2562</v>
      </c>
      <c r="G316" s="2" t="s">
        <v>462</v>
      </c>
      <c r="H316" s="2" t="s">
        <v>2752</v>
      </c>
    </row>
    <row r="317" customFormat="false" ht="46.25" hidden="false" customHeight="false" outlineLevel="0" collapsed="false">
      <c r="A317" s="2" t="s">
        <v>2881</v>
      </c>
      <c r="B317" s="2" t="s">
        <v>619</v>
      </c>
      <c r="C317" s="2" t="s">
        <v>758</v>
      </c>
      <c r="D317" s="2" t="s">
        <v>84</v>
      </c>
      <c r="E317" s="2" t="n">
        <v>1</v>
      </c>
      <c r="F317" s="2" t="s">
        <v>2562</v>
      </c>
      <c r="G317" s="2" t="s">
        <v>462</v>
      </c>
      <c r="H317" s="2" t="s">
        <v>2752</v>
      </c>
    </row>
    <row r="318" customFormat="false" ht="46.25" hidden="false" customHeight="false" outlineLevel="0" collapsed="false">
      <c r="A318" s="2" t="s">
        <v>2882</v>
      </c>
      <c r="B318" s="2" t="s">
        <v>620</v>
      </c>
      <c r="C318" s="2" t="s">
        <v>898</v>
      </c>
      <c r="D318" s="2" t="s">
        <v>62</v>
      </c>
      <c r="E318" s="2" t="n">
        <v>1</v>
      </c>
      <c r="F318" s="2" t="s">
        <v>2562</v>
      </c>
      <c r="G318" s="2" t="s">
        <v>462</v>
      </c>
      <c r="H318" s="2" t="s">
        <v>2752</v>
      </c>
    </row>
    <row r="319" customFormat="false" ht="46.25" hidden="false" customHeight="false" outlineLevel="0" collapsed="false">
      <c r="A319" s="2" t="s">
        <v>2883</v>
      </c>
      <c r="B319" s="2" t="s">
        <v>620</v>
      </c>
      <c r="C319" s="2" t="s">
        <v>734</v>
      </c>
      <c r="D319" s="2" t="s">
        <v>87</v>
      </c>
      <c r="E319" s="2" t="n">
        <v>2</v>
      </c>
      <c r="F319" s="2" t="s">
        <v>2562</v>
      </c>
      <c r="G319" s="2" t="s">
        <v>462</v>
      </c>
      <c r="H319" s="2" t="s">
        <v>2752</v>
      </c>
    </row>
    <row r="320" customFormat="false" ht="46.25" hidden="false" customHeight="false" outlineLevel="0" collapsed="false">
      <c r="A320" s="2" t="s">
        <v>2884</v>
      </c>
      <c r="B320" s="2" t="s">
        <v>620</v>
      </c>
      <c r="C320" s="2" t="s">
        <v>884</v>
      </c>
      <c r="D320" s="2" t="s">
        <v>148</v>
      </c>
      <c r="E320" s="2" t="n">
        <v>3</v>
      </c>
      <c r="F320" s="2" t="s">
        <v>2562</v>
      </c>
      <c r="G320" s="2" t="s">
        <v>462</v>
      </c>
      <c r="H320" s="2" t="s">
        <v>2752</v>
      </c>
    </row>
    <row r="321" customFormat="false" ht="46.25" hidden="false" customHeight="false" outlineLevel="0" collapsed="false">
      <c r="A321" s="2" t="s">
        <v>2885</v>
      </c>
      <c r="B321" s="2" t="s">
        <v>621</v>
      </c>
      <c r="C321" s="2" t="s">
        <v>772</v>
      </c>
      <c r="D321" s="2" t="s">
        <v>118</v>
      </c>
      <c r="E321" s="2" t="n">
        <v>1</v>
      </c>
      <c r="F321" s="2" t="s">
        <v>2562</v>
      </c>
      <c r="G321" s="2" t="s">
        <v>462</v>
      </c>
      <c r="H321" s="2" t="s">
        <v>2752</v>
      </c>
    </row>
    <row r="322" customFormat="false" ht="46.25" hidden="false" customHeight="false" outlineLevel="0" collapsed="false">
      <c r="A322" s="2" t="s">
        <v>2886</v>
      </c>
      <c r="B322" s="2" t="s">
        <v>622</v>
      </c>
      <c r="C322" s="2" t="s">
        <v>702</v>
      </c>
      <c r="D322" s="2" t="s">
        <v>106</v>
      </c>
      <c r="E322" s="2" t="n">
        <v>1</v>
      </c>
      <c r="F322" s="2" t="s">
        <v>2562</v>
      </c>
      <c r="G322" s="2" t="s">
        <v>462</v>
      </c>
      <c r="H322" s="2" t="s">
        <v>2752</v>
      </c>
    </row>
    <row r="323" customFormat="false" ht="46.25" hidden="false" customHeight="false" outlineLevel="0" collapsed="false">
      <c r="A323" s="2" t="s">
        <v>2887</v>
      </c>
      <c r="B323" s="2" t="s">
        <v>624</v>
      </c>
      <c r="C323" s="2" t="s">
        <v>880</v>
      </c>
      <c r="D323" s="2" t="s">
        <v>107</v>
      </c>
      <c r="E323" s="2" t="n">
        <v>1</v>
      </c>
      <c r="F323" s="2" t="s">
        <v>2562</v>
      </c>
      <c r="G323" s="2" t="s">
        <v>462</v>
      </c>
      <c r="H323" s="2" t="s">
        <v>2752</v>
      </c>
    </row>
    <row r="324" customFormat="false" ht="46.25" hidden="false" customHeight="false" outlineLevel="0" collapsed="false">
      <c r="A324" s="2" t="s">
        <v>2888</v>
      </c>
      <c r="B324" s="2" t="s">
        <v>625</v>
      </c>
      <c r="C324" s="2" t="s">
        <v>967</v>
      </c>
      <c r="D324" s="2" t="s">
        <v>117</v>
      </c>
      <c r="E324" s="2" t="n">
        <v>1</v>
      </c>
      <c r="F324" s="2" t="s">
        <v>2562</v>
      </c>
      <c r="G324" s="2" t="s">
        <v>462</v>
      </c>
      <c r="H324" s="2" t="s">
        <v>2752</v>
      </c>
    </row>
    <row r="325" customFormat="false" ht="46.25" hidden="false" customHeight="false" outlineLevel="0" collapsed="false">
      <c r="A325" s="2" t="s">
        <v>2889</v>
      </c>
      <c r="B325" s="2" t="s">
        <v>626</v>
      </c>
      <c r="C325" s="2" t="s">
        <v>702</v>
      </c>
      <c r="D325" s="2" t="s">
        <v>106</v>
      </c>
      <c r="E325" s="2" t="n">
        <v>1</v>
      </c>
      <c r="F325" s="2" t="s">
        <v>2562</v>
      </c>
      <c r="G325" s="2" t="s">
        <v>462</v>
      </c>
      <c r="H325" s="2" t="s">
        <v>2752</v>
      </c>
    </row>
    <row r="326" customFormat="false" ht="46.25" hidden="false" customHeight="false" outlineLevel="0" collapsed="false">
      <c r="A326" s="2" t="s">
        <v>2890</v>
      </c>
      <c r="B326" s="2" t="s">
        <v>627</v>
      </c>
      <c r="C326" s="2" t="s">
        <v>764</v>
      </c>
      <c r="D326" s="2" t="s">
        <v>115</v>
      </c>
      <c r="E326" s="2" t="n">
        <v>1</v>
      </c>
      <c r="F326" s="2" t="s">
        <v>2562</v>
      </c>
      <c r="G326" s="2" t="s">
        <v>462</v>
      </c>
      <c r="H326" s="2" t="s">
        <v>2752</v>
      </c>
    </row>
    <row r="327" customFormat="false" ht="46.25" hidden="false" customHeight="false" outlineLevel="0" collapsed="false">
      <c r="A327" s="2" t="s">
        <v>2891</v>
      </c>
      <c r="B327" s="2" t="s">
        <v>628</v>
      </c>
      <c r="C327" s="2" t="s">
        <v>802</v>
      </c>
      <c r="D327" s="2" t="s">
        <v>109</v>
      </c>
      <c r="E327" s="2" t="n">
        <v>1</v>
      </c>
      <c r="F327" s="2" t="s">
        <v>2562</v>
      </c>
      <c r="G327" s="2" t="s">
        <v>462</v>
      </c>
      <c r="H327" s="2" t="s">
        <v>2752</v>
      </c>
    </row>
    <row r="328" customFormat="false" ht="46.25" hidden="false" customHeight="false" outlineLevel="0" collapsed="false">
      <c r="A328" s="2" t="s">
        <v>2892</v>
      </c>
      <c r="B328" s="2" t="s">
        <v>629</v>
      </c>
      <c r="C328" s="2" t="s">
        <v>825</v>
      </c>
      <c r="D328" s="2" t="s">
        <v>110</v>
      </c>
      <c r="E328" s="2" t="n">
        <v>1</v>
      </c>
      <c r="F328" s="2" t="s">
        <v>2562</v>
      </c>
      <c r="G328" s="2" t="s">
        <v>462</v>
      </c>
      <c r="H328" s="2" t="s">
        <v>2752</v>
      </c>
    </row>
    <row r="329" customFormat="false" ht="46.25" hidden="false" customHeight="false" outlineLevel="0" collapsed="false">
      <c r="A329" s="2" t="s">
        <v>2893</v>
      </c>
      <c r="B329" s="2" t="s">
        <v>630</v>
      </c>
      <c r="C329" s="2" t="s">
        <v>754</v>
      </c>
      <c r="D329" s="2" t="s">
        <v>124</v>
      </c>
      <c r="E329" s="2" t="n">
        <v>1</v>
      </c>
      <c r="F329" s="2" t="s">
        <v>2562</v>
      </c>
      <c r="G329" s="2" t="s">
        <v>462</v>
      </c>
      <c r="H329" s="2" t="s">
        <v>2752</v>
      </c>
    </row>
    <row r="330" customFormat="false" ht="46.25" hidden="false" customHeight="false" outlineLevel="0" collapsed="false">
      <c r="A330" s="2" t="s">
        <v>2894</v>
      </c>
      <c r="B330" s="2" t="s">
        <v>631</v>
      </c>
      <c r="C330" s="2" t="s">
        <v>752</v>
      </c>
      <c r="D330" s="2" t="s">
        <v>113</v>
      </c>
      <c r="E330" s="2" t="n">
        <v>1</v>
      </c>
      <c r="F330" s="2" t="s">
        <v>2562</v>
      </c>
      <c r="G330" s="2" t="s">
        <v>462</v>
      </c>
      <c r="H330" s="2" t="s">
        <v>2752</v>
      </c>
    </row>
    <row r="331" customFormat="false" ht="46.25" hidden="false" customHeight="false" outlineLevel="0" collapsed="false">
      <c r="A331" s="2" t="s">
        <v>2895</v>
      </c>
      <c r="B331" s="2" t="s">
        <v>631</v>
      </c>
      <c r="C331" s="2" t="s">
        <v>808</v>
      </c>
      <c r="D331" s="2" t="s">
        <v>126</v>
      </c>
      <c r="E331" s="2" t="n">
        <v>2</v>
      </c>
      <c r="F331" s="2" t="s">
        <v>2562</v>
      </c>
      <c r="G331" s="2" t="s">
        <v>462</v>
      </c>
      <c r="H331" s="2" t="s">
        <v>2752</v>
      </c>
    </row>
    <row r="332" customFormat="false" ht="46.25" hidden="false" customHeight="false" outlineLevel="0" collapsed="false">
      <c r="A332" s="2" t="s">
        <v>2896</v>
      </c>
      <c r="B332" s="2" t="s">
        <v>632</v>
      </c>
      <c r="C332" s="2" t="s">
        <v>852</v>
      </c>
      <c r="D332" s="2" t="s">
        <v>114</v>
      </c>
      <c r="E332" s="2" t="n">
        <v>1</v>
      </c>
      <c r="F332" s="2" t="s">
        <v>2562</v>
      </c>
      <c r="G332" s="2" t="s">
        <v>462</v>
      </c>
      <c r="H332" s="2" t="s">
        <v>2752</v>
      </c>
    </row>
    <row r="333" customFormat="false" ht="46.25" hidden="false" customHeight="false" outlineLevel="0" collapsed="false">
      <c r="A333" s="2" t="s">
        <v>2897</v>
      </c>
      <c r="B333" s="2" t="s">
        <v>633</v>
      </c>
      <c r="C333" s="2" t="s">
        <v>762</v>
      </c>
      <c r="D333" s="2" t="s">
        <v>108</v>
      </c>
      <c r="E333" s="2" t="n">
        <v>1</v>
      </c>
      <c r="F333" s="2" t="s">
        <v>2562</v>
      </c>
      <c r="G333" s="2" t="s">
        <v>462</v>
      </c>
      <c r="H333" s="2" t="s">
        <v>2752</v>
      </c>
    </row>
    <row r="334" customFormat="false" ht="46.25" hidden="false" customHeight="false" outlineLevel="0" collapsed="false">
      <c r="A334" s="2" t="s">
        <v>2898</v>
      </c>
      <c r="B334" s="2" t="s">
        <v>634</v>
      </c>
      <c r="C334" s="2" t="s">
        <v>780</v>
      </c>
      <c r="D334" s="2" t="s">
        <v>105</v>
      </c>
      <c r="E334" s="2" t="n">
        <v>1</v>
      </c>
      <c r="F334" s="2" t="s">
        <v>2562</v>
      </c>
      <c r="G334" s="2" t="s">
        <v>462</v>
      </c>
      <c r="H334" s="2" t="s">
        <v>2752</v>
      </c>
    </row>
    <row r="335" customFormat="false" ht="46.25" hidden="false" customHeight="false" outlineLevel="0" collapsed="false">
      <c r="A335" s="2" t="s">
        <v>2899</v>
      </c>
      <c r="B335" s="2" t="s">
        <v>635</v>
      </c>
      <c r="C335" s="2" t="s">
        <v>698</v>
      </c>
      <c r="D335" s="2" t="s">
        <v>104</v>
      </c>
      <c r="E335" s="2" t="n">
        <v>1</v>
      </c>
      <c r="F335" s="2" t="s">
        <v>2562</v>
      </c>
      <c r="G335" s="2" t="s">
        <v>462</v>
      </c>
      <c r="H335" s="2" t="s">
        <v>2752</v>
      </c>
    </row>
    <row r="336" customFormat="false" ht="46.25" hidden="false" customHeight="false" outlineLevel="0" collapsed="false">
      <c r="A336" s="2" t="s">
        <v>2900</v>
      </c>
      <c r="B336" s="2" t="s">
        <v>637</v>
      </c>
      <c r="C336" s="2" t="s">
        <v>852</v>
      </c>
      <c r="D336" s="2" t="s">
        <v>114</v>
      </c>
      <c r="E336" s="2" t="n">
        <v>1</v>
      </c>
      <c r="F336" s="2" t="s">
        <v>2562</v>
      </c>
      <c r="G336" s="2" t="s">
        <v>462</v>
      </c>
      <c r="H336" s="2" t="s">
        <v>2752</v>
      </c>
    </row>
    <row r="337" customFormat="false" ht="46.25" hidden="false" customHeight="false" outlineLevel="0" collapsed="false">
      <c r="A337" s="2" t="s">
        <v>2901</v>
      </c>
      <c r="B337" s="2" t="s">
        <v>638</v>
      </c>
      <c r="C337" s="2" t="s">
        <v>698</v>
      </c>
      <c r="D337" s="2" t="s">
        <v>104</v>
      </c>
      <c r="E337" s="2" t="n">
        <v>1</v>
      </c>
      <c r="F337" s="2" t="s">
        <v>2562</v>
      </c>
      <c r="G337" s="2" t="s">
        <v>462</v>
      </c>
      <c r="H337" s="2" t="s">
        <v>2752</v>
      </c>
    </row>
    <row r="338" customFormat="false" ht="46.25" hidden="false" customHeight="false" outlineLevel="0" collapsed="false">
      <c r="A338" s="2" t="s">
        <v>2902</v>
      </c>
      <c r="B338" s="2" t="s">
        <v>640</v>
      </c>
      <c r="C338" s="2" t="s">
        <v>768</v>
      </c>
      <c r="D338" s="2" t="s">
        <v>90</v>
      </c>
      <c r="E338" s="2" t="n">
        <v>1</v>
      </c>
      <c r="F338" s="2" t="s">
        <v>2562</v>
      </c>
      <c r="G338" s="2" t="s">
        <v>462</v>
      </c>
      <c r="H338" s="2" t="s">
        <v>2752</v>
      </c>
    </row>
    <row r="339" customFormat="false" ht="46.25" hidden="false" customHeight="false" outlineLevel="0" collapsed="false">
      <c r="A339" s="2" t="s">
        <v>2903</v>
      </c>
      <c r="B339" s="2" t="s">
        <v>642</v>
      </c>
      <c r="C339" s="2" t="s">
        <v>768</v>
      </c>
      <c r="D339" s="2" t="s">
        <v>90</v>
      </c>
      <c r="E339" s="2" t="n">
        <v>1</v>
      </c>
      <c r="F339" s="2" t="s">
        <v>2562</v>
      </c>
      <c r="G339" s="2" t="s">
        <v>462</v>
      </c>
      <c r="H339" s="2" t="s">
        <v>2752</v>
      </c>
    </row>
    <row r="340" customFormat="false" ht="46.25" hidden="false" customHeight="false" outlineLevel="0" collapsed="false">
      <c r="A340" s="2" t="s">
        <v>2904</v>
      </c>
      <c r="B340" s="2" t="s">
        <v>643</v>
      </c>
      <c r="C340" s="2" t="s">
        <v>768</v>
      </c>
      <c r="D340" s="2" t="s">
        <v>90</v>
      </c>
      <c r="E340" s="2" t="n">
        <v>1</v>
      </c>
      <c r="F340" s="2" t="s">
        <v>2562</v>
      </c>
      <c r="G340" s="2" t="s">
        <v>462</v>
      </c>
      <c r="H340" s="2" t="s">
        <v>2752</v>
      </c>
    </row>
    <row r="341" customFormat="false" ht="46.25" hidden="false" customHeight="false" outlineLevel="0" collapsed="false">
      <c r="A341" s="2" t="s">
        <v>2905</v>
      </c>
      <c r="B341" s="2" t="s">
        <v>644</v>
      </c>
      <c r="C341" s="2" t="s">
        <v>938</v>
      </c>
      <c r="D341" s="2" t="s">
        <v>83</v>
      </c>
      <c r="E341" s="2" t="n">
        <v>1</v>
      </c>
      <c r="F341" s="2" t="s">
        <v>2562</v>
      </c>
      <c r="G341" s="2" t="s">
        <v>462</v>
      </c>
      <c r="H341" s="2" t="s">
        <v>2752</v>
      </c>
    </row>
    <row r="342" customFormat="false" ht="46.25" hidden="false" customHeight="false" outlineLevel="0" collapsed="false">
      <c r="A342" s="2" t="s">
        <v>2906</v>
      </c>
      <c r="B342" s="2" t="s">
        <v>644</v>
      </c>
      <c r="C342" s="2" t="s">
        <v>724</v>
      </c>
      <c r="D342" s="2" t="s">
        <v>142</v>
      </c>
      <c r="E342" s="2" t="n">
        <v>2</v>
      </c>
      <c r="F342" s="2" t="s">
        <v>2562</v>
      </c>
      <c r="G342" s="2" t="s">
        <v>462</v>
      </c>
      <c r="H342" s="2" t="s">
        <v>2752</v>
      </c>
    </row>
    <row r="343" customFormat="false" ht="46.25" hidden="false" customHeight="false" outlineLevel="0" collapsed="false">
      <c r="A343" s="2" t="s">
        <v>2907</v>
      </c>
      <c r="B343" s="2" t="s">
        <v>646</v>
      </c>
      <c r="C343" s="2" t="s">
        <v>1009</v>
      </c>
      <c r="D343" s="2" t="s">
        <v>81</v>
      </c>
      <c r="E343" s="2" t="n">
        <v>1</v>
      </c>
      <c r="F343" s="2" t="s">
        <v>2562</v>
      </c>
      <c r="G343" s="2" t="s">
        <v>462</v>
      </c>
      <c r="H343" s="2" t="s">
        <v>2752</v>
      </c>
    </row>
    <row r="344" customFormat="false" ht="46.25" hidden="false" customHeight="false" outlineLevel="0" collapsed="false">
      <c r="A344" s="2" t="s">
        <v>2908</v>
      </c>
      <c r="B344" s="2" t="s">
        <v>648</v>
      </c>
      <c r="C344" s="2" t="s">
        <v>722</v>
      </c>
      <c r="D344" s="2" t="s">
        <v>72</v>
      </c>
      <c r="E344" s="2" t="n">
        <v>1</v>
      </c>
      <c r="F344" s="2" t="s">
        <v>2562</v>
      </c>
      <c r="G344" s="2" t="s">
        <v>462</v>
      </c>
      <c r="H344" s="2" t="s">
        <v>2752</v>
      </c>
    </row>
    <row r="345" customFormat="false" ht="46.25" hidden="false" customHeight="false" outlineLevel="0" collapsed="false">
      <c r="A345" s="2" t="s">
        <v>2909</v>
      </c>
      <c r="B345" s="2" t="s">
        <v>648</v>
      </c>
      <c r="C345" s="2" t="s">
        <v>734</v>
      </c>
      <c r="D345" s="2" t="s">
        <v>87</v>
      </c>
      <c r="E345" s="2" t="n">
        <v>2</v>
      </c>
      <c r="F345" s="2" t="s">
        <v>2562</v>
      </c>
      <c r="G345" s="2" t="s">
        <v>462</v>
      </c>
      <c r="H345" s="2" t="s">
        <v>2752</v>
      </c>
    </row>
    <row r="346" customFormat="false" ht="46.25" hidden="false" customHeight="false" outlineLevel="0" collapsed="false">
      <c r="A346" s="2" t="s">
        <v>2910</v>
      </c>
      <c r="B346" s="2" t="s">
        <v>650</v>
      </c>
      <c r="C346" s="2" t="s">
        <v>734</v>
      </c>
      <c r="D346" s="2" t="s">
        <v>87</v>
      </c>
      <c r="E346" s="2" t="n">
        <v>1</v>
      </c>
      <c r="F346" s="2" t="s">
        <v>2562</v>
      </c>
      <c r="G346" s="2" t="s">
        <v>462</v>
      </c>
      <c r="H346" s="2" t="s">
        <v>2752</v>
      </c>
    </row>
    <row r="347" customFormat="false" ht="46.25" hidden="false" customHeight="false" outlineLevel="0" collapsed="false">
      <c r="A347" s="2" t="s">
        <v>2911</v>
      </c>
      <c r="B347" s="2" t="s">
        <v>651</v>
      </c>
      <c r="C347" s="2" t="s">
        <v>740</v>
      </c>
      <c r="D347" s="2" t="s">
        <v>82</v>
      </c>
      <c r="E347" s="2" t="n">
        <v>1</v>
      </c>
      <c r="F347" s="2" t="s">
        <v>2562</v>
      </c>
      <c r="G347" s="2" t="s">
        <v>462</v>
      </c>
      <c r="H347" s="2" t="s">
        <v>2752</v>
      </c>
    </row>
  </sheetData>
  <autoFilter ref="A1:H3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9"/>
    <col collapsed="false" customWidth="true" hidden="false" outlineLevel="0" max="8" min="8" style="0" width="13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3" t="s">
        <v>2912</v>
      </c>
      <c r="B1" s="3" t="s">
        <v>22</v>
      </c>
      <c r="C1" s="3" t="s">
        <v>1228</v>
      </c>
      <c r="D1" s="3" t="s">
        <v>1229</v>
      </c>
      <c r="E1" s="3" t="s">
        <v>677</v>
      </c>
      <c r="F1" s="3" t="s">
        <v>678</v>
      </c>
      <c r="G1" s="3" t="s">
        <v>679</v>
      </c>
      <c r="H1" s="3" t="s">
        <v>1230</v>
      </c>
      <c r="I1" s="3" t="s">
        <v>1014</v>
      </c>
    </row>
    <row r="2" customFormat="false" ht="15" hidden="false" customHeight="false" outlineLevel="0" collapsed="false">
      <c r="A2" s="2" t="n">
        <v>1</v>
      </c>
      <c r="B2" s="2" t="s">
        <v>209</v>
      </c>
      <c r="C2" s="2" t="s">
        <v>1240</v>
      </c>
      <c r="D2" s="2" t="s">
        <v>1241</v>
      </c>
      <c r="E2" s="2" t="s">
        <v>686</v>
      </c>
      <c r="F2" s="2" t="s">
        <v>687</v>
      </c>
      <c r="G2" s="2" t="s">
        <v>688</v>
      </c>
      <c r="H2" s="2" t="s">
        <v>1242</v>
      </c>
      <c r="I2" s="2" t="s">
        <v>2913</v>
      </c>
    </row>
    <row r="3" customFormat="false" ht="15" hidden="false" customHeight="false" outlineLevel="0" collapsed="false">
      <c r="A3" s="2" t="n">
        <v>2</v>
      </c>
      <c r="B3" s="2" t="s">
        <v>213</v>
      </c>
      <c r="C3" s="2" t="s">
        <v>1246</v>
      </c>
      <c r="D3" s="2" t="s">
        <v>1247</v>
      </c>
      <c r="E3" s="2" t="s">
        <v>686</v>
      </c>
      <c r="F3" s="2" t="s">
        <v>687</v>
      </c>
      <c r="G3" s="2" t="s">
        <v>688</v>
      </c>
      <c r="H3" s="2" t="s">
        <v>1242</v>
      </c>
      <c r="I3" s="2" t="s">
        <v>2913</v>
      </c>
    </row>
    <row r="4" customFormat="false" ht="15" hidden="false" customHeight="false" outlineLevel="0" collapsed="false">
      <c r="A4" s="2" t="n">
        <v>3</v>
      </c>
      <c r="B4" s="2" t="s">
        <v>216</v>
      </c>
      <c r="C4" s="2" t="s">
        <v>1250</v>
      </c>
      <c r="D4" s="2" t="s">
        <v>1251</v>
      </c>
      <c r="E4" s="2" t="s">
        <v>686</v>
      </c>
      <c r="F4" s="2" t="s">
        <v>687</v>
      </c>
      <c r="G4" s="2" t="s">
        <v>688</v>
      </c>
      <c r="H4" s="2" t="s">
        <v>1242</v>
      </c>
      <c r="I4" s="2" t="s">
        <v>2913</v>
      </c>
    </row>
    <row r="5" customFormat="false" ht="15" hidden="false" customHeight="false" outlineLevel="0" collapsed="false">
      <c r="A5" s="2" t="n">
        <v>4</v>
      </c>
      <c r="B5" s="2" t="s">
        <v>218</v>
      </c>
      <c r="C5" s="2" t="s">
        <v>1254</v>
      </c>
      <c r="D5" s="2" t="s">
        <v>1255</v>
      </c>
      <c r="E5" s="2" t="s">
        <v>686</v>
      </c>
      <c r="F5" s="2" t="s">
        <v>687</v>
      </c>
      <c r="G5" s="2" t="s">
        <v>688</v>
      </c>
      <c r="H5" s="2" t="s">
        <v>1242</v>
      </c>
      <c r="I5" s="2" t="s">
        <v>2913</v>
      </c>
    </row>
    <row r="6" customFormat="false" ht="15" hidden="false" customHeight="false" outlineLevel="0" collapsed="false">
      <c r="A6" s="2" t="n">
        <v>5</v>
      </c>
      <c r="B6" s="2" t="s">
        <v>220</v>
      </c>
      <c r="C6" s="2" t="s">
        <v>1258</v>
      </c>
      <c r="D6" s="2" t="s">
        <v>1259</v>
      </c>
      <c r="E6" s="2" t="s">
        <v>686</v>
      </c>
      <c r="F6" s="2" t="s">
        <v>687</v>
      </c>
      <c r="G6" s="2" t="s">
        <v>688</v>
      </c>
      <c r="H6" s="2" t="s">
        <v>1242</v>
      </c>
      <c r="I6" s="2" t="s">
        <v>2913</v>
      </c>
    </row>
    <row r="7" customFormat="false" ht="15" hidden="false" customHeight="false" outlineLevel="0" collapsed="false">
      <c r="A7" s="2" t="n">
        <v>6</v>
      </c>
      <c r="B7" s="2" t="s">
        <v>222</v>
      </c>
      <c r="C7" s="2" t="s">
        <v>1262</v>
      </c>
      <c r="D7" s="2" t="s">
        <v>1263</v>
      </c>
      <c r="E7" s="2" t="s">
        <v>686</v>
      </c>
      <c r="F7" s="2" t="s">
        <v>687</v>
      </c>
      <c r="G7" s="2" t="s">
        <v>688</v>
      </c>
      <c r="H7" s="2" t="s">
        <v>1242</v>
      </c>
      <c r="I7" s="2" t="s">
        <v>2913</v>
      </c>
    </row>
    <row r="8" customFormat="false" ht="15" hidden="false" customHeight="false" outlineLevel="0" collapsed="false">
      <c r="A8" s="2" t="n">
        <v>7</v>
      </c>
      <c r="B8" s="2" t="s">
        <v>224</v>
      </c>
      <c r="C8" s="2" t="s">
        <v>1266</v>
      </c>
      <c r="D8" s="2" t="s">
        <v>1267</v>
      </c>
      <c r="E8" s="2" t="s">
        <v>686</v>
      </c>
      <c r="F8" s="2" t="s">
        <v>687</v>
      </c>
      <c r="G8" s="2" t="s">
        <v>688</v>
      </c>
      <c r="H8" s="2" t="s">
        <v>1242</v>
      </c>
      <c r="I8" s="2" t="s">
        <v>2913</v>
      </c>
    </row>
    <row r="9" customFormat="false" ht="15" hidden="false" customHeight="false" outlineLevel="0" collapsed="false">
      <c r="A9" s="2" t="n">
        <v>8</v>
      </c>
      <c r="B9" s="2" t="s">
        <v>226</v>
      </c>
      <c r="C9" s="2" t="s">
        <v>1270</v>
      </c>
      <c r="D9" s="2" t="s">
        <v>1271</v>
      </c>
      <c r="E9" s="2" t="s">
        <v>686</v>
      </c>
      <c r="F9" s="2" t="s">
        <v>687</v>
      </c>
      <c r="G9" s="2" t="s">
        <v>688</v>
      </c>
      <c r="H9" s="2" t="s">
        <v>1242</v>
      </c>
      <c r="I9" s="2" t="s">
        <v>2913</v>
      </c>
    </row>
    <row r="10" customFormat="false" ht="15" hidden="false" customHeight="false" outlineLevel="0" collapsed="false">
      <c r="A10" s="2" t="n">
        <v>9</v>
      </c>
      <c r="B10" s="2" t="s">
        <v>228</v>
      </c>
      <c r="C10" s="2" t="s">
        <v>1274</v>
      </c>
      <c r="D10" s="2" t="s">
        <v>1275</v>
      </c>
      <c r="E10" s="2" t="s">
        <v>686</v>
      </c>
      <c r="F10" s="2" t="s">
        <v>687</v>
      </c>
      <c r="G10" s="2" t="s">
        <v>688</v>
      </c>
      <c r="H10" s="2" t="s">
        <v>1242</v>
      </c>
      <c r="I10" s="2" t="s">
        <v>2913</v>
      </c>
    </row>
    <row r="11" customFormat="false" ht="15" hidden="false" customHeight="false" outlineLevel="0" collapsed="false">
      <c r="A11" s="2" t="n">
        <v>10</v>
      </c>
      <c r="B11" s="2" t="s">
        <v>231</v>
      </c>
      <c r="C11" s="2" t="s">
        <v>1278</v>
      </c>
      <c r="D11" s="2" t="s">
        <v>1279</v>
      </c>
      <c r="E11" s="2" t="s">
        <v>686</v>
      </c>
      <c r="F11" s="2" t="s">
        <v>687</v>
      </c>
      <c r="G11" s="2" t="s">
        <v>688</v>
      </c>
      <c r="H11" s="2" t="s">
        <v>1242</v>
      </c>
      <c r="I11" s="2" t="s">
        <v>2913</v>
      </c>
    </row>
    <row r="12" customFormat="false" ht="15" hidden="false" customHeight="false" outlineLevel="0" collapsed="false">
      <c r="A12" s="2" t="n">
        <v>11</v>
      </c>
      <c r="B12" s="2" t="s">
        <v>234</v>
      </c>
      <c r="C12" s="2" t="s">
        <v>1282</v>
      </c>
      <c r="D12" s="2" t="s">
        <v>1283</v>
      </c>
      <c r="E12" s="2" t="s">
        <v>686</v>
      </c>
      <c r="F12" s="2" t="s">
        <v>687</v>
      </c>
      <c r="G12" s="2" t="s">
        <v>688</v>
      </c>
      <c r="H12" s="2" t="s">
        <v>1242</v>
      </c>
      <c r="I12" s="2" t="s">
        <v>2913</v>
      </c>
    </row>
    <row r="13" customFormat="false" ht="15" hidden="false" customHeight="false" outlineLevel="0" collapsed="false">
      <c r="A13" s="2" t="n">
        <v>12</v>
      </c>
      <c r="B13" s="2" t="s">
        <v>236</v>
      </c>
      <c r="C13" s="2" t="s">
        <v>1286</v>
      </c>
      <c r="D13" s="2" t="s">
        <v>1287</v>
      </c>
      <c r="E13" s="2" t="s">
        <v>686</v>
      </c>
      <c r="F13" s="2" t="s">
        <v>687</v>
      </c>
      <c r="G13" s="2" t="s">
        <v>688</v>
      </c>
      <c r="H13" s="2" t="s">
        <v>1242</v>
      </c>
      <c r="I13" s="2" t="s">
        <v>2913</v>
      </c>
    </row>
    <row r="14" customFormat="false" ht="15" hidden="false" customHeight="false" outlineLevel="0" collapsed="false">
      <c r="A14" s="2" t="n">
        <v>13</v>
      </c>
      <c r="B14" s="2" t="s">
        <v>238</v>
      </c>
      <c r="C14" s="2" t="s">
        <v>1290</v>
      </c>
      <c r="D14" s="2" t="s">
        <v>1291</v>
      </c>
      <c r="E14" s="2" t="s">
        <v>686</v>
      </c>
      <c r="F14" s="2" t="s">
        <v>687</v>
      </c>
      <c r="G14" s="2" t="s">
        <v>688</v>
      </c>
      <c r="H14" s="2" t="s">
        <v>1242</v>
      </c>
      <c r="I14" s="2" t="s">
        <v>2913</v>
      </c>
    </row>
    <row r="15" customFormat="false" ht="15" hidden="false" customHeight="false" outlineLevel="0" collapsed="false">
      <c r="A15" s="2" t="n">
        <v>14</v>
      </c>
      <c r="B15" s="2" t="s">
        <v>240</v>
      </c>
      <c r="C15" s="2" t="s">
        <v>1294</v>
      </c>
      <c r="D15" s="2" t="s">
        <v>1295</v>
      </c>
      <c r="E15" s="2" t="s">
        <v>686</v>
      </c>
      <c r="F15" s="2" t="s">
        <v>687</v>
      </c>
      <c r="G15" s="2" t="s">
        <v>688</v>
      </c>
      <c r="H15" s="2" t="s">
        <v>1242</v>
      </c>
      <c r="I15" s="2" t="s">
        <v>2913</v>
      </c>
    </row>
    <row r="16" customFormat="false" ht="15" hidden="false" customHeight="false" outlineLevel="0" collapsed="false">
      <c r="A16" s="2" t="n">
        <v>15</v>
      </c>
      <c r="B16" s="2" t="s">
        <v>242</v>
      </c>
      <c r="C16" s="2" t="s">
        <v>1298</v>
      </c>
      <c r="D16" s="2" t="s">
        <v>1299</v>
      </c>
      <c r="E16" s="2" t="s">
        <v>686</v>
      </c>
      <c r="F16" s="2" t="s">
        <v>687</v>
      </c>
      <c r="G16" s="2" t="s">
        <v>688</v>
      </c>
      <c r="H16" s="2" t="s">
        <v>1242</v>
      </c>
      <c r="I16" s="2" t="s">
        <v>2913</v>
      </c>
    </row>
    <row r="17" customFormat="false" ht="15" hidden="false" customHeight="false" outlineLevel="0" collapsed="false">
      <c r="A17" s="2" t="n">
        <v>16</v>
      </c>
      <c r="B17" s="2" t="s">
        <v>244</v>
      </c>
      <c r="C17" s="2" t="s">
        <v>1302</v>
      </c>
      <c r="D17" s="2" t="s">
        <v>1303</v>
      </c>
      <c r="E17" s="2" t="s">
        <v>686</v>
      </c>
      <c r="F17" s="2" t="s">
        <v>687</v>
      </c>
      <c r="G17" s="2" t="s">
        <v>688</v>
      </c>
      <c r="H17" s="2" t="s">
        <v>1242</v>
      </c>
      <c r="I17" s="2" t="s">
        <v>2913</v>
      </c>
    </row>
    <row r="18" customFormat="false" ht="15" hidden="false" customHeight="false" outlineLevel="0" collapsed="false">
      <c r="A18" s="2" t="n">
        <v>17</v>
      </c>
      <c r="B18" s="2" t="s">
        <v>246</v>
      </c>
      <c r="C18" s="2" t="s">
        <v>1306</v>
      </c>
      <c r="D18" s="2" t="s">
        <v>1307</v>
      </c>
      <c r="E18" s="2" t="s">
        <v>686</v>
      </c>
      <c r="F18" s="2" t="s">
        <v>687</v>
      </c>
      <c r="G18" s="2" t="s">
        <v>688</v>
      </c>
      <c r="H18" s="2" t="s">
        <v>1242</v>
      </c>
      <c r="I18" s="2" t="s">
        <v>2913</v>
      </c>
    </row>
    <row r="19" customFormat="false" ht="15" hidden="false" customHeight="false" outlineLevel="0" collapsed="false">
      <c r="A19" s="2" t="n">
        <v>18</v>
      </c>
      <c r="B19" s="2" t="s">
        <v>248</v>
      </c>
      <c r="C19" s="2" t="s">
        <v>1310</v>
      </c>
      <c r="D19" s="2" t="s">
        <v>1311</v>
      </c>
      <c r="E19" s="2" t="s">
        <v>686</v>
      </c>
      <c r="F19" s="2" t="s">
        <v>687</v>
      </c>
      <c r="G19" s="2" t="s">
        <v>688</v>
      </c>
      <c r="H19" s="2" t="s">
        <v>1242</v>
      </c>
      <c r="I19" s="2" t="s">
        <v>2913</v>
      </c>
    </row>
    <row r="20" customFormat="false" ht="15" hidden="false" customHeight="false" outlineLevel="0" collapsed="false">
      <c r="A20" s="2" t="n">
        <v>19</v>
      </c>
      <c r="B20" s="2" t="s">
        <v>250</v>
      </c>
      <c r="C20" s="2" t="s">
        <v>1314</v>
      </c>
      <c r="D20" s="2" t="s">
        <v>1315</v>
      </c>
      <c r="E20" s="2" t="s">
        <v>686</v>
      </c>
      <c r="F20" s="2" t="s">
        <v>687</v>
      </c>
      <c r="G20" s="2" t="s">
        <v>688</v>
      </c>
      <c r="H20" s="2" t="s">
        <v>1242</v>
      </c>
      <c r="I20" s="2" t="s">
        <v>2913</v>
      </c>
    </row>
    <row r="21" customFormat="false" ht="15" hidden="false" customHeight="false" outlineLevel="0" collapsed="false">
      <c r="A21" s="2" t="n">
        <v>20</v>
      </c>
      <c r="B21" s="2" t="s">
        <v>252</v>
      </c>
      <c r="C21" s="2" t="s">
        <v>1318</v>
      </c>
      <c r="D21" s="2" t="s">
        <v>1319</v>
      </c>
      <c r="E21" s="2" t="s">
        <v>686</v>
      </c>
      <c r="F21" s="2" t="s">
        <v>687</v>
      </c>
      <c r="G21" s="2" t="s">
        <v>688</v>
      </c>
      <c r="H21" s="2" t="s">
        <v>1242</v>
      </c>
      <c r="I21" s="2" t="s">
        <v>2913</v>
      </c>
    </row>
    <row r="22" customFormat="false" ht="15" hidden="false" customHeight="false" outlineLevel="0" collapsed="false">
      <c r="A22" s="2" t="n">
        <v>21</v>
      </c>
      <c r="B22" s="2" t="s">
        <v>254</v>
      </c>
      <c r="C22" s="2" t="s">
        <v>1322</v>
      </c>
      <c r="D22" s="2" t="s">
        <v>1323</v>
      </c>
      <c r="E22" s="2" t="s">
        <v>686</v>
      </c>
      <c r="F22" s="2" t="s">
        <v>687</v>
      </c>
      <c r="G22" s="2" t="s">
        <v>688</v>
      </c>
      <c r="H22" s="2" t="s">
        <v>1242</v>
      </c>
      <c r="I22" s="2" t="s">
        <v>2913</v>
      </c>
    </row>
    <row r="23" customFormat="false" ht="15" hidden="false" customHeight="false" outlineLevel="0" collapsed="false">
      <c r="A23" s="2" t="n">
        <v>22</v>
      </c>
      <c r="B23" s="2" t="s">
        <v>256</v>
      </c>
      <c r="C23" s="2" t="s">
        <v>1326</v>
      </c>
      <c r="D23" s="2" t="s">
        <v>1327</v>
      </c>
      <c r="E23" s="2" t="s">
        <v>686</v>
      </c>
      <c r="F23" s="2" t="s">
        <v>687</v>
      </c>
      <c r="G23" s="2" t="s">
        <v>688</v>
      </c>
      <c r="H23" s="2" t="s">
        <v>1242</v>
      </c>
      <c r="I23" s="2" t="s">
        <v>2913</v>
      </c>
    </row>
    <row r="24" customFormat="false" ht="15" hidden="false" customHeight="false" outlineLevel="0" collapsed="false">
      <c r="A24" s="2" t="n">
        <v>23</v>
      </c>
      <c r="B24" s="2" t="s">
        <v>258</v>
      </c>
      <c r="C24" s="2" t="s">
        <v>1330</v>
      </c>
      <c r="D24" s="2" t="s">
        <v>1331</v>
      </c>
      <c r="E24" s="2" t="s">
        <v>686</v>
      </c>
      <c r="F24" s="2" t="s">
        <v>687</v>
      </c>
      <c r="G24" s="2" t="s">
        <v>688</v>
      </c>
      <c r="H24" s="2" t="s">
        <v>1242</v>
      </c>
      <c r="I24" s="2" t="s">
        <v>2913</v>
      </c>
    </row>
    <row r="25" customFormat="false" ht="15" hidden="false" customHeight="false" outlineLevel="0" collapsed="false">
      <c r="A25" s="2" t="n">
        <v>24</v>
      </c>
      <c r="B25" s="2" t="s">
        <v>260</v>
      </c>
      <c r="C25" s="2" t="s">
        <v>1334</v>
      </c>
      <c r="D25" s="2" t="s">
        <v>1335</v>
      </c>
      <c r="E25" s="2" t="s">
        <v>686</v>
      </c>
      <c r="F25" s="2" t="s">
        <v>687</v>
      </c>
      <c r="G25" s="2" t="s">
        <v>688</v>
      </c>
      <c r="H25" s="2" t="s">
        <v>1242</v>
      </c>
      <c r="I25" s="2" t="s">
        <v>2913</v>
      </c>
    </row>
    <row r="26" customFormat="false" ht="15" hidden="false" customHeight="false" outlineLevel="0" collapsed="false">
      <c r="A26" s="2" t="n">
        <v>25</v>
      </c>
      <c r="B26" s="2" t="s">
        <v>262</v>
      </c>
      <c r="C26" s="2" t="s">
        <v>1338</v>
      </c>
      <c r="D26" s="2" t="s">
        <v>1339</v>
      </c>
      <c r="E26" s="2" t="s">
        <v>686</v>
      </c>
      <c r="F26" s="2" t="s">
        <v>687</v>
      </c>
      <c r="G26" s="2" t="s">
        <v>688</v>
      </c>
      <c r="H26" s="2" t="s">
        <v>1242</v>
      </c>
      <c r="I26" s="2" t="s">
        <v>2913</v>
      </c>
    </row>
    <row r="27" customFormat="false" ht="15" hidden="false" customHeight="false" outlineLevel="0" collapsed="false">
      <c r="A27" s="2" t="n">
        <v>26</v>
      </c>
      <c r="B27" s="2" t="s">
        <v>264</v>
      </c>
      <c r="C27" s="2" t="s">
        <v>1342</v>
      </c>
      <c r="D27" s="2" t="s">
        <v>1343</v>
      </c>
      <c r="E27" s="2" t="s">
        <v>686</v>
      </c>
      <c r="F27" s="2" t="s">
        <v>687</v>
      </c>
      <c r="G27" s="2" t="s">
        <v>688</v>
      </c>
      <c r="H27" s="2" t="s">
        <v>1242</v>
      </c>
      <c r="I27" s="2" t="s">
        <v>2913</v>
      </c>
    </row>
    <row r="28" customFormat="false" ht="15" hidden="false" customHeight="false" outlineLevel="0" collapsed="false">
      <c r="A28" s="2" t="n">
        <v>27</v>
      </c>
      <c r="B28" s="2" t="s">
        <v>266</v>
      </c>
      <c r="C28" s="2" t="s">
        <v>1346</v>
      </c>
      <c r="D28" s="2" t="s">
        <v>1347</v>
      </c>
      <c r="E28" s="2" t="s">
        <v>686</v>
      </c>
      <c r="F28" s="2" t="s">
        <v>687</v>
      </c>
      <c r="G28" s="2" t="s">
        <v>688</v>
      </c>
      <c r="H28" s="2" t="s">
        <v>1242</v>
      </c>
      <c r="I28" s="2" t="s">
        <v>2913</v>
      </c>
    </row>
    <row r="29" customFormat="false" ht="15" hidden="false" customHeight="false" outlineLevel="0" collapsed="false">
      <c r="A29" s="2" t="n">
        <v>28</v>
      </c>
      <c r="B29" s="2" t="s">
        <v>268</v>
      </c>
      <c r="C29" s="2" t="s">
        <v>1350</v>
      </c>
      <c r="D29" s="2" t="s">
        <v>1351</v>
      </c>
      <c r="E29" s="2" t="s">
        <v>686</v>
      </c>
      <c r="F29" s="2" t="s">
        <v>687</v>
      </c>
      <c r="G29" s="2" t="s">
        <v>688</v>
      </c>
      <c r="H29" s="2" t="s">
        <v>1242</v>
      </c>
      <c r="I29" s="2" t="s">
        <v>2913</v>
      </c>
    </row>
    <row r="30" customFormat="false" ht="15" hidden="false" customHeight="false" outlineLevel="0" collapsed="false">
      <c r="A30" s="2" t="n">
        <v>29</v>
      </c>
      <c r="B30" s="2" t="s">
        <v>270</v>
      </c>
      <c r="C30" s="2" t="s">
        <v>1354</v>
      </c>
      <c r="D30" s="2" t="s">
        <v>1355</v>
      </c>
      <c r="E30" s="2" t="s">
        <v>686</v>
      </c>
      <c r="F30" s="2" t="s">
        <v>687</v>
      </c>
      <c r="G30" s="2" t="s">
        <v>688</v>
      </c>
      <c r="H30" s="2" t="s">
        <v>1242</v>
      </c>
      <c r="I30" s="2" t="s">
        <v>2913</v>
      </c>
    </row>
    <row r="31" customFormat="false" ht="15" hidden="false" customHeight="false" outlineLevel="0" collapsed="false">
      <c r="A31" s="2" t="n">
        <v>30</v>
      </c>
      <c r="B31" s="2" t="s">
        <v>272</v>
      </c>
      <c r="C31" s="2" t="s">
        <v>1358</v>
      </c>
      <c r="D31" s="2" t="s">
        <v>1359</v>
      </c>
      <c r="E31" s="2" t="s">
        <v>686</v>
      </c>
      <c r="F31" s="2" t="s">
        <v>687</v>
      </c>
      <c r="G31" s="2" t="s">
        <v>688</v>
      </c>
      <c r="H31" s="2" t="s">
        <v>1242</v>
      </c>
      <c r="I31" s="2" t="s">
        <v>2913</v>
      </c>
    </row>
    <row r="32" customFormat="false" ht="15" hidden="false" customHeight="false" outlineLevel="0" collapsed="false">
      <c r="A32" s="2" t="n">
        <v>31</v>
      </c>
      <c r="B32" s="2" t="s">
        <v>274</v>
      </c>
      <c r="C32" s="2" t="s">
        <v>1362</v>
      </c>
      <c r="D32" s="2" t="s">
        <v>1363</v>
      </c>
      <c r="E32" s="2" t="s">
        <v>686</v>
      </c>
      <c r="F32" s="2" t="s">
        <v>687</v>
      </c>
      <c r="G32" s="2" t="s">
        <v>688</v>
      </c>
      <c r="H32" s="2" t="s">
        <v>1242</v>
      </c>
      <c r="I32" s="2" t="s">
        <v>2913</v>
      </c>
    </row>
    <row r="33" customFormat="false" ht="15" hidden="false" customHeight="false" outlineLevel="0" collapsed="false">
      <c r="A33" s="2" t="n">
        <v>32</v>
      </c>
      <c r="B33" s="2" t="s">
        <v>276</v>
      </c>
      <c r="C33" s="2" t="s">
        <v>1366</v>
      </c>
      <c r="D33" s="2" t="s">
        <v>1367</v>
      </c>
      <c r="E33" s="2" t="s">
        <v>686</v>
      </c>
      <c r="F33" s="2" t="s">
        <v>687</v>
      </c>
      <c r="G33" s="2" t="s">
        <v>688</v>
      </c>
      <c r="H33" s="2" t="s">
        <v>1242</v>
      </c>
      <c r="I33" s="2" t="s">
        <v>2913</v>
      </c>
    </row>
    <row r="34" customFormat="false" ht="15" hidden="false" customHeight="false" outlineLevel="0" collapsed="false">
      <c r="A34" s="2" t="n">
        <v>33</v>
      </c>
      <c r="B34" s="2" t="s">
        <v>278</v>
      </c>
      <c r="C34" s="2" t="s">
        <v>1370</v>
      </c>
      <c r="D34" s="2" t="s">
        <v>1371</v>
      </c>
      <c r="E34" s="2" t="s">
        <v>686</v>
      </c>
      <c r="F34" s="2" t="s">
        <v>687</v>
      </c>
      <c r="G34" s="2" t="s">
        <v>688</v>
      </c>
      <c r="H34" s="2" t="s">
        <v>1242</v>
      </c>
      <c r="I34" s="2" t="s">
        <v>2913</v>
      </c>
    </row>
    <row r="35" customFormat="false" ht="15" hidden="false" customHeight="false" outlineLevel="0" collapsed="false">
      <c r="A35" s="2" t="n">
        <v>34</v>
      </c>
      <c r="B35" s="2" t="s">
        <v>280</v>
      </c>
      <c r="C35" s="2" t="s">
        <v>1374</v>
      </c>
      <c r="D35" s="2" t="s">
        <v>1375</v>
      </c>
      <c r="E35" s="2" t="s">
        <v>686</v>
      </c>
      <c r="F35" s="2" t="s">
        <v>687</v>
      </c>
      <c r="G35" s="2" t="s">
        <v>688</v>
      </c>
      <c r="H35" s="2" t="s">
        <v>1242</v>
      </c>
      <c r="I35" s="2" t="s">
        <v>2913</v>
      </c>
    </row>
    <row r="36" customFormat="false" ht="15" hidden="false" customHeight="false" outlineLevel="0" collapsed="false">
      <c r="A36" s="2" t="n">
        <v>35</v>
      </c>
      <c r="B36" s="2" t="s">
        <v>282</v>
      </c>
      <c r="C36" s="2" t="s">
        <v>1378</v>
      </c>
      <c r="D36" s="2" t="s">
        <v>1379</v>
      </c>
      <c r="E36" s="2" t="s">
        <v>686</v>
      </c>
      <c r="F36" s="2" t="s">
        <v>687</v>
      </c>
      <c r="G36" s="2" t="s">
        <v>688</v>
      </c>
      <c r="H36" s="2" t="s">
        <v>1242</v>
      </c>
      <c r="I36" s="2" t="s">
        <v>2913</v>
      </c>
    </row>
    <row r="37" customFormat="false" ht="15" hidden="false" customHeight="false" outlineLevel="0" collapsed="false">
      <c r="A37" s="2" t="n">
        <v>36</v>
      </c>
      <c r="B37" s="2" t="s">
        <v>284</v>
      </c>
      <c r="C37" s="2" t="s">
        <v>1382</v>
      </c>
      <c r="D37" s="2" t="s">
        <v>1383</v>
      </c>
      <c r="E37" s="2" t="s">
        <v>686</v>
      </c>
      <c r="F37" s="2" t="s">
        <v>687</v>
      </c>
      <c r="G37" s="2" t="s">
        <v>688</v>
      </c>
      <c r="H37" s="2" t="s">
        <v>1242</v>
      </c>
      <c r="I37" s="2" t="s">
        <v>2913</v>
      </c>
    </row>
    <row r="38" customFormat="false" ht="15" hidden="false" customHeight="false" outlineLevel="0" collapsed="false">
      <c r="A38" s="2" t="n">
        <v>37</v>
      </c>
      <c r="B38" s="2" t="s">
        <v>286</v>
      </c>
      <c r="C38" s="2" t="s">
        <v>1386</v>
      </c>
      <c r="D38" s="2" t="s">
        <v>1387</v>
      </c>
      <c r="E38" s="2" t="s">
        <v>686</v>
      </c>
      <c r="F38" s="2" t="s">
        <v>687</v>
      </c>
      <c r="G38" s="2" t="s">
        <v>688</v>
      </c>
      <c r="H38" s="2" t="s">
        <v>1242</v>
      </c>
      <c r="I38" s="2" t="s">
        <v>2913</v>
      </c>
    </row>
    <row r="39" customFormat="false" ht="15" hidden="false" customHeight="false" outlineLevel="0" collapsed="false">
      <c r="A39" s="2" t="n">
        <v>38</v>
      </c>
      <c r="B39" s="2" t="s">
        <v>288</v>
      </c>
      <c r="C39" s="2" t="s">
        <v>1390</v>
      </c>
      <c r="D39" s="2" t="s">
        <v>1391</v>
      </c>
      <c r="E39" s="2" t="s">
        <v>686</v>
      </c>
      <c r="F39" s="2" t="s">
        <v>687</v>
      </c>
      <c r="G39" s="2" t="s">
        <v>688</v>
      </c>
      <c r="H39" s="2" t="s">
        <v>1242</v>
      </c>
      <c r="I39" s="2" t="s">
        <v>2913</v>
      </c>
    </row>
    <row r="40" customFormat="false" ht="15" hidden="false" customHeight="false" outlineLevel="0" collapsed="false">
      <c r="A40" s="2" t="n">
        <v>39</v>
      </c>
      <c r="B40" s="2" t="s">
        <v>290</v>
      </c>
      <c r="C40" s="2" t="s">
        <v>1394</v>
      </c>
      <c r="D40" s="2" t="s">
        <v>1395</v>
      </c>
      <c r="E40" s="2" t="s">
        <v>686</v>
      </c>
      <c r="F40" s="2" t="s">
        <v>687</v>
      </c>
      <c r="G40" s="2" t="s">
        <v>688</v>
      </c>
      <c r="H40" s="2" t="s">
        <v>1242</v>
      </c>
      <c r="I40" s="2" t="s">
        <v>2913</v>
      </c>
    </row>
    <row r="41" customFormat="false" ht="15" hidden="false" customHeight="false" outlineLevel="0" collapsed="false">
      <c r="A41" s="2" t="n">
        <v>40</v>
      </c>
      <c r="B41" s="2" t="s">
        <v>292</v>
      </c>
      <c r="C41" s="2" t="s">
        <v>1398</v>
      </c>
      <c r="D41" s="2" t="s">
        <v>1399</v>
      </c>
      <c r="E41" s="2" t="s">
        <v>686</v>
      </c>
      <c r="F41" s="2" t="s">
        <v>687</v>
      </c>
      <c r="G41" s="2" t="s">
        <v>688</v>
      </c>
      <c r="H41" s="2" t="s">
        <v>1242</v>
      </c>
      <c r="I41" s="2" t="s">
        <v>2913</v>
      </c>
    </row>
    <row r="42" customFormat="false" ht="15" hidden="false" customHeight="false" outlineLevel="0" collapsed="false">
      <c r="A42" s="2" t="n">
        <v>41</v>
      </c>
      <c r="B42" s="2" t="s">
        <v>294</v>
      </c>
      <c r="C42" s="2" t="s">
        <v>1402</v>
      </c>
      <c r="D42" s="2" t="s">
        <v>1403</v>
      </c>
      <c r="E42" s="2" t="s">
        <v>686</v>
      </c>
      <c r="F42" s="2" t="s">
        <v>687</v>
      </c>
      <c r="G42" s="2" t="s">
        <v>688</v>
      </c>
      <c r="H42" s="2" t="s">
        <v>1242</v>
      </c>
      <c r="I42" s="2" t="s">
        <v>2913</v>
      </c>
    </row>
    <row r="43" customFormat="false" ht="15" hidden="false" customHeight="false" outlineLevel="0" collapsed="false">
      <c r="A43" s="2" t="n">
        <v>42</v>
      </c>
      <c r="B43" s="2" t="s">
        <v>296</v>
      </c>
      <c r="C43" s="2" t="s">
        <v>1406</v>
      </c>
      <c r="D43" s="2" t="s">
        <v>1407</v>
      </c>
      <c r="E43" s="2" t="s">
        <v>686</v>
      </c>
      <c r="F43" s="2" t="s">
        <v>687</v>
      </c>
      <c r="G43" s="2" t="s">
        <v>688</v>
      </c>
      <c r="H43" s="2" t="s">
        <v>1242</v>
      </c>
      <c r="I43" s="2" t="s">
        <v>2913</v>
      </c>
    </row>
    <row r="44" customFormat="false" ht="15" hidden="false" customHeight="false" outlineLevel="0" collapsed="false">
      <c r="A44" s="2" t="n">
        <v>43</v>
      </c>
      <c r="B44" s="2" t="s">
        <v>298</v>
      </c>
      <c r="C44" s="2" t="s">
        <v>1410</v>
      </c>
      <c r="D44" s="2" t="s">
        <v>1411</v>
      </c>
      <c r="E44" s="2" t="s">
        <v>686</v>
      </c>
      <c r="F44" s="2" t="s">
        <v>687</v>
      </c>
      <c r="G44" s="2" t="s">
        <v>688</v>
      </c>
      <c r="H44" s="2" t="s">
        <v>1242</v>
      </c>
      <c r="I44" s="2" t="s">
        <v>2913</v>
      </c>
    </row>
    <row r="45" customFormat="false" ht="15" hidden="false" customHeight="false" outlineLevel="0" collapsed="false">
      <c r="A45" s="2" t="n">
        <v>44</v>
      </c>
      <c r="B45" s="2" t="s">
        <v>300</v>
      </c>
      <c r="C45" s="2" t="s">
        <v>1414</v>
      </c>
      <c r="D45" s="2" t="s">
        <v>1415</v>
      </c>
      <c r="E45" s="2" t="s">
        <v>686</v>
      </c>
      <c r="F45" s="2" t="s">
        <v>687</v>
      </c>
      <c r="G45" s="2" t="s">
        <v>688</v>
      </c>
      <c r="H45" s="2" t="s">
        <v>1242</v>
      </c>
      <c r="I45" s="2" t="s">
        <v>2913</v>
      </c>
    </row>
    <row r="46" customFormat="false" ht="15" hidden="false" customHeight="false" outlineLevel="0" collapsed="false">
      <c r="A46" s="2" t="n">
        <v>45</v>
      </c>
      <c r="B46" s="2" t="s">
        <v>302</v>
      </c>
      <c r="C46" s="2" t="s">
        <v>1418</v>
      </c>
      <c r="D46" s="2" t="s">
        <v>1419</v>
      </c>
      <c r="E46" s="2" t="s">
        <v>686</v>
      </c>
      <c r="F46" s="2" t="s">
        <v>687</v>
      </c>
      <c r="G46" s="2" t="s">
        <v>688</v>
      </c>
      <c r="H46" s="2" t="s">
        <v>1242</v>
      </c>
      <c r="I46" s="2" t="s">
        <v>2913</v>
      </c>
    </row>
    <row r="47" customFormat="false" ht="15" hidden="false" customHeight="false" outlineLevel="0" collapsed="false">
      <c r="A47" s="2" t="n">
        <v>46</v>
      </c>
      <c r="B47" s="2" t="s">
        <v>304</v>
      </c>
      <c r="C47" s="2" t="s">
        <v>1422</v>
      </c>
      <c r="D47" s="2" t="s">
        <v>1423</v>
      </c>
      <c r="E47" s="2" t="s">
        <v>686</v>
      </c>
      <c r="F47" s="2" t="s">
        <v>687</v>
      </c>
      <c r="G47" s="2" t="s">
        <v>688</v>
      </c>
      <c r="H47" s="2" t="s">
        <v>1242</v>
      </c>
      <c r="I47" s="2" t="s">
        <v>2913</v>
      </c>
    </row>
    <row r="48" customFormat="false" ht="15" hidden="false" customHeight="false" outlineLevel="0" collapsed="false">
      <c r="A48" s="2" t="n">
        <v>47</v>
      </c>
      <c r="B48" s="2" t="s">
        <v>306</v>
      </c>
      <c r="C48" s="2" t="s">
        <v>1426</v>
      </c>
      <c r="D48" s="2" t="s">
        <v>1427</v>
      </c>
      <c r="E48" s="2" t="s">
        <v>686</v>
      </c>
      <c r="F48" s="2" t="s">
        <v>687</v>
      </c>
      <c r="G48" s="2" t="s">
        <v>688</v>
      </c>
      <c r="H48" s="2" t="s">
        <v>1242</v>
      </c>
      <c r="I48" s="2" t="s">
        <v>2913</v>
      </c>
    </row>
    <row r="49" customFormat="false" ht="15" hidden="false" customHeight="false" outlineLevel="0" collapsed="false">
      <c r="A49" s="2" t="n">
        <v>48</v>
      </c>
      <c r="B49" s="2" t="s">
        <v>308</v>
      </c>
      <c r="C49" s="2" t="s">
        <v>1430</v>
      </c>
      <c r="D49" s="2" t="s">
        <v>1431</v>
      </c>
      <c r="E49" s="2" t="s">
        <v>686</v>
      </c>
      <c r="F49" s="2" t="s">
        <v>687</v>
      </c>
      <c r="G49" s="2" t="s">
        <v>688</v>
      </c>
      <c r="H49" s="2" t="s">
        <v>1242</v>
      </c>
      <c r="I49" s="2" t="s">
        <v>2913</v>
      </c>
    </row>
    <row r="50" customFormat="false" ht="15" hidden="false" customHeight="false" outlineLevel="0" collapsed="false">
      <c r="A50" s="2" t="n">
        <v>49</v>
      </c>
      <c r="B50" s="2" t="s">
        <v>310</v>
      </c>
      <c r="C50" s="2" t="s">
        <v>1434</v>
      </c>
      <c r="D50" s="2" t="s">
        <v>1435</v>
      </c>
      <c r="E50" s="2" t="s">
        <v>686</v>
      </c>
      <c r="F50" s="2" t="s">
        <v>687</v>
      </c>
      <c r="G50" s="2" t="s">
        <v>688</v>
      </c>
      <c r="H50" s="2" t="s">
        <v>1242</v>
      </c>
      <c r="I50" s="2" t="s">
        <v>2913</v>
      </c>
    </row>
    <row r="51" customFormat="false" ht="15" hidden="false" customHeight="false" outlineLevel="0" collapsed="false">
      <c r="A51" s="2" t="n">
        <v>50</v>
      </c>
      <c r="B51" s="2" t="s">
        <v>312</v>
      </c>
      <c r="C51" s="2" t="s">
        <v>1438</v>
      </c>
      <c r="D51" s="2" t="s">
        <v>1439</v>
      </c>
      <c r="E51" s="2" t="s">
        <v>686</v>
      </c>
      <c r="F51" s="2" t="s">
        <v>687</v>
      </c>
      <c r="G51" s="2" t="s">
        <v>688</v>
      </c>
      <c r="H51" s="2" t="s">
        <v>1242</v>
      </c>
      <c r="I51" s="2" t="s">
        <v>2913</v>
      </c>
    </row>
    <row r="52" customFormat="false" ht="15" hidden="false" customHeight="false" outlineLevel="0" collapsed="false">
      <c r="A52" s="2" t="n">
        <v>51</v>
      </c>
      <c r="B52" s="2" t="s">
        <v>314</v>
      </c>
      <c r="C52" s="2" t="s">
        <v>1442</v>
      </c>
      <c r="D52" s="2" t="s">
        <v>1443</v>
      </c>
      <c r="E52" s="2" t="s">
        <v>686</v>
      </c>
      <c r="F52" s="2" t="s">
        <v>687</v>
      </c>
      <c r="G52" s="2" t="s">
        <v>688</v>
      </c>
      <c r="H52" s="2" t="s">
        <v>1242</v>
      </c>
      <c r="I52" s="2" t="s">
        <v>2913</v>
      </c>
    </row>
    <row r="53" customFormat="false" ht="15" hidden="false" customHeight="false" outlineLevel="0" collapsed="false">
      <c r="A53" s="2" t="n">
        <v>52</v>
      </c>
      <c r="B53" s="2" t="s">
        <v>316</v>
      </c>
      <c r="C53" s="2" t="s">
        <v>1446</v>
      </c>
      <c r="D53" s="2" t="s">
        <v>1447</v>
      </c>
      <c r="E53" s="2" t="s">
        <v>686</v>
      </c>
      <c r="F53" s="2" t="s">
        <v>687</v>
      </c>
      <c r="G53" s="2" t="s">
        <v>688</v>
      </c>
      <c r="H53" s="2" t="s">
        <v>1242</v>
      </c>
      <c r="I53" s="2" t="s">
        <v>2913</v>
      </c>
    </row>
    <row r="54" customFormat="false" ht="15" hidden="false" customHeight="false" outlineLevel="0" collapsed="false">
      <c r="A54" s="2" t="n">
        <v>53</v>
      </c>
      <c r="B54" s="2" t="s">
        <v>318</v>
      </c>
      <c r="C54" s="2" t="s">
        <v>1450</v>
      </c>
      <c r="D54" s="2" t="s">
        <v>1451</v>
      </c>
      <c r="E54" s="2" t="s">
        <v>686</v>
      </c>
      <c r="F54" s="2" t="s">
        <v>687</v>
      </c>
      <c r="G54" s="2" t="s">
        <v>688</v>
      </c>
      <c r="H54" s="2" t="s">
        <v>1242</v>
      </c>
      <c r="I54" s="2" t="s">
        <v>2913</v>
      </c>
    </row>
    <row r="55" customFormat="false" ht="15" hidden="false" customHeight="false" outlineLevel="0" collapsed="false">
      <c r="A55" s="2" t="n">
        <v>54</v>
      </c>
      <c r="B55" s="2" t="s">
        <v>320</v>
      </c>
      <c r="C55" s="2" t="s">
        <v>1454</v>
      </c>
      <c r="D55" s="2" t="s">
        <v>1455</v>
      </c>
      <c r="E55" s="2" t="s">
        <v>686</v>
      </c>
      <c r="F55" s="2" t="s">
        <v>687</v>
      </c>
      <c r="G55" s="2" t="s">
        <v>688</v>
      </c>
      <c r="H55" s="2" t="s">
        <v>1242</v>
      </c>
      <c r="I55" s="2" t="s">
        <v>2913</v>
      </c>
    </row>
    <row r="56" customFormat="false" ht="15" hidden="false" customHeight="false" outlineLevel="0" collapsed="false">
      <c r="A56" s="2" t="n">
        <v>55</v>
      </c>
      <c r="B56" s="2" t="s">
        <v>322</v>
      </c>
      <c r="C56" s="2" t="s">
        <v>1458</v>
      </c>
      <c r="D56" s="2" t="s">
        <v>1459</v>
      </c>
      <c r="E56" s="2" t="s">
        <v>686</v>
      </c>
      <c r="F56" s="2" t="s">
        <v>687</v>
      </c>
      <c r="G56" s="2" t="s">
        <v>688</v>
      </c>
      <c r="H56" s="2" t="s">
        <v>1242</v>
      </c>
      <c r="I56" s="2" t="s">
        <v>2913</v>
      </c>
    </row>
    <row r="57" customFormat="false" ht="15" hidden="false" customHeight="false" outlineLevel="0" collapsed="false">
      <c r="A57" s="2" t="n">
        <v>56</v>
      </c>
      <c r="B57" s="2" t="s">
        <v>324</v>
      </c>
      <c r="C57" s="2" t="s">
        <v>1462</v>
      </c>
      <c r="D57" s="2" t="s">
        <v>1463</v>
      </c>
      <c r="E57" s="2" t="s">
        <v>686</v>
      </c>
      <c r="F57" s="2" t="s">
        <v>687</v>
      </c>
      <c r="G57" s="2" t="s">
        <v>688</v>
      </c>
      <c r="H57" s="2" t="s">
        <v>1242</v>
      </c>
      <c r="I57" s="2" t="s">
        <v>2913</v>
      </c>
    </row>
    <row r="58" customFormat="false" ht="15" hidden="false" customHeight="false" outlineLevel="0" collapsed="false">
      <c r="A58" s="2" t="n">
        <v>57</v>
      </c>
      <c r="B58" s="2" t="s">
        <v>326</v>
      </c>
      <c r="C58" s="2" t="s">
        <v>1466</v>
      </c>
      <c r="D58" s="2" t="s">
        <v>1467</v>
      </c>
      <c r="E58" s="2" t="s">
        <v>686</v>
      </c>
      <c r="F58" s="2" t="s">
        <v>687</v>
      </c>
      <c r="G58" s="2" t="s">
        <v>688</v>
      </c>
      <c r="H58" s="2" t="s">
        <v>1242</v>
      </c>
      <c r="I58" s="2" t="s">
        <v>2913</v>
      </c>
    </row>
    <row r="59" customFormat="false" ht="15" hidden="false" customHeight="false" outlineLevel="0" collapsed="false">
      <c r="A59" s="2" t="n">
        <v>58</v>
      </c>
      <c r="B59" s="2" t="s">
        <v>328</v>
      </c>
      <c r="C59" s="2" t="s">
        <v>1470</v>
      </c>
      <c r="D59" s="2" t="s">
        <v>1471</v>
      </c>
      <c r="E59" s="2" t="s">
        <v>686</v>
      </c>
      <c r="F59" s="2" t="s">
        <v>687</v>
      </c>
      <c r="G59" s="2" t="s">
        <v>688</v>
      </c>
      <c r="H59" s="2" t="s">
        <v>1242</v>
      </c>
      <c r="I59" s="2" t="s">
        <v>2913</v>
      </c>
    </row>
    <row r="60" customFormat="false" ht="15" hidden="false" customHeight="false" outlineLevel="0" collapsed="false">
      <c r="A60" s="2" t="n">
        <v>59</v>
      </c>
      <c r="B60" s="2" t="s">
        <v>330</v>
      </c>
      <c r="C60" s="2" t="s">
        <v>1474</v>
      </c>
      <c r="D60" s="2" t="s">
        <v>1475</v>
      </c>
      <c r="E60" s="2" t="s">
        <v>686</v>
      </c>
      <c r="F60" s="2" t="s">
        <v>687</v>
      </c>
      <c r="G60" s="2" t="s">
        <v>688</v>
      </c>
      <c r="H60" s="2" t="s">
        <v>1242</v>
      </c>
      <c r="I60" s="2" t="s">
        <v>2913</v>
      </c>
    </row>
    <row r="61" customFormat="false" ht="15" hidden="false" customHeight="false" outlineLevel="0" collapsed="false">
      <c r="A61" s="2" t="n">
        <v>60</v>
      </c>
      <c r="B61" s="2" t="s">
        <v>332</v>
      </c>
      <c r="C61" s="2" t="s">
        <v>1478</v>
      </c>
      <c r="D61" s="2" t="s">
        <v>1479</v>
      </c>
      <c r="E61" s="2" t="s">
        <v>686</v>
      </c>
      <c r="F61" s="2" t="s">
        <v>687</v>
      </c>
      <c r="G61" s="2" t="s">
        <v>688</v>
      </c>
      <c r="H61" s="2" t="s">
        <v>1242</v>
      </c>
      <c r="I61" s="2" t="s">
        <v>2913</v>
      </c>
    </row>
    <row r="62" customFormat="false" ht="15" hidden="false" customHeight="false" outlineLevel="0" collapsed="false">
      <c r="A62" s="2" t="n">
        <v>61</v>
      </c>
      <c r="B62" s="2" t="s">
        <v>334</v>
      </c>
      <c r="C62" s="2" t="s">
        <v>1482</v>
      </c>
      <c r="D62" s="2" t="s">
        <v>1483</v>
      </c>
      <c r="E62" s="2" t="s">
        <v>686</v>
      </c>
      <c r="F62" s="2" t="s">
        <v>687</v>
      </c>
      <c r="G62" s="2" t="s">
        <v>688</v>
      </c>
      <c r="H62" s="2" t="s">
        <v>1242</v>
      </c>
      <c r="I62" s="2" t="s">
        <v>2913</v>
      </c>
    </row>
    <row r="63" customFormat="false" ht="15" hidden="false" customHeight="false" outlineLevel="0" collapsed="false">
      <c r="A63" s="2" t="n">
        <v>62</v>
      </c>
      <c r="B63" s="2" t="s">
        <v>336</v>
      </c>
      <c r="C63" s="2" t="s">
        <v>1485</v>
      </c>
      <c r="D63" s="2" t="s">
        <v>1486</v>
      </c>
      <c r="E63" s="2" t="s">
        <v>686</v>
      </c>
      <c r="F63" s="2" t="s">
        <v>810</v>
      </c>
      <c r="G63" s="2" t="s">
        <v>811</v>
      </c>
      <c r="H63" s="2" t="s">
        <v>1242</v>
      </c>
      <c r="I63" s="2" t="s">
        <v>2913</v>
      </c>
    </row>
    <row r="64" customFormat="false" ht="15" hidden="false" customHeight="false" outlineLevel="0" collapsed="false">
      <c r="A64" s="2" t="n">
        <v>63</v>
      </c>
      <c r="B64" s="2" t="s">
        <v>337</v>
      </c>
      <c r="C64" s="2" t="s">
        <v>1488</v>
      </c>
      <c r="D64" s="2" t="s">
        <v>1489</v>
      </c>
      <c r="E64" s="2" t="s">
        <v>686</v>
      </c>
      <c r="F64" s="2" t="s">
        <v>810</v>
      </c>
      <c r="G64" s="2" t="s">
        <v>811</v>
      </c>
      <c r="H64" s="2" t="s">
        <v>1242</v>
      </c>
      <c r="I64" s="2" t="s">
        <v>2913</v>
      </c>
    </row>
    <row r="65" customFormat="false" ht="15" hidden="false" customHeight="false" outlineLevel="0" collapsed="false">
      <c r="A65" s="2" t="n">
        <v>64</v>
      </c>
      <c r="B65" s="2" t="s">
        <v>338</v>
      </c>
      <c r="C65" s="2" t="s">
        <v>1492</v>
      </c>
      <c r="D65" s="2" t="s">
        <v>1493</v>
      </c>
      <c r="E65" s="2" t="s">
        <v>686</v>
      </c>
      <c r="F65" s="2" t="s">
        <v>810</v>
      </c>
      <c r="G65" s="2" t="s">
        <v>811</v>
      </c>
      <c r="H65" s="2" t="s">
        <v>1242</v>
      </c>
      <c r="I65" s="2" t="s">
        <v>2913</v>
      </c>
    </row>
    <row r="66" customFormat="false" ht="15" hidden="false" customHeight="false" outlineLevel="0" collapsed="false">
      <c r="A66" s="2" t="n">
        <v>65</v>
      </c>
      <c r="B66" s="2" t="s">
        <v>340</v>
      </c>
      <c r="C66" s="2" t="s">
        <v>1495</v>
      </c>
      <c r="D66" s="2" t="s">
        <v>1496</v>
      </c>
      <c r="E66" s="2" t="s">
        <v>686</v>
      </c>
      <c r="F66" s="2" t="s">
        <v>810</v>
      </c>
      <c r="G66" s="2" t="s">
        <v>811</v>
      </c>
      <c r="H66" s="2" t="s">
        <v>1242</v>
      </c>
      <c r="I66" s="2" t="s">
        <v>2913</v>
      </c>
    </row>
    <row r="67" customFormat="false" ht="15" hidden="false" customHeight="false" outlineLevel="0" collapsed="false">
      <c r="A67" s="2" t="n">
        <v>66</v>
      </c>
      <c r="B67" s="2" t="s">
        <v>341</v>
      </c>
      <c r="C67" s="2" t="s">
        <v>1499</v>
      </c>
      <c r="D67" s="2" t="s">
        <v>1500</v>
      </c>
      <c r="E67" s="2" t="s">
        <v>686</v>
      </c>
      <c r="F67" s="2" t="s">
        <v>810</v>
      </c>
      <c r="G67" s="2" t="s">
        <v>811</v>
      </c>
      <c r="H67" s="2" t="s">
        <v>1242</v>
      </c>
      <c r="I67" s="2" t="s">
        <v>2913</v>
      </c>
    </row>
    <row r="68" customFormat="false" ht="15" hidden="false" customHeight="false" outlineLevel="0" collapsed="false">
      <c r="A68" s="2" t="n">
        <v>67</v>
      </c>
      <c r="B68" s="2" t="s">
        <v>343</v>
      </c>
      <c r="C68" s="2" t="s">
        <v>1502</v>
      </c>
      <c r="D68" s="2" t="s">
        <v>1503</v>
      </c>
      <c r="E68" s="2" t="s">
        <v>686</v>
      </c>
      <c r="F68" s="2" t="s">
        <v>810</v>
      </c>
      <c r="G68" s="2" t="s">
        <v>811</v>
      </c>
      <c r="H68" s="2" t="s">
        <v>1242</v>
      </c>
      <c r="I68" s="2" t="s">
        <v>2913</v>
      </c>
    </row>
    <row r="69" customFormat="false" ht="15" hidden="false" customHeight="false" outlineLevel="0" collapsed="false">
      <c r="A69" s="2" t="n">
        <v>68</v>
      </c>
      <c r="B69" s="2" t="s">
        <v>344</v>
      </c>
      <c r="C69" s="2" t="s">
        <v>1506</v>
      </c>
      <c r="D69" s="2" t="s">
        <v>1507</v>
      </c>
      <c r="E69" s="2" t="s">
        <v>686</v>
      </c>
      <c r="F69" s="2" t="s">
        <v>810</v>
      </c>
      <c r="G69" s="2" t="s">
        <v>811</v>
      </c>
      <c r="H69" s="2" t="s">
        <v>1242</v>
      </c>
      <c r="I69" s="2" t="s">
        <v>2913</v>
      </c>
    </row>
    <row r="70" customFormat="false" ht="15" hidden="false" customHeight="false" outlineLevel="0" collapsed="false">
      <c r="A70" s="2" t="n">
        <v>69</v>
      </c>
      <c r="B70" s="2" t="s">
        <v>346</v>
      </c>
      <c r="C70" s="2" t="s">
        <v>1509</v>
      </c>
      <c r="D70" s="2" t="s">
        <v>1510</v>
      </c>
      <c r="E70" s="2" t="s">
        <v>686</v>
      </c>
      <c r="F70" s="2" t="s">
        <v>810</v>
      </c>
      <c r="G70" s="2" t="s">
        <v>811</v>
      </c>
      <c r="H70" s="2" t="s">
        <v>1242</v>
      </c>
      <c r="I70" s="2" t="s">
        <v>2913</v>
      </c>
    </row>
    <row r="71" customFormat="false" ht="15" hidden="false" customHeight="false" outlineLevel="0" collapsed="false">
      <c r="A71" s="2" t="n">
        <v>70</v>
      </c>
      <c r="B71" s="2" t="s">
        <v>347</v>
      </c>
      <c r="C71" s="2" t="s">
        <v>1512</v>
      </c>
      <c r="D71" s="2" t="s">
        <v>1513</v>
      </c>
      <c r="E71" s="2" t="s">
        <v>686</v>
      </c>
      <c r="F71" s="2" t="s">
        <v>810</v>
      </c>
      <c r="G71" s="2" t="s">
        <v>811</v>
      </c>
      <c r="H71" s="2" t="s">
        <v>1242</v>
      </c>
      <c r="I71" s="2" t="s">
        <v>2913</v>
      </c>
    </row>
    <row r="72" customFormat="false" ht="15" hidden="false" customHeight="false" outlineLevel="0" collapsed="false">
      <c r="A72" s="2" t="n">
        <v>71</v>
      </c>
      <c r="B72" s="2" t="s">
        <v>348</v>
      </c>
      <c r="C72" s="2" t="s">
        <v>1515</v>
      </c>
      <c r="D72" s="2" t="s">
        <v>1516</v>
      </c>
      <c r="E72" s="2" t="s">
        <v>686</v>
      </c>
      <c r="F72" s="2" t="s">
        <v>810</v>
      </c>
      <c r="G72" s="2" t="s">
        <v>811</v>
      </c>
      <c r="H72" s="2" t="s">
        <v>1242</v>
      </c>
      <c r="I72" s="2" t="s">
        <v>2913</v>
      </c>
    </row>
    <row r="73" customFormat="false" ht="15" hidden="false" customHeight="false" outlineLevel="0" collapsed="false">
      <c r="A73" s="2" t="n">
        <v>72</v>
      </c>
      <c r="B73" s="2" t="s">
        <v>349</v>
      </c>
      <c r="C73" s="2" t="s">
        <v>1518</v>
      </c>
      <c r="D73" s="2" t="s">
        <v>1519</v>
      </c>
      <c r="E73" s="2" t="s">
        <v>686</v>
      </c>
      <c r="F73" s="2" t="s">
        <v>810</v>
      </c>
      <c r="G73" s="2" t="s">
        <v>811</v>
      </c>
      <c r="H73" s="2" t="s">
        <v>1242</v>
      </c>
      <c r="I73" s="2" t="s">
        <v>2913</v>
      </c>
    </row>
    <row r="74" customFormat="false" ht="15" hidden="false" customHeight="false" outlineLevel="0" collapsed="false">
      <c r="A74" s="2" t="n">
        <v>73</v>
      </c>
      <c r="B74" s="2" t="s">
        <v>350</v>
      </c>
      <c r="C74" s="2" t="s">
        <v>1522</v>
      </c>
      <c r="D74" s="2" t="s">
        <v>1523</v>
      </c>
      <c r="E74" s="2" t="s">
        <v>686</v>
      </c>
      <c r="F74" s="2" t="s">
        <v>810</v>
      </c>
      <c r="G74" s="2" t="s">
        <v>811</v>
      </c>
      <c r="H74" s="2" t="s">
        <v>1242</v>
      </c>
      <c r="I74" s="2" t="s">
        <v>2913</v>
      </c>
    </row>
    <row r="75" customFormat="false" ht="15" hidden="false" customHeight="false" outlineLevel="0" collapsed="false">
      <c r="A75" s="2" t="n">
        <v>74</v>
      </c>
      <c r="B75" s="2" t="s">
        <v>352</v>
      </c>
      <c r="C75" s="2" t="s">
        <v>1526</v>
      </c>
      <c r="D75" s="2" t="s">
        <v>1527</v>
      </c>
      <c r="E75" s="2" t="s">
        <v>686</v>
      </c>
      <c r="F75" s="2" t="s">
        <v>810</v>
      </c>
      <c r="G75" s="2" t="s">
        <v>811</v>
      </c>
      <c r="H75" s="2" t="s">
        <v>1242</v>
      </c>
      <c r="I75" s="2" t="s">
        <v>2913</v>
      </c>
    </row>
    <row r="76" customFormat="false" ht="15" hidden="false" customHeight="false" outlineLevel="0" collapsed="false">
      <c r="A76" s="2" t="n">
        <v>75</v>
      </c>
      <c r="B76" s="2" t="s">
        <v>354</v>
      </c>
      <c r="C76" s="2" t="s">
        <v>1529</v>
      </c>
      <c r="D76" s="2" t="s">
        <v>1530</v>
      </c>
      <c r="E76" s="2" t="s">
        <v>686</v>
      </c>
      <c r="F76" s="2" t="s">
        <v>810</v>
      </c>
      <c r="G76" s="2" t="s">
        <v>811</v>
      </c>
      <c r="H76" s="2" t="s">
        <v>1242</v>
      </c>
      <c r="I76" s="2" t="s">
        <v>2913</v>
      </c>
    </row>
    <row r="77" customFormat="false" ht="15" hidden="false" customHeight="false" outlineLevel="0" collapsed="false">
      <c r="A77" s="2" t="n">
        <v>76</v>
      </c>
      <c r="B77" s="2" t="s">
        <v>355</v>
      </c>
      <c r="C77" s="2" t="s">
        <v>1533</v>
      </c>
      <c r="D77" s="2" t="s">
        <v>1534</v>
      </c>
      <c r="E77" s="2" t="s">
        <v>686</v>
      </c>
      <c r="F77" s="2" t="s">
        <v>810</v>
      </c>
      <c r="G77" s="2" t="s">
        <v>811</v>
      </c>
      <c r="H77" s="2" t="s">
        <v>1242</v>
      </c>
      <c r="I77" s="2" t="s">
        <v>2913</v>
      </c>
    </row>
    <row r="78" customFormat="false" ht="15" hidden="false" customHeight="false" outlineLevel="0" collapsed="false">
      <c r="A78" s="2" t="n">
        <v>77</v>
      </c>
      <c r="B78" s="2" t="s">
        <v>357</v>
      </c>
      <c r="C78" s="2" t="s">
        <v>1536</v>
      </c>
      <c r="D78" s="2" t="s">
        <v>1537</v>
      </c>
      <c r="E78" s="2" t="s">
        <v>686</v>
      </c>
      <c r="F78" s="2" t="s">
        <v>810</v>
      </c>
      <c r="G78" s="2" t="s">
        <v>811</v>
      </c>
      <c r="H78" s="2" t="s">
        <v>1242</v>
      </c>
      <c r="I78" s="2" t="s">
        <v>2913</v>
      </c>
    </row>
    <row r="79" customFormat="false" ht="15" hidden="false" customHeight="false" outlineLevel="0" collapsed="false">
      <c r="A79" s="2" t="n">
        <v>78</v>
      </c>
      <c r="B79" s="2" t="s">
        <v>358</v>
      </c>
      <c r="C79" s="2" t="s">
        <v>1540</v>
      </c>
      <c r="D79" s="2" t="s">
        <v>1541</v>
      </c>
      <c r="E79" s="2" t="s">
        <v>686</v>
      </c>
      <c r="F79" s="2" t="s">
        <v>810</v>
      </c>
      <c r="G79" s="2" t="s">
        <v>811</v>
      </c>
      <c r="H79" s="2" t="s">
        <v>1242</v>
      </c>
      <c r="I79" s="2" t="s">
        <v>2913</v>
      </c>
    </row>
    <row r="80" customFormat="false" ht="15" hidden="false" customHeight="false" outlineLevel="0" collapsed="false">
      <c r="A80" s="2" t="n">
        <v>79</v>
      </c>
      <c r="B80" s="2" t="s">
        <v>360</v>
      </c>
      <c r="C80" s="2" t="s">
        <v>1544</v>
      </c>
      <c r="D80" s="2" t="s">
        <v>1545</v>
      </c>
      <c r="E80" s="2" t="s">
        <v>686</v>
      </c>
      <c r="F80" s="2" t="s">
        <v>810</v>
      </c>
      <c r="G80" s="2" t="s">
        <v>811</v>
      </c>
      <c r="H80" s="2" t="s">
        <v>1242</v>
      </c>
      <c r="I80" s="2" t="s">
        <v>2913</v>
      </c>
    </row>
    <row r="81" customFormat="false" ht="15" hidden="false" customHeight="false" outlineLevel="0" collapsed="false">
      <c r="A81" s="2" t="n">
        <v>80</v>
      </c>
      <c r="B81" s="2" t="s">
        <v>362</v>
      </c>
      <c r="C81" s="2" t="s">
        <v>1548</v>
      </c>
      <c r="D81" s="2" t="s">
        <v>1549</v>
      </c>
      <c r="E81" s="2" t="s">
        <v>686</v>
      </c>
      <c r="F81" s="2" t="s">
        <v>810</v>
      </c>
      <c r="G81" s="2" t="s">
        <v>811</v>
      </c>
      <c r="H81" s="2" t="s">
        <v>1242</v>
      </c>
      <c r="I81" s="2" t="s">
        <v>2913</v>
      </c>
    </row>
    <row r="82" customFormat="false" ht="15" hidden="false" customHeight="false" outlineLevel="0" collapsed="false">
      <c r="A82" s="2" t="n">
        <v>81</v>
      </c>
      <c r="B82" s="2" t="s">
        <v>364</v>
      </c>
      <c r="C82" s="2" t="s">
        <v>1552</v>
      </c>
      <c r="D82" s="2" t="s">
        <v>1553</v>
      </c>
      <c r="E82" s="2" t="s">
        <v>686</v>
      </c>
      <c r="F82" s="2" t="s">
        <v>810</v>
      </c>
      <c r="G82" s="2" t="s">
        <v>811</v>
      </c>
      <c r="H82" s="2" t="s">
        <v>1242</v>
      </c>
      <c r="I82" s="2" t="s">
        <v>2913</v>
      </c>
    </row>
    <row r="83" customFormat="false" ht="15" hidden="false" customHeight="false" outlineLevel="0" collapsed="false">
      <c r="A83" s="2" t="n">
        <v>82</v>
      </c>
      <c r="B83" s="2" t="s">
        <v>366</v>
      </c>
      <c r="C83" s="2" t="s">
        <v>1555</v>
      </c>
      <c r="D83" s="2" t="s">
        <v>1556</v>
      </c>
      <c r="E83" s="2" t="s">
        <v>686</v>
      </c>
      <c r="F83" s="2" t="s">
        <v>810</v>
      </c>
      <c r="G83" s="2" t="s">
        <v>811</v>
      </c>
      <c r="H83" s="2" t="s">
        <v>1242</v>
      </c>
      <c r="I83" s="2" t="s">
        <v>2913</v>
      </c>
    </row>
    <row r="84" customFormat="false" ht="15" hidden="false" customHeight="false" outlineLevel="0" collapsed="false">
      <c r="A84" s="2" t="n">
        <v>83</v>
      </c>
      <c r="B84" s="2" t="s">
        <v>367</v>
      </c>
      <c r="C84" s="2" t="s">
        <v>1559</v>
      </c>
      <c r="D84" s="2" t="s">
        <v>1560</v>
      </c>
      <c r="E84" s="2" t="s">
        <v>686</v>
      </c>
      <c r="F84" s="2" t="s">
        <v>810</v>
      </c>
      <c r="G84" s="2" t="s">
        <v>811</v>
      </c>
      <c r="H84" s="2" t="s">
        <v>1242</v>
      </c>
      <c r="I84" s="2" t="s">
        <v>2913</v>
      </c>
    </row>
    <row r="85" customFormat="false" ht="15" hidden="false" customHeight="false" outlineLevel="0" collapsed="false">
      <c r="A85" s="2" t="n">
        <v>84</v>
      </c>
      <c r="B85" s="2" t="s">
        <v>369</v>
      </c>
      <c r="C85" s="2" t="s">
        <v>1562</v>
      </c>
      <c r="D85" s="2" t="s">
        <v>1563</v>
      </c>
      <c r="E85" s="2" t="s">
        <v>686</v>
      </c>
      <c r="F85" s="2" t="s">
        <v>810</v>
      </c>
      <c r="G85" s="2" t="s">
        <v>811</v>
      </c>
      <c r="H85" s="2" t="s">
        <v>1242</v>
      </c>
      <c r="I85" s="2" t="s">
        <v>2913</v>
      </c>
    </row>
    <row r="86" customFormat="false" ht="15" hidden="false" customHeight="false" outlineLevel="0" collapsed="false">
      <c r="A86" s="2" t="n">
        <v>85</v>
      </c>
      <c r="B86" s="2" t="s">
        <v>370</v>
      </c>
      <c r="C86" s="2" t="s">
        <v>1566</v>
      </c>
      <c r="D86" s="2" t="s">
        <v>1567</v>
      </c>
      <c r="E86" s="2" t="s">
        <v>686</v>
      </c>
      <c r="F86" s="2" t="s">
        <v>810</v>
      </c>
      <c r="G86" s="2" t="s">
        <v>811</v>
      </c>
      <c r="H86" s="2" t="s">
        <v>1242</v>
      </c>
      <c r="I86" s="2" t="s">
        <v>2913</v>
      </c>
    </row>
    <row r="87" customFormat="false" ht="15" hidden="false" customHeight="false" outlineLevel="0" collapsed="false">
      <c r="A87" s="2" t="n">
        <v>86</v>
      </c>
      <c r="B87" s="2" t="s">
        <v>371</v>
      </c>
      <c r="C87" s="2" t="s">
        <v>1570</v>
      </c>
      <c r="D87" s="2" t="s">
        <v>1571</v>
      </c>
      <c r="E87" s="2" t="s">
        <v>686</v>
      </c>
      <c r="F87" s="2" t="s">
        <v>810</v>
      </c>
      <c r="G87" s="2" t="s">
        <v>811</v>
      </c>
      <c r="H87" s="2" t="s">
        <v>1242</v>
      </c>
      <c r="I87" s="2" t="s">
        <v>2913</v>
      </c>
    </row>
    <row r="88" customFormat="false" ht="15" hidden="false" customHeight="false" outlineLevel="0" collapsed="false">
      <c r="A88" s="2" t="n">
        <v>87</v>
      </c>
      <c r="B88" s="2" t="s">
        <v>373</v>
      </c>
      <c r="C88" s="2" t="s">
        <v>1574</v>
      </c>
      <c r="D88" s="2" t="s">
        <v>1575</v>
      </c>
      <c r="E88" s="2" t="s">
        <v>686</v>
      </c>
      <c r="F88" s="2" t="s">
        <v>810</v>
      </c>
      <c r="G88" s="2" t="s">
        <v>811</v>
      </c>
      <c r="H88" s="2" t="s">
        <v>1242</v>
      </c>
      <c r="I88" s="2" t="s">
        <v>2913</v>
      </c>
    </row>
    <row r="89" customFormat="false" ht="15" hidden="false" customHeight="false" outlineLevel="0" collapsed="false">
      <c r="A89" s="2" t="n">
        <v>88</v>
      </c>
      <c r="B89" s="2" t="s">
        <v>375</v>
      </c>
      <c r="C89" s="2" t="s">
        <v>1577</v>
      </c>
      <c r="D89" s="2" t="s">
        <v>1578</v>
      </c>
      <c r="E89" s="2" t="s">
        <v>686</v>
      </c>
      <c r="F89" s="2" t="s">
        <v>810</v>
      </c>
      <c r="G89" s="2" t="s">
        <v>811</v>
      </c>
      <c r="H89" s="2" t="s">
        <v>1242</v>
      </c>
      <c r="I89" s="2" t="s">
        <v>2913</v>
      </c>
    </row>
    <row r="90" customFormat="false" ht="15" hidden="false" customHeight="false" outlineLevel="0" collapsed="false">
      <c r="A90" s="2" t="n">
        <v>89</v>
      </c>
      <c r="B90" s="2" t="s">
        <v>376</v>
      </c>
      <c r="C90" s="2" t="s">
        <v>1581</v>
      </c>
      <c r="D90" s="2" t="s">
        <v>1582</v>
      </c>
      <c r="E90" s="2" t="s">
        <v>686</v>
      </c>
      <c r="F90" s="2" t="s">
        <v>810</v>
      </c>
      <c r="G90" s="2" t="s">
        <v>811</v>
      </c>
      <c r="H90" s="2" t="s">
        <v>1242</v>
      </c>
      <c r="I90" s="2" t="s">
        <v>2913</v>
      </c>
    </row>
    <row r="91" customFormat="false" ht="15" hidden="false" customHeight="false" outlineLevel="0" collapsed="false">
      <c r="A91" s="2" t="n">
        <v>90</v>
      </c>
      <c r="B91" s="2" t="s">
        <v>378</v>
      </c>
      <c r="C91" s="2" t="s">
        <v>1585</v>
      </c>
      <c r="D91" s="2" t="s">
        <v>1586</v>
      </c>
      <c r="E91" s="2" t="s">
        <v>686</v>
      </c>
      <c r="F91" s="2" t="s">
        <v>810</v>
      </c>
      <c r="G91" s="2" t="s">
        <v>811</v>
      </c>
      <c r="H91" s="2" t="s">
        <v>1242</v>
      </c>
      <c r="I91" s="2" t="s">
        <v>2913</v>
      </c>
    </row>
    <row r="92" customFormat="false" ht="15" hidden="false" customHeight="false" outlineLevel="0" collapsed="false">
      <c r="A92" s="2" t="n">
        <v>91</v>
      </c>
      <c r="B92" s="2" t="s">
        <v>380</v>
      </c>
      <c r="C92" s="2" t="s">
        <v>1589</v>
      </c>
      <c r="D92" s="2" t="s">
        <v>1590</v>
      </c>
      <c r="E92" s="2" t="s">
        <v>686</v>
      </c>
      <c r="F92" s="2" t="s">
        <v>810</v>
      </c>
      <c r="G92" s="2" t="s">
        <v>811</v>
      </c>
      <c r="H92" s="2" t="s">
        <v>1242</v>
      </c>
      <c r="I92" s="2" t="s">
        <v>2913</v>
      </c>
    </row>
    <row r="93" customFormat="false" ht="15" hidden="false" customHeight="false" outlineLevel="0" collapsed="false">
      <c r="A93" s="2" t="n">
        <v>92</v>
      </c>
      <c r="B93" s="2" t="s">
        <v>382</v>
      </c>
      <c r="C93" s="2" t="s">
        <v>1593</v>
      </c>
      <c r="D93" s="2" t="s">
        <v>1594</v>
      </c>
      <c r="E93" s="2" t="s">
        <v>686</v>
      </c>
      <c r="F93" s="2" t="s">
        <v>810</v>
      </c>
      <c r="G93" s="2" t="s">
        <v>811</v>
      </c>
      <c r="H93" s="2" t="s">
        <v>1242</v>
      </c>
      <c r="I93" s="2" t="s">
        <v>2913</v>
      </c>
    </row>
    <row r="94" customFormat="false" ht="15" hidden="false" customHeight="false" outlineLevel="0" collapsed="false">
      <c r="A94" s="2" t="n">
        <v>93</v>
      </c>
      <c r="B94" s="2" t="s">
        <v>384</v>
      </c>
      <c r="C94" s="2" t="s">
        <v>1597</v>
      </c>
      <c r="D94" s="2" t="s">
        <v>1598</v>
      </c>
      <c r="E94" s="2" t="s">
        <v>686</v>
      </c>
      <c r="F94" s="2" t="s">
        <v>810</v>
      </c>
      <c r="G94" s="2" t="s">
        <v>811</v>
      </c>
      <c r="H94" s="2" t="s">
        <v>1242</v>
      </c>
      <c r="I94" s="2" t="s">
        <v>2913</v>
      </c>
    </row>
    <row r="95" customFormat="false" ht="15" hidden="false" customHeight="false" outlineLevel="0" collapsed="false">
      <c r="A95" s="2" t="n">
        <v>94</v>
      </c>
      <c r="B95" s="2" t="s">
        <v>386</v>
      </c>
      <c r="C95" s="2" t="s">
        <v>1600</v>
      </c>
      <c r="D95" s="2" t="s">
        <v>1601</v>
      </c>
      <c r="E95" s="2" t="s">
        <v>686</v>
      </c>
      <c r="F95" s="2" t="s">
        <v>810</v>
      </c>
      <c r="G95" s="2" t="s">
        <v>811</v>
      </c>
      <c r="H95" s="2" t="s">
        <v>1242</v>
      </c>
      <c r="I95" s="2" t="s">
        <v>2913</v>
      </c>
    </row>
    <row r="96" customFormat="false" ht="15" hidden="false" customHeight="false" outlineLevel="0" collapsed="false">
      <c r="A96" s="2" t="n">
        <v>95</v>
      </c>
      <c r="B96" s="2" t="s">
        <v>388</v>
      </c>
      <c r="C96" s="2" t="s">
        <v>1603</v>
      </c>
      <c r="D96" s="2" t="s">
        <v>1604</v>
      </c>
      <c r="E96" s="2" t="s">
        <v>686</v>
      </c>
      <c r="F96" s="2" t="s">
        <v>810</v>
      </c>
      <c r="G96" s="2" t="s">
        <v>811</v>
      </c>
      <c r="H96" s="2" t="s">
        <v>1242</v>
      </c>
      <c r="I96" s="2" t="s">
        <v>2913</v>
      </c>
    </row>
    <row r="97" customFormat="false" ht="15" hidden="false" customHeight="false" outlineLevel="0" collapsed="false">
      <c r="A97" s="2" t="n">
        <v>96</v>
      </c>
      <c r="B97" s="2" t="s">
        <v>389</v>
      </c>
      <c r="C97" s="2" t="s">
        <v>1606</v>
      </c>
      <c r="D97" s="2" t="s">
        <v>1607</v>
      </c>
      <c r="E97" s="2" t="s">
        <v>686</v>
      </c>
      <c r="F97" s="2" t="s">
        <v>810</v>
      </c>
      <c r="G97" s="2" t="s">
        <v>811</v>
      </c>
      <c r="H97" s="2" t="s">
        <v>1242</v>
      </c>
      <c r="I97" s="2" t="s">
        <v>2913</v>
      </c>
    </row>
    <row r="98" customFormat="false" ht="15" hidden="false" customHeight="false" outlineLevel="0" collapsed="false">
      <c r="A98" s="2" t="n">
        <v>97</v>
      </c>
      <c r="B98" s="2" t="s">
        <v>390</v>
      </c>
      <c r="C98" s="2" t="s">
        <v>1609</v>
      </c>
      <c r="D98" s="2" t="s">
        <v>1610</v>
      </c>
      <c r="E98" s="2" t="s">
        <v>686</v>
      </c>
      <c r="F98" s="2" t="s">
        <v>810</v>
      </c>
      <c r="G98" s="2" t="s">
        <v>811</v>
      </c>
      <c r="H98" s="2" t="s">
        <v>1242</v>
      </c>
      <c r="I98" s="2" t="s">
        <v>2913</v>
      </c>
    </row>
    <row r="99" customFormat="false" ht="15" hidden="false" customHeight="false" outlineLevel="0" collapsed="false">
      <c r="A99" s="2" t="n">
        <v>98</v>
      </c>
      <c r="B99" s="2" t="s">
        <v>391</v>
      </c>
      <c r="C99" s="2" t="s">
        <v>1613</v>
      </c>
      <c r="D99" s="2" t="s">
        <v>1614</v>
      </c>
      <c r="E99" s="2" t="s">
        <v>686</v>
      </c>
      <c r="F99" s="2" t="s">
        <v>810</v>
      </c>
      <c r="G99" s="2" t="s">
        <v>811</v>
      </c>
      <c r="H99" s="2" t="s">
        <v>1242</v>
      </c>
      <c r="I99" s="2" t="s">
        <v>2913</v>
      </c>
    </row>
    <row r="100" customFormat="false" ht="15" hidden="false" customHeight="false" outlineLevel="0" collapsed="false">
      <c r="A100" s="2" t="n">
        <v>99</v>
      </c>
      <c r="B100" s="2" t="s">
        <v>393</v>
      </c>
      <c r="C100" s="2" t="s">
        <v>1617</v>
      </c>
      <c r="D100" s="2" t="s">
        <v>1618</v>
      </c>
      <c r="E100" s="2" t="s">
        <v>686</v>
      </c>
      <c r="F100" s="2" t="s">
        <v>810</v>
      </c>
      <c r="G100" s="2" t="s">
        <v>811</v>
      </c>
      <c r="H100" s="2" t="s">
        <v>1242</v>
      </c>
      <c r="I100" s="2" t="s">
        <v>2913</v>
      </c>
    </row>
    <row r="101" customFormat="false" ht="15" hidden="false" customHeight="false" outlineLevel="0" collapsed="false">
      <c r="A101" s="2" t="n">
        <v>100</v>
      </c>
      <c r="B101" s="2" t="s">
        <v>395</v>
      </c>
      <c r="C101" s="2" t="s">
        <v>1621</v>
      </c>
      <c r="D101" s="2" t="s">
        <v>1622</v>
      </c>
      <c r="E101" s="2" t="s">
        <v>686</v>
      </c>
      <c r="F101" s="2" t="s">
        <v>810</v>
      </c>
      <c r="G101" s="2" t="s">
        <v>811</v>
      </c>
      <c r="H101" s="2" t="s">
        <v>1242</v>
      </c>
      <c r="I101" s="2" t="s">
        <v>2913</v>
      </c>
    </row>
    <row r="102" customFormat="false" ht="15" hidden="false" customHeight="false" outlineLevel="0" collapsed="false">
      <c r="A102" s="2" t="n">
        <v>101</v>
      </c>
      <c r="B102" s="2" t="s">
        <v>397</v>
      </c>
      <c r="C102" s="2" t="s">
        <v>1625</v>
      </c>
      <c r="D102" s="2" t="s">
        <v>1626</v>
      </c>
      <c r="E102" s="2" t="s">
        <v>686</v>
      </c>
      <c r="F102" s="2" t="s">
        <v>810</v>
      </c>
      <c r="G102" s="2" t="s">
        <v>811</v>
      </c>
      <c r="H102" s="2" t="s">
        <v>1242</v>
      </c>
      <c r="I102" s="2" t="s">
        <v>2913</v>
      </c>
    </row>
    <row r="103" customFormat="false" ht="15" hidden="false" customHeight="false" outlineLevel="0" collapsed="false">
      <c r="A103" s="2" t="n">
        <v>102</v>
      </c>
      <c r="B103" s="2" t="s">
        <v>399</v>
      </c>
      <c r="C103" s="2" t="s">
        <v>1629</v>
      </c>
      <c r="D103" s="2" t="s">
        <v>1630</v>
      </c>
      <c r="E103" s="2" t="s">
        <v>686</v>
      </c>
      <c r="F103" s="2" t="s">
        <v>810</v>
      </c>
      <c r="G103" s="2" t="s">
        <v>811</v>
      </c>
      <c r="H103" s="2" t="s">
        <v>1242</v>
      </c>
      <c r="I103" s="2" t="s">
        <v>2913</v>
      </c>
    </row>
    <row r="104" customFormat="false" ht="15" hidden="false" customHeight="false" outlineLevel="0" collapsed="false">
      <c r="A104" s="2" t="n">
        <v>103</v>
      </c>
      <c r="B104" s="2" t="s">
        <v>401</v>
      </c>
      <c r="C104" s="2" t="s">
        <v>1633</v>
      </c>
      <c r="D104" s="2" t="s">
        <v>1634</v>
      </c>
      <c r="E104" s="2" t="s">
        <v>686</v>
      </c>
      <c r="F104" s="2" t="s">
        <v>810</v>
      </c>
      <c r="G104" s="2" t="s">
        <v>811</v>
      </c>
      <c r="H104" s="2" t="s">
        <v>1242</v>
      </c>
      <c r="I104" s="2" t="s">
        <v>2913</v>
      </c>
    </row>
    <row r="105" customFormat="false" ht="15" hidden="false" customHeight="false" outlineLevel="0" collapsed="false">
      <c r="A105" s="2" t="n">
        <v>104</v>
      </c>
      <c r="B105" s="2" t="s">
        <v>403</v>
      </c>
      <c r="C105" s="2" t="s">
        <v>1636</v>
      </c>
      <c r="D105" s="2" t="s">
        <v>1637</v>
      </c>
      <c r="E105" s="2" t="s">
        <v>686</v>
      </c>
      <c r="F105" s="2" t="s">
        <v>810</v>
      </c>
      <c r="G105" s="2" t="s">
        <v>811</v>
      </c>
      <c r="H105" s="2" t="s">
        <v>1242</v>
      </c>
      <c r="I105" s="2" t="s">
        <v>2913</v>
      </c>
    </row>
    <row r="106" customFormat="false" ht="15" hidden="false" customHeight="false" outlineLevel="0" collapsed="false">
      <c r="A106" s="2" t="n">
        <v>105</v>
      </c>
      <c r="B106" s="2" t="s">
        <v>404</v>
      </c>
      <c r="C106" s="2" t="s">
        <v>1640</v>
      </c>
      <c r="D106" s="2" t="s">
        <v>1641</v>
      </c>
      <c r="E106" s="2" t="s">
        <v>686</v>
      </c>
      <c r="F106" s="2" t="s">
        <v>810</v>
      </c>
      <c r="G106" s="2" t="s">
        <v>811</v>
      </c>
      <c r="H106" s="2" t="s">
        <v>1242</v>
      </c>
      <c r="I106" s="2" t="s">
        <v>2913</v>
      </c>
    </row>
    <row r="107" customFormat="false" ht="15" hidden="false" customHeight="false" outlineLevel="0" collapsed="false">
      <c r="A107" s="2" t="n">
        <v>106</v>
      </c>
      <c r="B107" s="2" t="s">
        <v>406</v>
      </c>
      <c r="C107" s="2" t="s">
        <v>1643</v>
      </c>
      <c r="D107" s="2" t="s">
        <v>1644</v>
      </c>
      <c r="E107" s="2" t="s">
        <v>686</v>
      </c>
      <c r="F107" s="2" t="s">
        <v>810</v>
      </c>
      <c r="G107" s="2" t="s">
        <v>811</v>
      </c>
      <c r="H107" s="2" t="s">
        <v>1242</v>
      </c>
      <c r="I107" s="2" t="s">
        <v>2913</v>
      </c>
    </row>
    <row r="108" customFormat="false" ht="15" hidden="false" customHeight="false" outlineLevel="0" collapsed="false">
      <c r="A108" s="2" t="n">
        <v>107</v>
      </c>
      <c r="B108" s="2" t="s">
        <v>408</v>
      </c>
      <c r="C108" s="2" t="s">
        <v>1646</v>
      </c>
      <c r="D108" s="2" t="s">
        <v>1647</v>
      </c>
      <c r="E108" s="2" t="s">
        <v>686</v>
      </c>
      <c r="F108" s="2" t="s">
        <v>810</v>
      </c>
      <c r="G108" s="2" t="s">
        <v>811</v>
      </c>
      <c r="H108" s="2" t="s">
        <v>1242</v>
      </c>
      <c r="I108" s="2" t="s">
        <v>2913</v>
      </c>
    </row>
    <row r="109" customFormat="false" ht="15" hidden="false" customHeight="false" outlineLevel="0" collapsed="false">
      <c r="A109" s="2" t="n">
        <v>108</v>
      </c>
      <c r="B109" s="2" t="s">
        <v>409</v>
      </c>
      <c r="C109" s="2" t="s">
        <v>1650</v>
      </c>
      <c r="D109" s="2" t="s">
        <v>1651</v>
      </c>
      <c r="E109" s="2" t="s">
        <v>686</v>
      </c>
      <c r="F109" s="2" t="s">
        <v>810</v>
      </c>
      <c r="G109" s="2" t="s">
        <v>811</v>
      </c>
      <c r="H109" s="2" t="s">
        <v>1242</v>
      </c>
      <c r="I109" s="2" t="s">
        <v>2913</v>
      </c>
    </row>
    <row r="110" customFormat="false" ht="15" hidden="false" customHeight="false" outlineLevel="0" collapsed="false">
      <c r="A110" s="2" t="n">
        <v>109</v>
      </c>
      <c r="B110" s="2" t="s">
        <v>411</v>
      </c>
      <c r="C110" s="2" t="s">
        <v>1653</v>
      </c>
      <c r="D110" s="2" t="s">
        <v>1654</v>
      </c>
      <c r="E110" s="2" t="s">
        <v>686</v>
      </c>
      <c r="F110" s="2" t="s">
        <v>810</v>
      </c>
      <c r="G110" s="2" t="s">
        <v>811</v>
      </c>
      <c r="H110" s="2" t="s">
        <v>1242</v>
      </c>
      <c r="I110" s="2" t="s">
        <v>2913</v>
      </c>
    </row>
    <row r="111" customFormat="false" ht="15" hidden="false" customHeight="false" outlineLevel="0" collapsed="false">
      <c r="A111" s="2" t="n">
        <v>110</v>
      </c>
      <c r="B111" s="2" t="s">
        <v>412</v>
      </c>
      <c r="C111" s="2" t="s">
        <v>1657</v>
      </c>
      <c r="D111" s="2" t="s">
        <v>1658</v>
      </c>
      <c r="E111" s="2" t="s">
        <v>686</v>
      </c>
      <c r="F111" s="2" t="s">
        <v>873</v>
      </c>
      <c r="G111" s="2" t="s">
        <v>874</v>
      </c>
      <c r="H111" s="2" t="s">
        <v>1242</v>
      </c>
      <c r="I111" s="2" t="s">
        <v>2913</v>
      </c>
    </row>
    <row r="112" customFormat="false" ht="15" hidden="false" customHeight="false" outlineLevel="0" collapsed="false">
      <c r="A112" s="2" t="n">
        <v>111</v>
      </c>
      <c r="B112" s="2" t="s">
        <v>414</v>
      </c>
      <c r="C112" s="2" t="s">
        <v>1660</v>
      </c>
      <c r="D112" s="2" t="s">
        <v>1661</v>
      </c>
      <c r="E112" s="2" t="s">
        <v>686</v>
      </c>
      <c r="F112" s="2" t="s">
        <v>873</v>
      </c>
      <c r="G112" s="2" t="s">
        <v>874</v>
      </c>
      <c r="H112" s="2" t="s">
        <v>1242</v>
      </c>
      <c r="I112" s="2" t="s">
        <v>2913</v>
      </c>
    </row>
    <row r="113" customFormat="false" ht="15" hidden="false" customHeight="false" outlineLevel="0" collapsed="false">
      <c r="A113" s="2" t="n">
        <v>112</v>
      </c>
      <c r="B113" s="2" t="s">
        <v>415</v>
      </c>
      <c r="C113" s="2" t="s">
        <v>1663</v>
      </c>
      <c r="D113" s="2" t="s">
        <v>1664</v>
      </c>
      <c r="E113" s="2" t="s">
        <v>686</v>
      </c>
      <c r="F113" s="2" t="s">
        <v>873</v>
      </c>
      <c r="G113" s="2" t="s">
        <v>874</v>
      </c>
      <c r="H113" s="2" t="s">
        <v>1242</v>
      </c>
      <c r="I113" s="2" t="s">
        <v>2913</v>
      </c>
    </row>
    <row r="114" customFormat="false" ht="15" hidden="false" customHeight="false" outlineLevel="0" collapsed="false">
      <c r="A114" s="2" t="n">
        <v>113</v>
      </c>
      <c r="B114" s="2" t="s">
        <v>416</v>
      </c>
      <c r="C114" s="2" t="s">
        <v>1667</v>
      </c>
      <c r="D114" s="2" t="s">
        <v>1668</v>
      </c>
      <c r="E114" s="2" t="s">
        <v>686</v>
      </c>
      <c r="F114" s="2" t="s">
        <v>873</v>
      </c>
      <c r="G114" s="2" t="s">
        <v>874</v>
      </c>
      <c r="H114" s="2" t="s">
        <v>1242</v>
      </c>
      <c r="I114" s="2" t="s">
        <v>2913</v>
      </c>
    </row>
    <row r="115" customFormat="false" ht="15" hidden="false" customHeight="false" outlineLevel="0" collapsed="false">
      <c r="A115" s="2" t="n">
        <v>114</v>
      </c>
      <c r="B115" s="2" t="s">
        <v>418</v>
      </c>
      <c r="C115" s="2" t="s">
        <v>1671</v>
      </c>
      <c r="D115" s="2" t="s">
        <v>1672</v>
      </c>
      <c r="E115" s="2" t="s">
        <v>686</v>
      </c>
      <c r="F115" s="2" t="s">
        <v>873</v>
      </c>
      <c r="G115" s="2" t="s">
        <v>874</v>
      </c>
      <c r="H115" s="2" t="s">
        <v>1242</v>
      </c>
      <c r="I115" s="2" t="s">
        <v>2913</v>
      </c>
    </row>
    <row r="116" customFormat="false" ht="15" hidden="false" customHeight="false" outlineLevel="0" collapsed="false">
      <c r="A116" s="2" t="n">
        <v>115</v>
      </c>
      <c r="B116" s="2" t="s">
        <v>420</v>
      </c>
      <c r="C116" s="2" t="s">
        <v>1675</v>
      </c>
      <c r="D116" s="2" t="s">
        <v>1676</v>
      </c>
      <c r="E116" s="2" t="s">
        <v>686</v>
      </c>
      <c r="F116" s="2" t="s">
        <v>873</v>
      </c>
      <c r="G116" s="2" t="s">
        <v>874</v>
      </c>
      <c r="H116" s="2" t="s">
        <v>1242</v>
      </c>
      <c r="I116" s="2" t="s">
        <v>2913</v>
      </c>
    </row>
    <row r="117" customFormat="false" ht="15" hidden="false" customHeight="false" outlineLevel="0" collapsed="false">
      <c r="A117" s="2" t="n">
        <v>116</v>
      </c>
      <c r="B117" s="2" t="s">
        <v>422</v>
      </c>
      <c r="C117" s="2" t="s">
        <v>1679</v>
      </c>
      <c r="D117" s="2" t="s">
        <v>1680</v>
      </c>
      <c r="E117" s="2" t="s">
        <v>686</v>
      </c>
      <c r="F117" s="2" t="s">
        <v>873</v>
      </c>
      <c r="G117" s="2" t="s">
        <v>874</v>
      </c>
      <c r="H117" s="2" t="s">
        <v>1242</v>
      </c>
      <c r="I117" s="2" t="s">
        <v>2913</v>
      </c>
    </row>
    <row r="118" customFormat="false" ht="15" hidden="false" customHeight="false" outlineLevel="0" collapsed="false">
      <c r="A118" s="2" t="n">
        <v>117</v>
      </c>
      <c r="B118" s="2" t="s">
        <v>424</v>
      </c>
      <c r="C118" s="2" t="s">
        <v>1683</v>
      </c>
      <c r="D118" s="2" t="s">
        <v>1684</v>
      </c>
      <c r="E118" s="2" t="s">
        <v>686</v>
      </c>
      <c r="F118" s="2" t="s">
        <v>873</v>
      </c>
      <c r="G118" s="2" t="s">
        <v>874</v>
      </c>
      <c r="H118" s="2" t="s">
        <v>1242</v>
      </c>
      <c r="I118" s="2" t="s">
        <v>2913</v>
      </c>
    </row>
    <row r="119" customFormat="false" ht="15" hidden="false" customHeight="false" outlineLevel="0" collapsed="false">
      <c r="A119" s="2" t="n">
        <v>118</v>
      </c>
      <c r="B119" s="2" t="s">
        <v>426</v>
      </c>
      <c r="C119" s="2" t="s">
        <v>1686</v>
      </c>
      <c r="D119" s="2" t="s">
        <v>1687</v>
      </c>
      <c r="E119" s="2" t="s">
        <v>686</v>
      </c>
      <c r="F119" s="2" t="s">
        <v>873</v>
      </c>
      <c r="G119" s="2" t="s">
        <v>874</v>
      </c>
      <c r="H119" s="2" t="s">
        <v>1242</v>
      </c>
      <c r="I119" s="2" t="s">
        <v>2913</v>
      </c>
    </row>
    <row r="120" customFormat="false" ht="15" hidden="false" customHeight="false" outlineLevel="0" collapsed="false">
      <c r="A120" s="2" t="n">
        <v>119</v>
      </c>
      <c r="B120" s="2" t="s">
        <v>427</v>
      </c>
      <c r="C120" s="2" t="s">
        <v>1690</v>
      </c>
      <c r="D120" s="2" t="s">
        <v>1691</v>
      </c>
      <c r="E120" s="2" t="s">
        <v>686</v>
      </c>
      <c r="F120" s="2" t="s">
        <v>873</v>
      </c>
      <c r="G120" s="2" t="s">
        <v>874</v>
      </c>
      <c r="H120" s="2" t="s">
        <v>1242</v>
      </c>
      <c r="I120" s="2" t="s">
        <v>2913</v>
      </c>
    </row>
    <row r="121" customFormat="false" ht="15" hidden="false" customHeight="false" outlineLevel="0" collapsed="false">
      <c r="A121" s="2" t="n">
        <v>120</v>
      </c>
      <c r="B121" s="2" t="s">
        <v>429</v>
      </c>
      <c r="C121" s="2" t="s">
        <v>1693</v>
      </c>
      <c r="D121" s="2" t="s">
        <v>1694</v>
      </c>
      <c r="E121" s="2" t="s">
        <v>686</v>
      </c>
      <c r="F121" s="2" t="s">
        <v>873</v>
      </c>
      <c r="G121" s="2" t="s">
        <v>874</v>
      </c>
      <c r="H121" s="2" t="s">
        <v>1242</v>
      </c>
      <c r="I121" s="2" t="s">
        <v>2913</v>
      </c>
    </row>
    <row r="122" customFormat="false" ht="15" hidden="false" customHeight="false" outlineLevel="0" collapsed="false">
      <c r="A122" s="2" t="n">
        <v>121</v>
      </c>
      <c r="B122" s="2" t="s">
        <v>430</v>
      </c>
      <c r="C122" s="2" t="s">
        <v>1696</v>
      </c>
      <c r="D122" s="2" t="s">
        <v>1697</v>
      </c>
      <c r="E122" s="2" t="s">
        <v>686</v>
      </c>
      <c r="F122" s="2" t="s">
        <v>873</v>
      </c>
      <c r="G122" s="2" t="s">
        <v>874</v>
      </c>
      <c r="H122" s="2" t="s">
        <v>1242</v>
      </c>
      <c r="I122" s="2" t="s">
        <v>2913</v>
      </c>
    </row>
    <row r="123" customFormat="false" ht="15" hidden="false" customHeight="false" outlineLevel="0" collapsed="false">
      <c r="A123" s="2" t="n">
        <v>122</v>
      </c>
      <c r="B123" s="2" t="s">
        <v>431</v>
      </c>
      <c r="C123" s="2" t="s">
        <v>1700</v>
      </c>
      <c r="D123" s="2" t="s">
        <v>1701</v>
      </c>
      <c r="E123" s="2" t="s">
        <v>686</v>
      </c>
      <c r="F123" s="2" t="s">
        <v>873</v>
      </c>
      <c r="G123" s="2" t="s">
        <v>874</v>
      </c>
      <c r="H123" s="2" t="s">
        <v>1242</v>
      </c>
      <c r="I123" s="2" t="s">
        <v>2913</v>
      </c>
    </row>
    <row r="124" customFormat="false" ht="15" hidden="false" customHeight="false" outlineLevel="0" collapsed="false">
      <c r="A124" s="2" t="n">
        <v>123</v>
      </c>
      <c r="B124" s="2" t="s">
        <v>432</v>
      </c>
      <c r="C124" s="2" t="s">
        <v>1704</v>
      </c>
      <c r="D124" s="2" t="s">
        <v>1705</v>
      </c>
      <c r="E124" s="2" t="s">
        <v>686</v>
      </c>
      <c r="F124" s="2" t="s">
        <v>873</v>
      </c>
      <c r="G124" s="2" t="s">
        <v>874</v>
      </c>
      <c r="H124" s="2" t="s">
        <v>1242</v>
      </c>
      <c r="I124" s="2" t="s">
        <v>2913</v>
      </c>
    </row>
    <row r="125" customFormat="false" ht="15" hidden="false" customHeight="false" outlineLevel="0" collapsed="false">
      <c r="A125" s="2" t="n">
        <v>124</v>
      </c>
      <c r="B125" s="2" t="s">
        <v>434</v>
      </c>
      <c r="C125" s="2" t="s">
        <v>1708</v>
      </c>
      <c r="D125" s="2" t="s">
        <v>1709</v>
      </c>
      <c r="E125" s="2" t="s">
        <v>686</v>
      </c>
      <c r="F125" s="2" t="s">
        <v>873</v>
      </c>
      <c r="G125" s="2" t="s">
        <v>874</v>
      </c>
      <c r="H125" s="2" t="s">
        <v>1242</v>
      </c>
      <c r="I125" s="2" t="s">
        <v>2913</v>
      </c>
    </row>
    <row r="126" customFormat="false" ht="15" hidden="false" customHeight="false" outlineLevel="0" collapsed="false">
      <c r="A126" s="2" t="n">
        <v>125</v>
      </c>
      <c r="B126" s="2" t="s">
        <v>435</v>
      </c>
      <c r="C126" s="2" t="s">
        <v>1712</v>
      </c>
      <c r="D126" s="2" t="s">
        <v>1713</v>
      </c>
      <c r="E126" s="2" t="s">
        <v>686</v>
      </c>
      <c r="F126" s="2" t="s">
        <v>873</v>
      </c>
      <c r="G126" s="2" t="s">
        <v>874</v>
      </c>
      <c r="H126" s="2" t="s">
        <v>1242</v>
      </c>
      <c r="I126" s="2" t="s">
        <v>2913</v>
      </c>
    </row>
    <row r="127" customFormat="false" ht="15" hidden="false" customHeight="false" outlineLevel="0" collapsed="false">
      <c r="A127" s="2" t="n">
        <v>126</v>
      </c>
      <c r="B127" s="2" t="s">
        <v>437</v>
      </c>
      <c r="C127" s="2" t="s">
        <v>1716</v>
      </c>
      <c r="D127" s="2" t="s">
        <v>1717</v>
      </c>
      <c r="E127" s="2" t="s">
        <v>686</v>
      </c>
      <c r="F127" s="2" t="s">
        <v>873</v>
      </c>
      <c r="G127" s="2" t="s">
        <v>874</v>
      </c>
      <c r="H127" s="2" t="s">
        <v>1242</v>
      </c>
      <c r="I127" s="2" t="s">
        <v>2913</v>
      </c>
    </row>
    <row r="128" customFormat="false" ht="15" hidden="false" customHeight="false" outlineLevel="0" collapsed="false">
      <c r="A128" s="2" t="n">
        <v>127</v>
      </c>
      <c r="B128" s="2" t="s">
        <v>439</v>
      </c>
      <c r="C128" s="2" t="s">
        <v>1720</v>
      </c>
      <c r="D128" s="2" t="s">
        <v>1721</v>
      </c>
      <c r="E128" s="2" t="s">
        <v>686</v>
      </c>
      <c r="F128" s="2" t="s">
        <v>873</v>
      </c>
      <c r="G128" s="2" t="s">
        <v>874</v>
      </c>
      <c r="H128" s="2" t="s">
        <v>1242</v>
      </c>
      <c r="I128" s="2" t="s">
        <v>2913</v>
      </c>
    </row>
    <row r="129" customFormat="false" ht="15" hidden="false" customHeight="false" outlineLevel="0" collapsed="false">
      <c r="A129" s="2" t="n">
        <v>128</v>
      </c>
      <c r="B129" s="2" t="s">
        <v>441</v>
      </c>
      <c r="C129" s="2" t="s">
        <v>1724</v>
      </c>
      <c r="D129" s="2" t="s">
        <v>1725</v>
      </c>
      <c r="E129" s="2" t="s">
        <v>686</v>
      </c>
      <c r="F129" s="2" t="s">
        <v>873</v>
      </c>
      <c r="G129" s="2" t="s">
        <v>874</v>
      </c>
      <c r="H129" s="2" t="s">
        <v>1242</v>
      </c>
      <c r="I129" s="2" t="s">
        <v>2913</v>
      </c>
    </row>
    <row r="130" customFormat="false" ht="15" hidden="false" customHeight="false" outlineLevel="0" collapsed="false">
      <c r="A130" s="2" t="n">
        <v>129</v>
      </c>
      <c r="B130" s="2" t="s">
        <v>443</v>
      </c>
      <c r="C130" s="2" t="s">
        <v>1728</v>
      </c>
      <c r="D130" s="2" t="s">
        <v>1729</v>
      </c>
      <c r="E130" s="2" t="s">
        <v>686</v>
      </c>
      <c r="F130" s="2" t="s">
        <v>873</v>
      </c>
      <c r="G130" s="2" t="s">
        <v>874</v>
      </c>
      <c r="H130" s="2" t="s">
        <v>1242</v>
      </c>
      <c r="I130" s="2" t="s">
        <v>2913</v>
      </c>
    </row>
    <row r="131" customFormat="false" ht="15" hidden="false" customHeight="false" outlineLevel="0" collapsed="false">
      <c r="A131" s="2" t="n">
        <v>130</v>
      </c>
      <c r="B131" s="2" t="s">
        <v>445</v>
      </c>
      <c r="C131" s="2" t="s">
        <v>1731</v>
      </c>
      <c r="D131" s="2" t="s">
        <v>1732</v>
      </c>
      <c r="E131" s="2" t="s">
        <v>686</v>
      </c>
      <c r="F131" s="2" t="s">
        <v>873</v>
      </c>
      <c r="G131" s="2" t="s">
        <v>874</v>
      </c>
      <c r="H131" s="2" t="s">
        <v>1242</v>
      </c>
      <c r="I131" s="2" t="s">
        <v>2913</v>
      </c>
    </row>
    <row r="132" customFormat="false" ht="15" hidden="false" customHeight="false" outlineLevel="0" collapsed="false">
      <c r="A132" s="2" t="n">
        <v>131</v>
      </c>
      <c r="B132" s="2" t="s">
        <v>446</v>
      </c>
      <c r="C132" s="2" t="s">
        <v>1734</v>
      </c>
      <c r="D132" s="2" t="s">
        <v>1735</v>
      </c>
      <c r="E132" s="2" t="s">
        <v>686</v>
      </c>
      <c r="F132" s="2" t="s">
        <v>873</v>
      </c>
      <c r="G132" s="2" t="s">
        <v>874</v>
      </c>
      <c r="H132" s="2" t="s">
        <v>1242</v>
      </c>
      <c r="I132" s="2" t="s">
        <v>2913</v>
      </c>
    </row>
    <row r="133" customFormat="false" ht="15" hidden="false" customHeight="false" outlineLevel="0" collapsed="false">
      <c r="A133" s="2" t="n">
        <v>132</v>
      </c>
      <c r="B133" s="2" t="s">
        <v>447</v>
      </c>
      <c r="C133" s="2" t="s">
        <v>1737</v>
      </c>
      <c r="D133" s="2" t="s">
        <v>1738</v>
      </c>
      <c r="E133" s="2" t="s">
        <v>686</v>
      </c>
      <c r="F133" s="2" t="s">
        <v>873</v>
      </c>
      <c r="G133" s="2" t="s">
        <v>874</v>
      </c>
      <c r="H133" s="2" t="s">
        <v>1242</v>
      </c>
      <c r="I133" s="2" t="s">
        <v>2913</v>
      </c>
    </row>
    <row r="134" customFormat="false" ht="15" hidden="false" customHeight="false" outlineLevel="0" collapsed="false">
      <c r="A134" s="2" t="n">
        <v>133</v>
      </c>
      <c r="B134" s="2" t="s">
        <v>449</v>
      </c>
      <c r="C134" s="2" t="s">
        <v>1741</v>
      </c>
      <c r="D134" s="2" t="s">
        <v>1742</v>
      </c>
      <c r="E134" s="2" t="s">
        <v>686</v>
      </c>
      <c r="F134" s="2" t="s">
        <v>873</v>
      </c>
      <c r="G134" s="2" t="s">
        <v>874</v>
      </c>
      <c r="H134" s="2" t="s">
        <v>1242</v>
      </c>
      <c r="I134" s="2" t="s">
        <v>2913</v>
      </c>
    </row>
    <row r="135" customFormat="false" ht="15" hidden="false" customHeight="false" outlineLevel="0" collapsed="false">
      <c r="A135" s="2" t="n">
        <v>134</v>
      </c>
      <c r="B135" s="2" t="s">
        <v>451</v>
      </c>
      <c r="C135" s="2" t="s">
        <v>1744</v>
      </c>
      <c r="D135" s="2" t="s">
        <v>1745</v>
      </c>
      <c r="E135" s="2" t="s">
        <v>686</v>
      </c>
      <c r="F135" s="2" t="s">
        <v>873</v>
      </c>
      <c r="G135" s="2" t="s">
        <v>874</v>
      </c>
      <c r="H135" s="2" t="s">
        <v>1242</v>
      </c>
      <c r="I135" s="2" t="s">
        <v>2913</v>
      </c>
    </row>
    <row r="136" customFormat="false" ht="15" hidden="false" customHeight="false" outlineLevel="0" collapsed="false">
      <c r="A136" s="2" t="n">
        <v>135</v>
      </c>
      <c r="B136" s="2" t="s">
        <v>452</v>
      </c>
      <c r="C136" s="2" t="s">
        <v>1747</v>
      </c>
      <c r="D136" s="2" t="s">
        <v>1748</v>
      </c>
      <c r="E136" s="2" t="s">
        <v>686</v>
      </c>
      <c r="F136" s="2" t="s">
        <v>873</v>
      </c>
      <c r="G136" s="2" t="s">
        <v>874</v>
      </c>
      <c r="H136" s="2" t="s">
        <v>1242</v>
      </c>
      <c r="I136" s="2" t="s">
        <v>2913</v>
      </c>
    </row>
    <row r="137" customFormat="false" ht="15" hidden="false" customHeight="false" outlineLevel="0" collapsed="false">
      <c r="A137" s="2" t="n">
        <v>136</v>
      </c>
      <c r="B137" s="2" t="s">
        <v>453</v>
      </c>
      <c r="C137" s="2" t="s">
        <v>1750</v>
      </c>
      <c r="D137" s="2" t="s">
        <v>1751</v>
      </c>
      <c r="E137" s="2" t="s">
        <v>686</v>
      </c>
      <c r="F137" s="2" t="s">
        <v>873</v>
      </c>
      <c r="G137" s="2" t="s">
        <v>874</v>
      </c>
      <c r="H137" s="2" t="s">
        <v>1242</v>
      </c>
      <c r="I137" s="2" t="s">
        <v>2913</v>
      </c>
    </row>
    <row r="138" customFormat="false" ht="15" hidden="false" customHeight="false" outlineLevel="0" collapsed="false">
      <c r="A138" s="2" t="n">
        <v>137</v>
      </c>
      <c r="B138" s="2" t="s">
        <v>454</v>
      </c>
      <c r="C138" s="2" t="s">
        <v>1754</v>
      </c>
      <c r="D138" s="2" t="s">
        <v>1755</v>
      </c>
      <c r="E138" s="2" t="s">
        <v>686</v>
      </c>
      <c r="F138" s="2" t="s">
        <v>873</v>
      </c>
      <c r="G138" s="2" t="s">
        <v>874</v>
      </c>
      <c r="H138" s="2" t="s">
        <v>1242</v>
      </c>
      <c r="I138" s="2" t="s">
        <v>2913</v>
      </c>
    </row>
    <row r="139" customFormat="false" ht="15" hidden="false" customHeight="false" outlineLevel="0" collapsed="false">
      <c r="A139" s="2" t="n">
        <v>138</v>
      </c>
      <c r="B139" s="2" t="s">
        <v>456</v>
      </c>
      <c r="C139" s="2" t="s">
        <v>1758</v>
      </c>
      <c r="D139" s="2" t="s">
        <v>1759</v>
      </c>
      <c r="E139" s="2" t="s">
        <v>686</v>
      </c>
      <c r="F139" s="2" t="s">
        <v>873</v>
      </c>
      <c r="G139" s="2" t="s">
        <v>874</v>
      </c>
      <c r="H139" s="2" t="s">
        <v>1242</v>
      </c>
      <c r="I139" s="2" t="s">
        <v>2913</v>
      </c>
    </row>
    <row r="140" customFormat="false" ht="15" hidden="false" customHeight="false" outlineLevel="0" collapsed="false">
      <c r="A140" s="2" t="n">
        <v>139</v>
      </c>
      <c r="B140" s="2" t="s">
        <v>458</v>
      </c>
      <c r="C140" s="2" t="s">
        <v>1761</v>
      </c>
      <c r="D140" s="2" t="s">
        <v>1762</v>
      </c>
      <c r="E140" s="2" t="s">
        <v>686</v>
      </c>
      <c r="F140" s="2" t="s">
        <v>873</v>
      </c>
      <c r="G140" s="2" t="s">
        <v>874</v>
      </c>
      <c r="H140" s="2" t="s">
        <v>1242</v>
      </c>
      <c r="I140" s="2" t="s">
        <v>2913</v>
      </c>
    </row>
    <row r="141" customFormat="false" ht="15" hidden="false" customHeight="false" outlineLevel="0" collapsed="false">
      <c r="A141" s="2" t="n">
        <v>140</v>
      </c>
      <c r="B141" s="2" t="s">
        <v>459</v>
      </c>
      <c r="C141" s="2" t="s">
        <v>1766</v>
      </c>
      <c r="D141" s="2" t="s">
        <v>1767</v>
      </c>
      <c r="E141" s="2" t="s">
        <v>686</v>
      </c>
      <c r="F141" s="2" t="s">
        <v>873</v>
      </c>
      <c r="G141" s="2" t="s">
        <v>912</v>
      </c>
      <c r="H141" s="2" t="s">
        <v>1242</v>
      </c>
      <c r="I141" s="2" t="s">
        <v>2913</v>
      </c>
    </row>
    <row r="142" customFormat="false" ht="15" hidden="false" customHeight="false" outlineLevel="0" collapsed="false">
      <c r="A142" s="2" t="n">
        <v>141</v>
      </c>
      <c r="B142" s="2" t="s">
        <v>463</v>
      </c>
      <c r="C142" s="2" t="s">
        <v>1771</v>
      </c>
      <c r="D142" s="2" t="s">
        <v>1772</v>
      </c>
      <c r="E142" s="2" t="s">
        <v>686</v>
      </c>
      <c r="F142" s="2" t="s">
        <v>873</v>
      </c>
      <c r="G142" s="2" t="s">
        <v>912</v>
      </c>
      <c r="H142" s="2" t="s">
        <v>1242</v>
      </c>
      <c r="I142" s="2" t="s">
        <v>2913</v>
      </c>
    </row>
    <row r="143" customFormat="false" ht="15" hidden="false" customHeight="false" outlineLevel="0" collapsed="false">
      <c r="A143" s="2" t="n">
        <v>142</v>
      </c>
      <c r="B143" s="2" t="s">
        <v>464</v>
      </c>
      <c r="C143" s="2" t="s">
        <v>1775</v>
      </c>
      <c r="D143" s="2" t="s">
        <v>1776</v>
      </c>
      <c r="E143" s="2" t="s">
        <v>686</v>
      </c>
      <c r="F143" s="2" t="s">
        <v>873</v>
      </c>
      <c r="G143" s="2" t="s">
        <v>912</v>
      </c>
      <c r="H143" s="2" t="s">
        <v>1242</v>
      </c>
      <c r="I143" s="2" t="s">
        <v>2913</v>
      </c>
    </row>
    <row r="144" customFormat="false" ht="15" hidden="false" customHeight="false" outlineLevel="0" collapsed="false">
      <c r="A144" s="2" t="n">
        <v>143</v>
      </c>
      <c r="B144" s="2" t="s">
        <v>466</v>
      </c>
      <c r="C144" s="2" t="s">
        <v>1779</v>
      </c>
      <c r="D144" s="2" t="s">
        <v>1780</v>
      </c>
      <c r="E144" s="2" t="s">
        <v>686</v>
      </c>
      <c r="F144" s="2" t="s">
        <v>873</v>
      </c>
      <c r="G144" s="2" t="s">
        <v>912</v>
      </c>
      <c r="H144" s="2" t="s">
        <v>1242</v>
      </c>
      <c r="I144" s="2" t="s">
        <v>2913</v>
      </c>
    </row>
    <row r="145" customFormat="false" ht="15" hidden="false" customHeight="false" outlineLevel="0" collapsed="false">
      <c r="A145" s="2" t="n">
        <v>144</v>
      </c>
      <c r="B145" s="2" t="s">
        <v>467</v>
      </c>
      <c r="C145" s="2" t="s">
        <v>1782</v>
      </c>
      <c r="D145" s="2" t="s">
        <v>1783</v>
      </c>
      <c r="E145" s="2" t="s">
        <v>686</v>
      </c>
      <c r="F145" s="2" t="s">
        <v>873</v>
      </c>
      <c r="G145" s="2" t="s">
        <v>912</v>
      </c>
      <c r="H145" s="2" t="s">
        <v>1242</v>
      </c>
      <c r="I145" s="2" t="s">
        <v>2913</v>
      </c>
    </row>
    <row r="146" customFormat="false" ht="15" hidden="false" customHeight="false" outlineLevel="0" collapsed="false">
      <c r="A146" s="2" t="n">
        <v>145</v>
      </c>
      <c r="B146" s="2" t="s">
        <v>468</v>
      </c>
      <c r="C146" s="2" t="s">
        <v>1785</v>
      </c>
      <c r="D146" s="2" t="s">
        <v>1786</v>
      </c>
      <c r="E146" s="2" t="s">
        <v>686</v>
      </c>
      <c r="F146" s="2" t="s">
        <v>873</v>
      </c>
      <c r="G146" s="2" t="s">
        <v>912</v>
      </c>
      <c r="H146" s="2" t="s">
        <v>1242</v>
      </c>
      <c r="I146" s="2" t="s">
        <v>2913</v>
      </c>
    </row>
    <row r="147" customFormat="false" ht="15" hidden="false" customHeight="false" outlineLevel="0" collapsed="false">
      <c r="A147" s="2" t="n">
        <v>146</v>
      </c>
      <c r="B147" s="2" t="s">
        <v>469</v>
      </c>
      <c r="C147" s="2" t="s">
        <v>1788</v>
      </c>
      <c r="D147" s="2" t="s">
        <v>1789</v>
      </c>
      <c r="E147" s="2" t="s">
        <v>686</v>
      </c>
      <c r="F147" s="2" t="s">
        <v>873</v>
      </c>
      <c r="G147" s="2" t="s">
        <v>912</v>
      </c>
      <c r="H147" s="2" t="s">
        <v>1242</v>
      </c>
      <c r="I147" s="2" t="s">
        <v>2913</v>
      </c>
    </row>
    <row r="148" customFormat="false" ht="15" hidden="false" customHeight="false" outlineLevel="0" collapsed="false">
      <c r="A148" s="2" t="n">
        <v>147</v>
      </c>
      <c r="B148" s="2" t="s">
        <v>470</v>
      </c>
      <c r="C148" s="2" t="s">
        <v>1791</v>
      </c>
      <c r="D148" s="2" t="s">
        <v>1792</v>
      </c>
      <c r="E148" s="2" t="s">
        <v>686</v>
      </c>
      <c r="F148" s="2" t="s">
        <v>873</v>
      </c>
      <c r="G148" s="2" t="s">
        <v>912</v>
      </c>
      <c r="H148" s="2" t="s">
        <v>1242</v>
      </c>
      <c r="I148" s="2" t="s">
        <v>2913</v>
      </c>
    </row>
    <row r="149" customFormat="false" ht="15" hidden="false" customHeight="false" outlineLevel="0" collapsed="false">
      <c r="A149" s="2" t="n">
        <v>148</v>
      </c>
      <c r="B149" s="2" t="s">
        <v>471</v>
      </c>
      <c r="C149" s="2" t="s">
        <v>1795</v>
      </c>
      <c r="D149" s="2" t="s">
        <v>1796</v>
      </c>
      <c r="E149" s="2" t="s">
        <v>686</v>
      </c>
      <c r="F149" s="2" t="s">
        <v>873</v>
      </c>
      <c r="G149" s="2" t="s">
        <v>912</v>
      </c>
      <c r="H149" s="2" t="s">
        <v>1242</v>
      </c>
      <c r="I149" s="2" t="s">
        <v>2913</v>
      </c>
    </row>
    <row r="150" customFormat="false" ht="15" hidden="false" customHeight="false" outlineLevel="0" collapsed="false">
      <c r="A150" s="2" t="n">
        <v>149</v>
      </c>
      <c r="B150" s="2" t="s">
        <v>473</v>
      </c>
      <c r="C150" s="2" t="s">
        <v>1799</v>
      </c>
      <c r="D150" s="2" t="s">
        <v>1800</v>
      </c>
      <c r="E150" s="2" t="s">
        <v>686</v>
      </c>
      <c r="F150" s="2" t="s">
        <v>873</v>
      </c>
      <c r="G150" s="2" t="s">
        <v>912</v>
      </c>
      <c r="H150" s="2" t="s">
        <v>1242</v>
      </c>
      <c r="I150" s="2" t="s">
        <v>2913</v>
      </c>
    </row>
    <row r="151" customFormat="false" ht="15" hidden="false" customHeight="false" outlineLevel="0" collapsed="false">
      <c r="A151" s="2" t="n">
        <v>150</v>
      </c>
      <c r="B151" s="2" t="s">
        <v>475</v>
      </c>
      <c r="C151" s="2" t="s">
        <v>1804</v>
      </c>
      <c r="D151" s="2" t="s">
        <v>1805</v>
      </c>
      <c r="E151" s="2" t="s">
        <v>686</v>
      </c>
      <c r="F151" s="2" t="s">
        <v>873</v>
      </c>
      <c r="G151" s="2" t="s">
        <v>912</v>
      </c>
      <c r="H151" s="2" t="s">
        <v>1242</v>
      </c>
      <c r="I151" s="2" t="s">
        <v>2913</v>
      </c>
    </row>
    <row r="152" customFormat="false" ht="15" hidden="false" customHeight="false" outlineLevel="0" collapsed="false">
      <c r="A152" s="2" t="n">
        <v>151</v>
      </c>
      <c r="B152" s="2" t="s">
        <v>477</v>
      </c>
      <c r="C152" s="2" t="s">
        <v>1808</v>
      </c>
      <c r="D152" s="2" t="s">
        <v>1809</v>
      </c>
      <c r="E152" s="2" t="s">
        <v>686</v>
      </c>
      <c r="F152" s="2" t="s">
        <v>873</v>
      </c>
      <c r="G152" s="2" t="s">
        <v>912</v>
      </c>
      <c r="H152" s="2" t="s">
        <v>1242</v>
      </c>
      <c r="I152" s="2" t="s">
        <v>2913</v>
      </c>
    </row>
    <row r="153" customFormat="false" ht="15" hidden="false" customHeight="false" outlineLevel="0" collapsed="false">
      <c r="A153" s="2" t="n">
        <v>152</v>
      </c>
      <c r="B153" s="2" t="s">
        <v>478</v>
      </c>
      <c r="C153" s="2" t="s">
        <v>1812</v>
      </c>
      <c r="D153" s="2" t="s">
        <v>1813</v>
      </c>
      <c r="E153" s="2" t="s">
        <v>686</v>
      </c>
      <c r="F153" s="2" t="s">
        <v>873</v>
      </c>
      <c r="G153" s="2" t="s">
        <v>912</v>
      </c>
      <c r="H153" s="2" t="s">
        <v>1242</v>
      </c>
      <c r="I153" s="2" t="s">
        <v>2913</v>
      </c>
    </row>
    <row r="154" customFormat="false" ht="15" hidden="false" customHeight="false" outlineLevel="0" collapsed="false">
      <c r="A154" s="2" t="n">
        <v>153</v>
      </c>
      <c r="B154" s="2" t="s">
        <v>480</v>
      </c>
      <c r="C154" s="2" t="s">
        <v>1816</v>
      </c>
      <c r="D154" s="2" t="s">
        <v>1817</v>
      </c>
      <c r="E154" s="2" t="s">
        <v>686</v>
      </c>
      <c r="F154" s="2" t="s">
        <v>873</v>
      </c>
      <c r="G154" s="2" t="s">
        <v>912</v>
      </c>
      <c r="H154" s="2" t="s">
        <v>1242</v>
      </c>
      <c r="I154" s="2" t="s">
        <v>2913</v>
      </c>
    </row>
    <row r="155" customFormat="false" ht="15" hidden="false" customHeight="false" outlineLevel="0" collapsed="false">
      <c r="A155" s="2" t="n">
        <v>154</v>
      </c>
      <c r="B155" s="2" t="s">
        <v>482</v>
      </c>
      <c r="C155" s="2" t="s">
        <v>1819</v>
      </c>
      <c r="D155" s="2" t="s">
        <v>1820</v>
      </c>
      <c r="E155" s="2" t="s">
        <v>686</v>
      </c>
      <c r="F155" s="2" t="s">
        <v>873</v>
      </c>
      <c r="G155" s="2" t="s">
        <v>912</v>
      </c>
      <c r="H155" s="2" t="s">
        <v>1242</v>
      </c>
      <c r="I155" s="2" t="s">
        <v>2913</v>
      </c>
    </row>
    <row r="156" customFormat="false" ht="15" hidden="false" customHeight="false" outlineLevel="0" collapsed="false">
      <c r="A156" s="2" t="n">
        <v>155</v>
      </c>
      <c r="B156" s="2" t="s">
        <v>483</v>
      </c>
      <c r="C156" s="2" t="s">
        <v>1823</v>
      </c>
      <c r="D156" s="2" t="s">
        <v>1824</v>
      </c>
      <c r="E156" s="2" t="s">
        <v>686</v>
      </c>
      <c r="F156" s="2" t="s">
        <v>873</v>
      </c>
      <c r="G156" s="2" t="s">
        <v>912</v>
      </c>
      <c r="H156" s="2" t="s">
        <v>1242</v>
      </c>
      <c r="I156" s="2" t="s">
        <v>2913</v>
      </c>
    </row>
    <row r="157" customFormat="false" ht="15" hidden="false" customHeight="false" outlineLevel="0" collapsed="false">
      <c r="A157" s="2" t="n">
        <v>156</v>
      </c>
      <c r="B157" s="2" t="s">
        <v>485</v>
      </c>
      <c r="C157" s="2" t="s">
        <v>1826</v>
      </c>
      <c r="D157" s="2" t="s">
        <v>1827</v>
      </c>
      <c r="E157" s="2" t="s">
        <v>686</v>
      </c>
      <c r="F157" s="2" t="s">
        <v>873</v>
      </c>
      <c r="G157" s="2" t="s">
        <v>912</v>
      </c>
      <c r="H157" s="2" t="s">
        <v>1242</v>
      </c>
      <c r="I157" s="2" t="s">
        <v>2913</v>
      </c>
    </row>
    <row r="158" customFormat="false" ht="15" hidden="false" customHeight="false" outlineLevel="0" collapsed="false">
      <c r="A158" s="2" t="n">
        <v>157</v>
      </c>
      <c r="B158" s="2" t="s">
        <v>486</v>
      </c>
      <c r="C158" s="2" t="s">
        <v>1829</v>
      </c>
      <c r="D158" s="2" t="s">
        <v>1830</v>
      </c>
      <c r="E158" s="2" t="s">
        <v>686</v>
      </c>
      <c r="F158" s="2" t="s">
        <v>873</v>
      </c>
      <c r="G158" s="2" t="s">
        <v>912</v>
      </c>
      <c r="H158" s="2" t="s">
        <v>1242</v>
      </c>
      <c r="I158" s="2" t="s">
        <v>2913</v>
      </c>
    </row>
    <row r="159" customFormat="false" ht="15" hidden="false" customHeight="false" outlineLevel="0" collapsed="false">
      <c r="A159" s="2" t="n">
        <v>158</v>
      </c>
      <c r="B159" s="2" t="s">
        <v>487</v>
      </c>
      <c r="C159" s="2" t="s">
        <v>1832</v>
      </c>
      <c r="D159" s="2" t="s">
        <v>1833</v>
      </c>
      <c r="E159" s="2" t="s">
        <v>686</v>
      </c>
      <c r="F159" s="2" t="s">
        <v>873</v>
      </c>
      <c r="G159" s="2" t="s">
        <v>912</v>
      </c>
      <c r="H159" s="2" t="s">
        <v>1242</v>
      </c>
      <c r="I159" s="2" t="s">
        <v>2913</v>
      </c>
    </row>
    <row r="160" customFormat="false" ht="15" hidden="false" customHeight="false" outlineLevel="0" collapsed="false">
      <c r="A160" s="2" t="n">
        <v>159</v>
      </c>
      <c r="B160" s="2" t="s">
        <v>488</v>
      </c>
      <c r="C160" s="2" t="s">
        <v>1836</v>
      </c>
      <c r="D160" s="2" t="s">
        <v>1837</v>
      </c>
      <c r="E160" s="2" t="s">
        <v>686</v>
      </c>
      <c r="F160" s="2" t="s">
        <v>873</v>
      </c>
      <c r="G160" s="2" t="s">
        <v>912</v>
      </c>
      <c r="H160" s="2" t="s">
        <v>1242</v>
      </c>
      <c r="I160" s="2" t="s">
        <v>2913</v>
      </c>
    </row>
    <row r="161" customFormat="false" ht="15" hidden="false" customHeight="false" outlineLevel="0" collapsed="false">
      <c r="A161" s="2" t="n">
        <v>160</v>
      </c>
      <c r="B161" s="2" t="s">
        <v>490</v>
      </c>
      <c r="C161" s="2" t="s">
        <v>1839</v>
      </c>
      <c r="D161" s="2" t="s">
        <v>1840</v>
      </c>
      <c r="E161" s="2" t="s">
        <v>686</v>
      </c>
      <c r="F161" s="2" t="s">
        <v>873</v>
      </c>
      <c r="G161" s="2" t="s">
        <v>912</v>
      </c>
      <c r="H161" s="2" t="s">
        <v>1242</v>
      </c>
      <c r="I161" s="2" t="s">
        <v>2913</v>
      </c>
    </row>
    <row r="162" customFormat="false" ht="15" hidden="false" customHeight="false" outlineLevel="0" collapsed="false">
      <c r="A162" s="2" t="n">
        <v>161</v>
      </c>
      <c r="B162" s="2" t="s">
        <v>491</v>
      </c>
      <c r="C162" s="2" t="s">
        <v>1844</v>
      </c>
      <c r="D162" s="2" t="s">
        <v>1845</v>
      </c>
      <c r="E162" s="2" t="s">
        <v>686</v>
      </c>
      <c r="F162" s="2" t="s">
        <v>873</v>
      </c>
      <c r="G162" s="2" t="s">
        <v>912</v>
      </c>
      <c r="H162" s="2" t="s">
        <v>1242</v>
      </c>
      <c r="I162" s="2" t="s">
        <v>2913</v>
      </c>
    </row>
    <row r="163" customFormat="false" ht="15" hidden="false" customHeight="false" outlineLevel="0" collapsed="false">
      <c r="A163" s="2" t="n">
        <v>162</v>
      </c>
      <c r="B163" s="2" t="s">
        <v>493</v>
      </c>
      <c r="C163" s="2" t="s">
        <v>1848</v>
      </c>
      <c r="D163" s="2" t="s">
        <v>1849</v>
      </c>
      <c r="E163" s="2" t="s">
        <v>686</v>
      </c>
      <c r="F163" s="2" t="s">
        <v>873</v>
      </c>
      <c r="G163" s="2" t="s">
        <v>912</v>
      </c>
      <c r="H163" s="2" t="s">
        <v>1242</v>
      </c>
      <c r="I163" s="2" t="s">
        <v>2913</v>
      </c>
    </row>
    <row r="164" customFormat="false" ht="15" hidden="false" customHeight="false" outlineLevel="0" collapsed="false">
      <c r="A164" s="2" t="n">
        <v>163</v>
      </c>
      <c r="B164" s="2" t="s">
        <v>496</v>
      </c>
      <c r="C164" s="2" t="s">
        <v>1851</v>
      </c>
      <c r="D164" s="2" t="s">
        <v>1852</v>
      </c>
      <c r="E164" s="2" t="s">
        <v>686</v>
      </c>
      <c r="F164" s="2" t="s">
        <v>873</v>
      </c>
      <c r="G164" s="2" t="s">
        <v>912</v>
      </c>
      <c r="H164" s="2" t="s">
        <v>1242</v>
      </c>
      <c r="I164" s="2" t="s">
        <v>2913</v>
      </c>
    </row>
    <row r="165" customFormat="false" ht="15" hidden="false" customHeight="false" outlineLevel="0" collapsed="false">
      <c r="A165" s="2" t="n">
        <v>164</v>
      </c>
      <c r="B165" s="2" t="s">
        <v>497</v>
      </c>
      <c r="C165" s="2" t="s">
        <v>1855</v>
      </c>
      <c r="D165" s="2" t="s">
        <v>1856</v>
      </c>
      <c r="E165" s="2" t="s">
        <v>686</v>
      </c>
      <c r="F165" s="2" t="s">
        <v>873</v>
      </c>
      <c r="G165" s="2" t="s">
        <v>912</v>
      </c>
      <c r="H165" s="2" t="s">
        <v>1242</v>
      </c>
      <c r="I165" s="2" t="s">
        <v>2913</v>
      </c>
    </row>
    <row r="166" customFormat="false" ht="15" hidden="false" customHeight="false" outlineLevel="0" collapsed="false">
      <c r="A166" s="2" t="n">
        <v>165</v>
      </c>
      <c r="B166" s="2" t="s">
        <v>498</v>
      </c>
      <c r="C166" s="2" t="s">
        <v>1858</v>
      </c>
      <c r="D166" s="2" t="s">
        <v>1859</v>
      </c>
      <c r="E166" s="2" t="s">
        <v>686</v>
      </c>
      <c r="F166" s="2" t="s">
        <v>873</v>
      </c>
      <c r="G166" s="2" t="s">
        <v>912</v>
      </c>
      <c r="H166" s="2" t="s">
        <v>1242</v>
      </c>
      <c r="I166" s="2" t="s">
        <v>2913</v>
      </c>
    </row>
    <row r="167" customFormat="false" ht="15" hidden="false" customHeight="false" outlineLevel="0" collapsed="false">
      <c r="A167" s="2" t="n">
        <v>166</v>
      </c>
      <c r="B167" s="2" t="s">
        <v>499</v>
      </c>
      <c r="C167" s="2" t="s">
        <v>1861</v>
      </c>
      <c r="D167" s="2" t="s">
        <v>1862</v>
      </c>
      <c r="E167" s="2" t="s">
        <v>686</v>
      </c>
      <c r="F167" s="2" t="s">
        <v>873</v>
      </c>
      <c r="G167" s="2" t="s">
        <v>912</v>
      </c>
      <c r="H167" s="2" t="s">
        <v>1242</v>
      </c>
      <c r="I167" s="2" t="s">
        <v>2913</v>
      </c>
    </row>
    <row r="168" customFormat="false" ht="15" hidden="false" customHeight="false" outlineLevel="0" collapsed="false">
      <c r="A168" s="2" t="n">
        <v>167</v>
      </c>
      <c r="B168" s="2" t="s">
        <v>500</v>
      </c>
      <c r="C168" s="2" t="s">
        <v>1864</v>
      </c>
      <c r="D168" s="2" t="s">
        <v>1865</v>
      </c>
      <c r="E168" s="2" t="s">
        <v>686</v>
      </c>
      <c r="F168" s="2" t="s">
        <v>873</v>
      </c>
      <c r="G168" s="2" t="s">
        <v>912</v>
      </c>
      <c r="H168" s="2" t="s">
        <v>1242</v>
      </c>
      <c r="I168" s="2" t="s">
        <v>2913</v>
      </c>
    </row>
    <row r="169" customFormat="false" ht="15" hidden="false" customHeight="false" outlineLevel="0" collapsed="false">
      <c r="A169" s="2" t="n">
        <v>168</v>
      </c>
      <c r="B169" s="2" t="s">
        <v>501</v>
      </c>
      <c r="C169" s="2" t="s">
        <v>1868</v>
      </c>
      <c r="D169" s="2" t="s">
        <v>1869</v>
      </c>
      <c r="E169" s="2" t="s">
        <v>686</v>
      </c>
      <c r="F169" s="2" t="s">
        <v>873</v>
      </c>
      <c r="G169" s="2" t="s">
        <v>912</v>
      </c>
      <c r="H169" s="2" t="s">
        <v>1242</v>
      </c>
      <c r="I169" s="2" t="s">
        <v>2913</v>
      </c>
    </row>
    <row r="170" customFormat="false" ht="15" hidden="false" customHeight="false" outlineLevel="0" collapsed="false">
      <c r="A170" s="2" t="n">
        <v>169</v>
      </c>
      <c r="B170" s="2" t="s">
        <v>503</v>
      </c>
      <c r="C170" s="2" t="s">
        <v>1871</v>
      </c>
      <c r="D170" s="2" t="s">
        <v>1872</v>
      </c>
      <c r="E170" s="2" t="s">
        <v>686</v>
      </c>
      <c r="F170" s="2" t="s">
        <v>873</v>
      </c>
      <c r="G170" s="2" t="s">
        <v>912</v>
      </c>
      <c r="H170" s="2" t="s">
        <v>1242</v>
      </c>
      <c r="I170" s="2" t="s">
        <v>2913</v>
      </c>
    </row>
    <row r="171" customFormat="false" ht="15" hidden="false" customHeight="false" outlineLevel="0" collapsed="false">
      <c r="A171" s="2" t="n">
        <v>170</v>
      </c>
      <c r="B171" s="2" t="s">
        <v>504</v>
      </c>
      <c r="C171" s="2" t="s">
        <v>1875</v>
      </c>
      <c r="D171" s="2" t="s">
        <v>1876</v>
      </c>
      <c r="E171" s="2" t="s">
        <v>686</v>
      </c>
      <c r="F171" s="2" t="s">
        <v>873</v>
      </c>
      <c r="G171" s="2" t="s">
        <v>912</v>
      </c>
      <c r="H171" s="2" t="s">
        <v>1242</v>
      </c>
      <c r="I171" s="2" t="s">
        <v>2913</v>
      </c>
    </row>
    <row r="172" customFormat="false" ht="15" hidden="false" customHeight="false" outlineLevel="0" collapsed="false">
      <c r="A172" s="2" t="n">
        <v>171</v>
      </c>
      <c r="B172" s="2" t="s">
        <v>506</v>
      </c>
      <c r="C172" s="2" t="s">
        <v>1879</v>
      </c>
      <c r="D172" s="2" t="s">
        <v>1880</v>
      </c>
      <c r="E172" s="2" t="s">
        <v>686</v>
      </c>
      <c r="F172" s="2" t="s">
        <v>873</v>
      </c>
      <c r="G172" s="2" t="s">
        <v>912</v>
      </c>
      <c r="H172" s="2" t="s">
        <v>1242</v>
      </c>
      <c r="I172" s="2" t="s">
        <v>2913</v>
      </c>
    </row>
    <row r="173" customFormat="false" ht="15" hidden="false" customHeight="false" outlineLevel="0" collapsed="false">
      <c r="A173" s="2" t="n">
        <v>172</v>
      </c>
      <c r="B173" s="2" t="s">
        <v>508</v>
      </c>
      <c r="C173" s="2" t="s">
        <v>1882</v>
      </c>
      <c r="D173" s="2" t="s">
        <v>1883</v>
      </c>
      <c r="E173" s="2" t="s">
        <v>686</v>
      </c>
      <c r="F173" s="2" t="s">
        <v>873</v>
      </c>
      <c r="G173" s="2" t="s">
        <v>912</v>
      </c>
      <c r="H173" s="2" t="s">
        <v>1242</v>
      </c>
      <c r="I173" s="2" t="s">
        <v>2913</v>
      </c>
    </row>
    <row r="174" customFormat="false" ht="15" hidden="false" customHeight="false" outlineLevel="0" collapsed="false">
      <c r="A174" s="2" t="n">
        <v>173</v>
      </c>
      <c r="B174" s="2" t="s">
        <v>509</v>
      </c>
      <c r="C174" s="2" t="s">
        <v>1886</v>
      </c>
      <c r="D174" s="2" t="s">
        <v>1887</v>
      </c>
      <c r="E174" s="2" t="s">
        <v>686</v>
      </c>
      <c r="F174" s="2" t="s">
        <v>873</v>
      </c>
      <c r="G174" s="2" t="s">
        <v>912</v>
      </c>
      <c r="H174" s="2" t="s">
        <v>1242</v>
      </c>
      <c r="I174" s="2" t="s">
        <v>2913</v>
      </c>
    </row>
    <row r="175" customFormat="false" ht="15" hidden="false" customHeight="false" outlineLevel="0" collapsed="false">
      <c r="A175" s="2" t="n">
        <v>174</v>
      </c>
      <c r="B175" s="2" t="s">
        <v>511</v>
      </c>
      <c r="C175" s="2" t="s">
        <v>1890</v>
      </c>
      <c r="D175" s="2" t="s">
        <v>1891</v>
      </c>
      <c r="E175" s="2" t="s">
        <v>686</v>
      </c>
      <c r="F175" s="2" t="s">
        <v>873</v>
      </c>
      <c r="G175" s="2" t="s">
        <v>912</v>
      </c>
      <c r="H175" s="2" t="s">
        <v>1242</v>
      </c>
      <c r="I175" s="2" t="s">
        <v>2913</v>
      </c>
    </row>
    <row r="176" customFormat="false" ht="15" hidden="false" customHeight="false" outlineLevel="0" collapsed="false">
      <c r="A176" s="2" t="n">
        <v>175</v>
      </c>
      <c r="B176" s="2" t="s">
        <v>512</v>
      </c>
      <c r="C176" s="2" t="s">
        <v>1894</v>
      </c>
      <c r="D176" s="2" t="s">
        <v>1895</v>
      </c>
      <c r="E176" s="2" t="s">
        <v>686</v>
      </c>
      <c r="F176" s="2" t="s">
        <v>873</v>
      </c>
      <c r="G176" s="2" t="s">
        <v>912</v>
      </c>
      <c r="H176" s="2" t="s">
        <v>1242</v>
      </c>
      <c r="I176" s="2" t="s">
        <v>2913</v>
      </c>
    </row>
    <row r="177" customFormat="false" ht="15" hidden="false" customHeight="false" outlineLevel="0" collapsed="false">
      <c r="A177" s="2" t="n">
        <v>176</v>
      </c>
      <c r="B177" s="2" t="s">
        <v>514</v>
      </c>
      <c r="C177" s="2" t="s">
        <v>1898</v>
      </c>
      <c r="D177" s="2" t="s">
        <v>1899</v>
      </c>
      <c r="E177" s="2" t="s">
        <v>686</v>
      </c>
      <c r="F177" s="2" t="s">
        <v>873</v>
      </c>
      <c r="G177" s="2" t="s">
        <v>912</v>
      </c>
      <c r="H177" s="2" t="s">
        <v>1242</v>
      </c>
      <c r="I177" s="2" t="s">
        <v>2913</v>
      </c>
    </row>
    <row r="178" customFormat="false" ht="15" hidden="false" customHeight="false" outlineLevel="0" collapsed="false">
      <c r="A178" s="2" t="n">
        <v>177</v>
      </c>
      <c r="B178" s="2" t="s">
        <v>516</v>
      </c>
      <c r="C178" s="2" t="s">
        <v>1902</v>
      </c>
      <c r="D178" s="2" t="s">
        <v>1903</v>
      </c>
      <c r="E178" s="2" t="s">
        <v>686</v>
      </c>
      <c r="F178" s="2" t="s">
        <v>873</v>
      </c>
      <c r="G178" s="2" t="s">
        <v>912</v>
      </c>
      <c r="H178" s="2" t="s">
        <v>1242</v>
      </c>
      <c r="I178" s="2" t="s">
        <v>2913</v>
      </c>
    </row>
    <row r="179" customFormat="false" ht="15" hidden="false" customHeight="false" outlineLevel="0" collapsed="false">
      <c r="A179" s="2" t="n">
        <v>178</v>
      </c>
      <c r="B179" s="2" t="s">
        <v>517</v>
      </c>
      <c r="C179" s="2" t="s">
        <v>1905</v>
      </c>
      <c r="D179" s="2" t="s">
        <v>1906</v>
      </c>
      <c r="E179" s="2" t="s">
        <v>686</v>
      </c>
      <c r="F179" s="2" t="s">
        <v>873</v>
      </c>
      <c r="G179" s="2" t="s">
        <v>912</v>
      </c>
      <c r="H179" s="2" t="s">
        <v>1242</v>
      </c>
      <c r="I179" s="2" t="s">
        <v>2913</v>
      </c>
    </row>
    <row r="180" customFormat="false" ht="15" hidden="false" customHeight="false" outlineLevel="0" collapsed="false">
      <c r="A180" s="2" t="n">
        <v>179</v>
      </c>
      <c r="B180" s="2" t="s">
        <v>518</v>
      </c>
      <c r="C180" s="2" t="s">
        <v>1910</v>
      </c>
      <c r="D180" s="2" t="s">
        <v>1911</v>
      </c>
      <c r="E180" s="2" t="s">
        <v>686</v>
      </c>
      <c r="F180" s="2" t="s">
        <v>873</v>
      </c>
      <c r="G180" s="2" t="s">
        <v>912</v>
      </c>
      <c r="H180" s="2" t="s">
        <v>1242</v>
      </c>
      <c r="I180" s="2" t="s">
        <v>2913</v>
      </c>
    </row>
    <row r="181" customFormat="false" ht="15" hidden="false" customHeight="false" outlineLevel="0" collapsed="false">
      <c r="A181" s="2" t="n">
        <v>180</v>
      </c>
      <c r="B181" s="2" t="s">
        <v>520</v>
      </c>
      <c r="C181" s="2" t="s">
        <v>1913</v>
      </c>
      <c r="D181" s="2" t="s">
        <v>1914</v>
      </c>
      <c r="E181" s="2" t="s">
        <v>686</v>
      </c>
      <c r="F181" s="2" t="s">
        <v>873</v>
      </c>
      <c r="G181" s="2" t="s">
        <v>912</v>
      </c>
      <c r="H181" s="2" t="s">
        <v>1242</v>
      </c>
      <c r="I181" s="2" t="s">
        <v>2913</v>
      </c>
    </row>
    <row r="182" customFormat="false" ht="15" hidden="false" customHeight="false" outlineLevel="0" collapsed="false">
      <c r="A182" s="2" t="n">
        <v>181</v>
      </c>
      <c r="B182" s="2" t="s">
        <v>521</v>
      </c>
      <c r="C182" s="2" t="s">
        <v>1917</v>
      </c>
      <c r="D182" s="2" t="s">
        <v>1918</v>
      </c>
      <c r="E182" s="2" t="s">
        <v>686</v>
      </c>
      <c r="F182" s="2" t="s">
        <v>873</v>
      </c>
      <c r="G182" s="2" t="s">
        <v>912</v>
      </c>
      <c r="H182" s="2" t="s">
        <v>1242</v>
      </c>
      <c r="I182" s="2" t="s">
        <v>2913</v>
      </c>
    </row>
    <row r="183" customFormat="false" ht="15" hidden="false" customHeight="false" outlineLevel="0" collapsed="false">
      <c r="A183" s="2" t="n">
        <v>182</v>
      </c>
      <c r="B183" s="2" t="s">
        <v>523</v>
      </c>
      <c r="C183" s="2" t="s">
        <v>1921</v>
      </c>
      <c r="D183" s="2" t="s">
        <v>1922</v>
      </c>
      <c r="E183" s="2" t="s">
        <v>686</v>
      </c>
      <c r="F183" s="2" t="s">
        <v>873</v>
      </c>
      <c r="G183" s="2" t="s">
        <v>912</v>
      </c>
      <c r="H183" s="2" t="s">
        <v>1242</v>
      </c>
      <c r="I183" s="2" t="s">
        <v>2913</v>
      </c>
    </row>
    <row r="184" customFormat="false" ht="15" hidden="false" customHeight="false" outlineLevel="0" collapsed="false">
      <c r="A184" s="2" t="n">
        <v>183</v>
      </c>
      <c r="B184" s="2" t="s">
        <v>525</v>
      </c>
      <c r="C184" s="2" t="s">
        <v>1925</v>
      </c>
      <c r="D184" s="2" t="s">
        <v>1926</v>
      </c>
      <c r="E184" s="2" t="s">
        <v>686</v>
      </c>
      <c r="F184" s="2" t="s">
        <v>873</v>
      </c>
      <c r="G184" s="2" t="s">
        <v>912</v>
      </c>
      <c r="H184" s="2" t="s">
        <v>1242</v>
      </c>
      <c r="I184" s="2" t="s">
        <v>2913</v>
      </c>
    </row>
    <row r="185" customFormat="false" ht="15" hidden="false" customHeight="false" outlineLevel="0" collapsed="false">
      <c r="A185" s="2" t="n">
        <v>184</v>
      </c>
      <c r="B185" s="2" t="s">
        <v>527</v>
      </c>
      <c r="C185" s="2" t="s">
        <v>1929</v>
      </c>
      <c r="D185" s="2" t="s">
        <v>1930</v>
      </c>
      <c r="E185" s="2" t="s">
        <v>686</v>
      </c>
      <c r="F185" s="2" t="s">
        <v>873</v>
      </c>
      <c r="G185" s="2" t="s">
        <v>912</v>
      </c>
      <c r="H185" s="2" t="s">
        <v>1242</v>
      </c>
      <c r="I185" s="2" t="s">
        <v>2913</v>
      </c>
    </row>
    <row r="186" customFormat="false" ht="15" hidden="false" customHeight="false" outlineLevel="0" collapsed="false">
      <c r="A186" s="2" t="n">
        <v>185</v>
      </c>
      <c r="B186" s="2" t="s">
        <v>529</v>
      </c>
      <c r="C186" s="2" t="s">
        <v>1932</v>
      </c>
      <c r="D186" s="2" t="s">
        <v>1933</v>
      </c>
      <c r="E186" s="2" t="s">
        <v>686</v>
      </c>
      <c r="F186" s="2" t="s">
        <v>873</v>
      </c>
      <c r="G186" s="2" t="s">
        <v>912</v>
      </c>
      <c r="H186" s="2" t="s">
        <v>1242</v>
      </c>
      <c r="I186" s="2" t="s">
        <v>2913</v>
      </c>
    </row>
    <row r="187" customFormat="false" ht="15" hidden="false" customHeight="false" outlineLevel="0" collapsed="false">
      <c r="A187" s="2" t="n">
        <v>186</v>
      </c>
      <c r="B187" s="2" t="s">
        <v>531</v>
      </c>
      <c r="C187" s="2" t="s">
        <v>1936</v>
      </c>
      <c r="D187" s="2" t="s">
        <v>1937</v>
      </c>
      <c r="E187" s="2" t="s">
        <v>686</v>
      </c>
      <c r="F187" s="2" t="s">
        <v>873</v>
      </c>
      <c r="G187" s="2" t="s">
        <v>912</v>
      </c>
      <c r="H187" s="2" t="s">
        <v>1242</v>
      </c>
      <c r="I187" s="2" t="s">
        <v>2913</v>
      </c>
    </row>
    <row r="188" customFormat="false" ht="15" hidden="false" customHeight="false" outlineLevel="0" collapsed="false">
      <c r="A188" s="2" t="n">
        <v>187</v>
      </c>
      <c r="B188" s="2" t="s">
        <v>533</v>
      </c>
      <c r="C188" s="2" t="s">
        <v>1940</v>
      </c>
      <c r="D188" s="2" t="s">
        <v>1941</v>
      </c>
      <c r="E188" s="2" t="s">
        <v>686</v>
      </c>
      <c r="F188" s="2" t="s">
        <v>873</v>
      </c>
      <c r="G188" s="2" t="s">
        <v>912</v>
      </c>
      <c r="H188" s="2" t="s">
        <v>1242</v>
      </c>
      <c r="I188" s="2" t="s">
        <v>2913</v>
      </c>
    </row>
    <row r="189" customFormat="false" ht="15" hidden="false" customHeight="false" outlineLevel="0" collapsed="false">
      <c r="A189" s="2" t="n">
        <v>188</v>
      </c>
      <c r="B189" s="2" t="s">
        <v>535</v>
      </c>
      <c r="C189" s="2" t="s">
        <v>1944</v>
      </c>
      <c r="D189" s="2" t="s">
        <v>1945</v>
      </c>
      <c r="E189" s="2" t="s">
        <v>686</v>
      </c>
      <c r="F189" s="2" t="s">
        <v>873</v>
      </c>
      <c r="G189" s="2" t="s">
        <v>912</v>
      </c>
      <c r="H189" s="2" t="s">
        <v>1242</v>
      </c>
      <c r="I189" s="2" t="s">
        <v>2913</v>
      </c>
    </row>
    <row r="190" customFormat="false" ht="15" hidden="false" customHeight="false" outlineLevel="0" collapsed="false">
      <c r="A190" s="2" t="n">
        <v>189</v>
      </c>
      <c r="B190" s="2" t="s">
        <v>537</v>
      </c>
      <c r="C190" s="2" t="s">
        <v>1947</v>
      </c>
      <c r="D190" s="2" t="s">
        <v>1948</v>
      </c>
      <c r="E190" s="2" t="s">
        <v>686</v>
      </c>
      <c r="F190" s="2" t="s">
        <v>873</v>
      </c>
      <c r="G190" s="2" t="s">
        <v>912</v>
      </c>
      <c r="H190" s="2" t="s">
        <v>1242</v>
      </c>
      <c r="I190" s="2" t="s">
        <v>2913</v>
      </c>
    </row>
    <row r="191" customFormat="false" ht="15" hidden="false" customHeight="false" outlineLevel="0" collapsed="false">
      <c r="A191" s="2" t="n">
        <v>190</v>
      </c>
      <c r="B191" s="2" t="s">
        <v>539</v>
      </c>
      <c r="C191" s="2" t="s">
        <v>1950</v>
      </c>
      <c r="D191" s="2" t="s">
        <v>1951</v>
      </c>
      <c r="E191" s="2" t="s">
        <v>686</v>
      </c>
      <c r="F191" s="2" t="s">
        <v>873</v>
      </c>
      <c r="G191" s="2" t="s">
        <v>912</v>
      </c>
      <c r="H191" s="2" t="s">
        <v>1242</v>
      </c>
      <c r="I191" s="2" t="s">
        <v>2913</v>
      </c>
    </row>
    <row r="192" customFormat="false" ht="15" hidden="false" customHeight="false" outlineLevel="0" collapsed="false">
      <c r="A192" s="2" t="n">
        <v>191</v>
      </c>
      <c r="B192" s="2" t="s">
        <v>540</v>
      </c>
      <c r="C192" s="2" t="s">
        <v>1953</v>
      </c>
      <c r="D192" s="2" t="s">
        <v>1954</v>
      </c>
      <c r="E192" s="2" t="s">
        <v>686</v>
      </c>
      <c r="F192" s="2" t="s">
        <v>873</v>
      </c>
      <c r="G192" s="2" t="s">
        <v>912</v>
      </c>
      <c r="H192" s="2" t="s">
        <v>1242</v>
      </c>
      <c r="I192" s="2" t="s">
        <v>2913</v>
      </c>
    </row>
    <row r="193" customFormat="false" ht="15" hidden="false" customHeight="false" outlineLevel="0" collapsed="false">
      <c r="A193" s="2" t="n">
        <v>192</v>
      </c>
      <c r="B193" s="2" t="s">
        <v>541</v>
      </c>
      <c r="C193" s="2" t="s">
        <v>1957</v>
      </c>
      <c r="D193" s="2" t="s">
        <v>1958</v>
      </c>
      <c r="E193" s="2" t="s">
        <v>686</v>
      </c>
      <c r="F193" s="2" t="s">
        <v>873</v>
      </c>
      <c r="G193" s="2" t="s">
        <v>912</v>
      </c>
      <c r="H193" s="2" t="s">
        <v>1242</v>
      </c>
      <c r="I193" s="2" t="s">
        <v>2913</v>
      </c>
    </row>
    <row r="194" customFormat="false" ht="15" hidden="false" customHeight="false" outlineLevel="0" collapsed="false">
      <c r="A194" s="2" t="n">
        <v>193</v>
      </c>
      <c r="B194" s="2" t="s">
        <v>543</v>
      </c>
      <c r="C194" s="2" t="s">
        <v>1961</v>
      </c>
      <c r="D194" s="2" t="s">
        <v>1962</v>
      </c>
      <c r="E194" s="2" t="s">
        <v>686</v>
      </c>
      <c r="F194" s="2" t="s">
        <v>873</v>
      </c>
      <c r="G194" s="2" t="s">
        <v>912</v>
      </c>
      <c r="H194" s="2" t="s">
        <v>1242</v>
      </c>
      <c r="I194" s="2" t="s">
        <v>2913</v>
      </c>
    </row>
    <row r="195" customFormat="false" ht="15" hidden="false" customHeight="false" outlineLevel="0" collapsed="false">
      <c r="A195" s="2" t="n">
        <v>194</v>
      </c>
      <c r="B195" s="2" t="s">
        <v>545</v>
      </c>
      <c r="C195" s="2" t="s">
        <v>1965</v>
      </c>
      <c r="D195" s="2" t="s">
        <v>1966</v>
      </c>
      <c r="E195" s="2" t="s">
        <v>686</v>
      </c>
      <c r="F195" s="2" t="s">
        <v>873</v>
      </c>
      <c r="G195" s="2" t="s">
        <v>912</v>
      </c>
      <c r="H195" s="2" t="s">
        <v>1242</v>
      </c>
      <c r="I195" s="2" t="s">
        <v>2913</v>
      </c>
    </row>
    <row r="196" customFormat="false" ht="15" hidden="false" customHeight="false" outlineLevel="0" collapsed="false">
      <c r="A196" s="2" t="n">
        <v>195</v>
      </c>
      <c r="B196" s="2" t="s">
        <v>546</v>
      </c>
      <c r="C196" s="2" t="s">
        <v>1968</v>
      </c>
      <c r="D196" s="2" t="s">
        <v>1969</v>
      </c>
      <c r="E196" s="2" t="s">
        <v>686</v>
      </c>
      <c r="F196" s="2" t="s">
        <v>873</v>
      </c>
      <c r="G196" s="2" t="s">
        <v>912</v>
      </c>
      <c r="H196" s="2" t="s">
        <v>1242</v>
      </c>
      <c r="I196" s="2" t="s">
        <v>2913</v>
      </c>
    </row>
    <row r="197" customFormat="false" ht="15" hidden="false" customHeight="false" outlineLevel="0" collapsed="false">
      <c r="A197" s="2" t="n">
        <v>196</v>
      </c>
      <c r="B197" s="2" t="s">
        <v>547</v>
      </c>
      <c r="C197" s="2" t="s">
        <v>1971</v>
      </c>
      <c r="D197" s="2" t="s">
        <v>1972</v>
      </c>
      <c r="E197" s="2" t="s">
        <v>686</v>
      </c>
      <c r="F197" s="2" t="s">
        <v>873</v>
      </c>
      <c r="G197" s="2" t="s">
        <v>912</v>
      </c>
      <c r="H197" s="2" t="s">
        <v>1242</v>
      </c>
      <c r="I197" s="2" t="s">
        <v>2913</v>
      </c>
    </row>
    <row r="198" customFormat="false" ht="15" hidden="false" customHeight="false" outlineLevel="0" collapsed="false">
      <c r="A198" s="2" t="n">
        <v>197</v>
      </c>
      <c r="B198" s="2" t="s">
        <v>548</v>
      </c>
      <c r="C198" s="2" t="s">
        <v>1975</v>
      </c>
      <c r="D198" s="2" t="s">
        <v>1976</v>
      </c>
      <c r="E198" s="2" t="s">
        <v>686</v>
      </c>
      <c r="F198" s="2" t="s">
        <v>873</v>
      </c>
      <c r="G198" s="2" t="s">
        <v>912</v>
      </c>
      <c r="H198" s="2" t="s">
        <v>1242</v>
      </c>
      <c r="I198" s="2" t="s">
        <v>2913</v>
      </c>
    </row>
    <row r="199" customFormat="false" ht="15" hidden="false" customHeight="false" outlineLevel="0" collapsed="false">
      <c r="A199" s="2" t="n">
        <v>198</v>
      </c>
      <c r="B199" s="2" t="s">
        <v>550</v>
      </c>
      <c r="C199" s="2" t="s">
        <v>1978</v>
      </c>
      <c r="D199" s="2" t="s">
        <v>1979</v>
      </c>
      <c r="E199" s="2" t="s">
        <v>686</v>
      </c>
      <c r="F199" s="2" t="s">
        <v>873</v>
      </c>
      <c r="G199" s="2" t="s">
        <v>912</v>
      </c>
      <c r="H199" s="2" t="s">
        <v>1242</v>
      </c>
      <c r="I199" s="2" t="s">
        <v>2913</v>
      </c>
    </row>
    <row r="200" customFormat="false" ht="15" hidden="false" customHeight="false" outlineLevel="0" collapsed="false">
      <c r="A200" s="2" t="n">
        <v>199</v>
      </c>
      <c r="B200" s="2" t="s">
        <v>551</v>
      </c>
      <c r="C200" s="2" t="s">
        <v>1981</v>
      </c>
      <c r="D200" s="2" t="s">
        <v>1982</v>
      </c>
      <c r="E200" s="2" t="s">
        <v>686</v>
      </c>
      <c r="F200" s="2" t="s">
        <v>873</v>
      </c>
      <c r="G200" s="2" t="s">
        <v>912</v>
      </c>
      <c r="H200" s="2" t="s">
        <v>1242</v>
      </c>
      <c r="I200" s="2" t="s">
        <v>2913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9"/>
    <col collapsed="false" customWidth="true" hidden="false" outlineLevel="0" max="3" min="3" style="0" width="35"/>
    <col collapsed="false" customWidth="true" hidden="false" outlineLevel="0" max="4" min="4" style="0" width="18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3" t="s">
        <v>2914</v>
      </c>
      <c r="B1" s="3" t="s">
        <v>2915</v>
      </c>
      <c r="C1" s="3" t="s">
        <v>2916</v>
      </c>
      <c r="D1" s="3" t="s">
        <v>2917</v>
      </c>
      <c r="E1" s="3" t="s">
        <v>2918</v>
      </c>
    </row>
    <row r="2" customFormat="false" ht="46.25" hidden="false" customHeight="false" outlineLevel="0" collapsed="false">
      <c r="A2" s="2" t="s">
        <v>2919</v>
      </c>
      <c r="B2" s="2" t="s">
        <v>164</v>
      </c>
      <c r="C2" s="2" t="s">
        <v>168</v>
      </c>
      <c r="D2" s="2" t="s">
        <v>677</v>
      </c>
      <c r="E2" s="2" t="s">
        <v>2920</v>
      </c>
    </row>
    <row r="3" customFormat="false" ht="35.05" hidden="false" customHeight="false" outlineLevel="0" collapsed="false">
      <c r="A3" s="2" t="s">
        <v>2921</v>
      </c>
      <c r="B3" s="2" t="s">
        <v>166</v>
      </c>
      <c r="C3" s="2" t="s">
        <v>168</v>
      </c>
      <c r="D3" s="2" t="s">
        <v>678</v>
      </c>
      <c r="E3" s="2" t="s">
        <v>2922</v>
      </c>
    </row>
    <row r="4" customFormat="false" ht="23.85" hidden="false" customHeight="false" outlineLevel="0" collapsed="false">
      <c r="A4" s="2" t="s">
        <v>2923</v>
      </c>
      <c r="B4" s="2" t="s">
        <v>168</v>
      </c>
      <c r="C4" s="2" t="s">
        <v>2924</v>
      </c>
      <c r="D4" s="2" t="s">
        <v>679</v>
      </c>
      <c r="E4" s="2" t="s">
        <v>2925</v>
      </c>
    </row>
    <row r="5" customFormat="false" ht="23.85" hidden="false" customHeight="false" outlineLevel="0" collapsed="false">
      <c r="A5" s="2" t="s">
        <v>2926</v>
      </c>
      <c r="B5" s="2" t="s">
        <v>2924</v>
      </c>
      <c r="C5" s="2" t="s">
        <v>2927</v>
      </c>
      <c r="D5" s="2" t="s">
        <v>22</v>
      </c>
      <c r="E5" s="2" t="s">
        <v>2928</v>
      </c>
    </row>
    <row r="6" customFormat="false" ht="23.85" hidden="false" customHeight="false" outlineLevel="0" collapsed="false">
      <c r="A6" s="2" t="s">
        <v>2929</v>
      </c>
      <c r="B6" s="2" t="s">
        <v>2930</v>
      </c>
      <c r="C6" s="2" t="s">
        <v>2927</v>
      </c>
      <c r="D6" s="2" t="s">
        <v>682</v>
      </c>
      <c r="E6" s="2" t="s">
        <v>2931</v>
      </c>
    </row>
    <row r="7" customFormat="false" ht="23.85" hidden="false" customHeight="false" outlineLevel="0" collapsed="false">
      <c r="A7" s="2" t="s">
        <v>2932</v>
      </c>
      <c r="B7" s="2" t="s">
        <v>2924</v>
      </c>
      <c r="C7" s="2" t="s">
        <v>2933</v>
      </c>
      <c r="D7" s="2" t="s">
        <v>22</v>
      </c>
      <c r="E7" s="2" t="s">
        <v>2934</v>
      </c>
    </row>
    <row r="8" customFormat="false" ht="23.85" hidden="false" customHeight="false" outlineLevel="0" collapsed="false">
      <c r="A8" s="2" t="s">
        <v>2935</v>
      </c>
      <c r="B8" s="2" t="s">
        <v>2924</v>
      </c>
      <c r="C8" s="2" t="s">
        <v>2936</v>
      </c>
      <c r="D8" s="2" t="s">
        <v>22</v>
      </c>
      <c r="E8" s="2" t="s">
        <v>2937</v>
      </c>
    </row>
    <row r="9" customFormat="false" ht="23.85" hidden="false" customHeight="false" outlineLevel="0" collapsed="false">
      <c r="A9" s="2" t="s">
        <v>2938</v>
      </c>
      <c r="B9" s="2" t="s">
        <v>2939</v>
      </c>
      <c r="C9" s="2" t="s">
        <v>2940</v>
      </c>
      <c r="D9" s="2" t="s">
        <v>1230</v>
      </c>
      <c r="E9" s="2" t="s">
        <v>2941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3"/>
    <col collapsed="false" customWidth="true" hidden="false" outlineLevel="0" max="3" min="3" style="0" width="29"/>
    <col collapsed="false" customWidth="true" hidden="false" outlineLevel="0" max="4" min="4" style="0" width="35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3" t="s">
        <v>2942</v>
      </c>
      <c r="B1" s="3" t="s">
        <v>2943</v>
      </c>
      <c r="C1" s="3" t="s">
        <v>2944</v>
      </c>
      <c r="D1" s="3" t="s">
        <v>653</v>
      </c>
      <c r="E1" s="3" t="s">
        <v>1070</v>
      </c>
    </row>
    <row r="2" customFormat="false" ht="15" hidden="false" customHeight="false" outlineLevel="0" collapsed="false">
      <c r="A2" s="2" t="s">
        <v>677</v>
      </c>
      <c r="B2" s="2" t="s">
        <v>2945</v>
      </c>
      <c r="C2" s="2" t="s">
        <v>164</v>
      </c>
      <c r="D2" s="2" t="s">
        <v>2946</v>
      </c>
      <c r="E2" s="2" t="s">
        <v>686</v>
      </c>
    </row>
    <row r="3" customFormat="false" ht="15" hidden="false" customHeight="false" outlineLevel="0" collapsed="false">
      <c r="A3" s="2" t="s">
        <v>678</v>
      </c>
      <c r="B3" s="2" t="s">
        <v>2947</v>
      </c>
      <c r="C3" s="2" t="s">
        <v>166</v>
      </c>
      <c r="D3" s="2" t="s">
        <v>2948</v>
      </c>
      <c r="E3" s="2" t="s">
        <v>873</v>
      </c>
    </row>
    <row r="4" customFormat="false" ht="23.85" hidden="false" customHeight="false" outlineLevel="0" collapsed="false">
      <c r="A4" s="2" t="s">
        <v>679</v>
      </c>
      <c r="B4" s="2" t="s">
        <v>2949</v>
      </c>
      <c r="C4" s="2" t="s">
        <v>168</v>
      </c>
      <c r="D4" s="2" t="s">
        <v>2950</v>
      </c>
      <c r="E4" s="2" t="s">
        <v>688</v>
      </c>
    </row>
    <row r="5" customFormat="false" ht="23.85" hidden="false" customHeight="false" outlineLevel="0" collapsed="false">
      <c r="A5" s="2" t="s">
        <v>22</v>
      </c>
      <c r="B5" s="2" t="s">
        <v>2951</v>
      </c>
      <c r="C5" s="2" t="s">
        <v>2924</v>
      </c>
      <c r="D5" s="2" t="s">
        <v>2952</v>
      </c>
      <c r="E5" s="2" t="s">
        <v>209</v>
      </c>
    </row>
    <row r="6" customFormat="false" ht="23.85" hidden="false" customHeight="false" outlineLevel="0" collapsed="false">
      <c r="A6" s="2" t="s">
        <v>682</v>
      </c>
      <c r="B6" s="2" t="s">
        <v>2953</v>
      </c>
      <c r="C6" s="2" t="s">
        <v>2930</v>
      </c>
      <c r="D6" s="2" t="s">
        <v>2954</v>
      </c>
      <c r="E6" s="2" t="s">
        <v>788</v>
      </c>
    </row>
    <row r="7" customFormat="false" ht="23.85" hidden="false" customHeight="false" outlineLevel="0" collapsed="false">
      <c r="A7" s="2" t="s">
        <v>2559</v>
      </c>
      <c r="B7" s="2" t="s">
        <v>2955</v>
      </c>
      <c r="C7" s="2" t="s">
        <v>2927</v>
      </c>
      <c r="D7" s="2" t="s">
        <v>2956</v>
      </c>
      <c r="E7" s="2" t="s">
        <v>2561</v>
      </c>
    </row>
    <row r="8" customFormat="false" ht="23.85" hidden="false" customHeight="false" outlineLevel="0" collapsed="false">
      <c r="A8" s="2" t="s">
        <v>1228</v>
      </c>
      <c r="B8" s="2" t="s">
        <v>2957</v>
      </c>
      <c r="C8" s="2" t="s">
        <v>2933</v>
      </c>
      <c r="D8" s="2" t="s">
        <v>2958</v>
      </c>
      <c r="E8" s="2" t="s">
        <v>1240</v>
      </c>
    </row>
    <row r="9" customFormat="false" ht="15" hidden="false" customHeight="false" outlineLevel="0" collapsed="false">
      <c r="A9" s="2" t="s">
        <v>1229</v>
      </c>
      <c r="B9" s="2" t="s">
        <v>2959</v>
      </c>
      <c r="C9" s="2" t="s">
        <v>2936</v>
      </c>
      <c r="D9" s="2" t="s">
        <v>2960</v>
      </c>
      <c r="E9" s="2" t="s">
        <v>1241</v>
      </c>
    </row>
    <row r="10" customFormat="false" ht="15" hidden="false" customHeight="false" outlineLevel="0" collapsed="false">
      <c r="A10" s="2" t="s">
        <v>1230</v>
      </c>
      <c r="B10" s="2" t="s">
        <v>2961</v>
      </c>
      <c r="C10" s="2" t="s">
        <v>2939</v>
      </c>
      <c r="D10" s="2" t="s">
        <v>2962</v>
      </c>
      <c r="E10" s="2" t="s">
        <v>1242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35"/>
  </cols>
  <sheetData>
    <row r="1" customFormat="false" ht="15" hidden="false" customHeight="false" outlineLevel="0" collapsed="false">
      <c r="A1" s="3" t="s">
        <v>2963</v>
      </c>
      <c r="B1" s="3"/>
      <c r="C1" s="3"/>
      <c r="D1" s="3"/>
    </row>
    <row r="2" customFormat="false" ht="15" hidden="false" customHeight="false" outlineLevel="0" collapsed="false">
      <c r="A2" s="2"/>
      <c r="B2" s="2"/>
      <c r="C2" s="2"/>
      <c r="D2" s="2"/>
    </row>
    <row r="3" customFormat="false" ht="35.05" hidden="false" customHeight="false" outlineLevel="0" collapsed="false">
      <c r="A3" s="2" t="s">
        <v>653</v>
      </c>
      <c r="B3" s="2" t="s">
        <v>2964</v>
      </c>
      <c r="C3" s="2"/>
      <c r="D3" s="2"/>
    </row>
    <row r="4" customFormat="false" ht="15" hidden="false" customHeight="false" outlineLevel="0" collapsed="false">
      <c r="A4" s="2"/>
      <c r="B4" s="2"/>
      <c r="C4" s="2"/>
      <c r="D4" s="2"/>
    </row>
    <row r="5" customFormat="false" ht="15" hidden="false" customHeight="false" outlineLevel="0" collapsed="false">
      <c r="A5" s="3" t="s">
        <v>2965</v>
      </c>
      <c r="B5" s="3" t="s">
        <v>2966</v>
      </c>
      <c r="C5" s="3" t="s">
        <v>2967</v>
      </c>
      <c r="D5" s="3" t="s">
        <v>2357</v>
      </c>
    </row>
    <row r="6" customFormat="false" ht="35.05" hidden="false" customHeight="false" outlineLevel="0" collapsed="false">
      <c r="A6" s="2" t="s">
        <v>2968</v>
      </c>
      <c r="B6" s="2" t="s">
        <v>2969</v>
      </c>
      <c r="C6" s="2" t="s">
        <v>2970</v>
      </c>
      <c r="D6" s="2" t="s">
        <v>2971</v>
      </c>
    </row>
    <row r="7" customFormat="false" ht="23.85" hidden="false" customHeight="false" outlineLevel="0" collapsed="false">
      <c r="A7" s="2" t="s">
        <v>2972</v>
      </c>
      <c r="B7" s="2" t="s">
        <v>2973</v>
      </c>
      <c r="C7" s="2" t="s">
        <v>2974</v>
      </c>
      <c r="D7" s="2" t="s">
        <v>2971</v>
      </c>
    </row>
    <row r="8" customFormat="false" ht="15" hidden="false" customHeight="false" outlineLevel="0" collapsed="false">
      <c r="A8" s="2" t="s">
        <v>2975</v>
      </c>
      <c r="B8" s="2" t="s">
        <v>2976</v>
      </c>
      <c r="C8" s="2" t="s">
        <v>2977</v>
      </c>
      <c r="D8" s="2" t="s">
        <v>2978</v>
      </c>
    </row>
    <row r="9" customFormat="false" ht="23.85" hidden="false" customHeight="false" outlineLevel="0" collapsed="false">
      <c r="A9" s="2" t="s">
        <v>2979</v>
      </c>
      <c r="B9" s="2" t="s">
        <v>2980</v>
      </c>
      <c r="C9" s="2" t="s">
        <v>2981</v>
      </c>
      <c r="D9" s="2" t="s">
        <v>2978</v>
      </c>
    </row>
    <row r="10" customFormat="false" ht="23.85" hidden="false" customHeight="false" outlineLevel="0" collapsed="false">
      <c r="A10" s="2" t="s">
        <v>2982</v>
      </c>
      <c r="B10" s="2" t="s">
        <v>2983</v>
      </c>
      <c r="C10" s="2" t="s">
        <v>2984</v>
      </c>
      <c r="D10" s="2" t="s">
        <v>2985</v>
      </c>
    </row>
    <row r="11" customFormat="false" ht="23.85" hidden="false" customHeight="false" outlineLevel="0" collapsed="false">
      <c r="A11" s="2" t="s">
        <v>2986</v>
      </c>
      <c r="B11" s="2" t="s">
        <v>2987</v>
      </c>
      <c r="C11" s="2" t="s">
        <v>2988</v>
      </c>
      <c r="D11" s="2" t="s">
        <v>2971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1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23"/>
  </cols>
  <sheetData>
    <row r="1" customFormat="false" ht="15" hidden="false" customHeight="false" outlineLevel="0" collapsed="false">
      <c r="A1" s="3" t="s">
        <v>2989</v>
      </c>
      <c r="B1" s="3" t="s">
        <v>2990</v>
      </c>
    </row>
    <row r="2" customFormat="false" ht="15" hidden="false" customHeight="false" outlineLevel="0" collapsed="false">
      <c r="A2" s="2" t="s">
        <v>23</v>
      </c>
      <c r="B2" s="2" t="s">
        <v>6</v>
      </c>
    </row>
    <row r="3" customFormat="false" ht="15" hidden="false" customHeight="false" outlineLevel="0" collapsed="false">
      <c r="A3" s="2" t="s">
        <v>23</v>
      </c>
      <c r="B3" s="2" t="s">
        <v>34</v>
      </c>
    </row>
    <row r="4" customFormat="false" ht="15" hidden="false" customHeight="false" outlineLevel="0" collapsed="false">
      <c r="A4" s="2" t="s">
        <v>8</v>
      </c>
      <c r="B4" s="2" t="s">
        <v>6</v>
      </c>
    </row>
    <row r="5" customFormat="false" ht="15" hidden="false" customHeight="false" outlineLevel="0" collapsed="false">
      <c r="A5" s="2" t="s">
        <v>8</v>
      </c>
      <c r="B5" s="2" t="s">
        <v>35</v>
      </c>
    </row>
    <row r="6" customFormat="false" ht="15" hidden="false" customHeight="false" outlineLevel="0" collapsed="false">
      <c r="A6" s="2" t="s">
        <v>8</v>
      </c>
      <c r="B6" s="2" t="s">
        <v>42</v>
      </c>
    </row>
    <row r="7" customFormat="false" ht="15" hidden="false" customHeight="false" outlineLevel="0" collapsed="false">
      <c r="A7" s="2" t="s">
        <v>8</v>
      </c>
      <c r="B7" s="2" t="s">
        <v>49</v>
      </c>
    </row>
    <row r="8" customFormat="false" ht="15" hidden="false" customHeight="false" outlineLevel="0" collapsed="false">
      <c r="A8" s="2" t="s">
        <v>1219</v>
      </c>
      <c r="B8" s="2" t="s">
        <v>6</v>
      </c>
    </row>
    <row r="9" customFormat="false" ht="15" hidden="false" customHeight="false" outlineLevel="0" collapsed="false">
      <c r="A9" s="2" t="s">
        <v>1219</v>
      </c>
      <c r="B9" s="2" t="s">
        <v>36</v>
      </c>
    </row>
    <row r="10" customFormat="false" ht="15" hidden="false" customHeight="false" outlineLevel="0" collapsed="false">
      <c r="A10" s="2" t="s">
        <v>1219</v>
      </c>
      <c r="B10" s="2" t="s">
        <v>43</v>
      </c>
    </row>
    <row r="11" customFormat="false" ht="15" hidden="false" customHeight="false" outlineLevel="0" collapsed="false">
      <c r="A11" s="2" t="s">
        <v>1219</v>
      </c>
      <c r="B11" s="2" t="s">
        <v>50</v>
      </c>
    </row>
    <row r="12" customFormat="false" ht="15" hidden="false" customHeight="false" outlineLevel="0" collapsed="false">
      <c r="A12" s="2" t="s">
        <v>1219</v>
      </c>
      <c r="B12" s="2" t="s">
        <v>56</v>
      </c>
    </row>
    <row r="13" customFormat="false" ht="15" hidden="false" customHeight="false" outlineLevel="0" collapsed="false">
      <c r="A13" s="2" t="s">
        <v>27</v>
      </c>
      <c r="B13" s="2" t="s">
        <v>6</v>
      </c>
    </row>
    <row r="14" customFormat="false" ht="15" hidden="false" customHeight="false" outlineLevel="0" collapsed="false">
      <c r="A14" s="2" t="s">
        <v>27</v>
      </c>
      <c r="B14" s="2" t="s">
        <v>57</v>
      </c>
    </row>
    <row r="15" customFormat="false" ht="15" hidden="false" customHeight="false" outlineLevel="0" collapsed="false">
      <c r="A15" s="2" t="s">
        <v>27</v>
      </c>
      <c r="B15" s="2" t="s">
        <v>62</v>
      </c>
    </row>
    <row r="16" customFormat="false" ht="15" hidden="false" customHeight="false" outlineLevel="0" collapsed="false">
      <c r="A16" s="2" t="s">
        <v>27</v>
      </c>
      <c r="B16" s="2" t="s">
        <v>65</v>
      </c>
    </row>
    <row r="17" customFormat="false" ht="15" hidden="false" customHeight="false" outlineLevel="0" collapsed="false">
      <c r="A17" s="2" t="s">
        <v>27</v>
      </c>
      <c r="B17" s="2" t="s">
        <v>70</v>
      </c>
    </row>
    <row r="18" customFormat="false" ht="15" hidden="false" customHeight="false" outlineLevel="0" collapsed="false">
      <c r="A18" s="2" t="s">
        <v>27</v>
      </c>
      <c r="B18" s="2" t="s">
        <v>72</v>
      </c>
    </row>
    <row r="19" customFormat="false" ht="15" hidden="false" customHeight="false" outlineLevel="0" collapsed="false">
      <c r="A19" s="2" t="s">
        <v>27</v>
      </c>
      <c r="B19" s="2" t="s">
        <v>74</v>
      </c>
    </row>
    <row r="20" customFormat="false" ht="15" hidden="false" customHeight="false" outlineLevel="0" collapsed="false">
      <c r="A20" s="2" t="s">
        <v>27</v>
      </c>
      <c r="B20" s="2" t="s">
        <v>76</v>
      </c>
    </row>
    <row r="21" customFormat="false" ht="15" hidden="false" customHeight="false" outlineLevel="0" collapsed="false">
      <c r="A21" s="2" t="s">
        <v>27</v>
      </c>
      <c r="B21" s="2" t="s">
        <v>77</v>
      </c>
    </row>
    <row r="22" customFormat="false" ht="15" hidden="false" customHeight="false" outlineLevel="0" collapsed="false">
      <c r="A22" s="2" t="s">
        <v>27</v>
      </c>
      <c r="B22" s="2" t="s">
        <v>78</v>
      </c>
    </row>
    <row r="23" customFormat="false" ht="15" hidden="false" customHeight="false" outlineLevel="0" collapsed="false">
      <c r="A23" s="2" t="s">
        <v>27</v>
      </c>
      <c r="B23" s="2" t="s">
        <v>81</v>
      </c>
    </row>
    <row r="24" customFormat="false" ht="15" hidden="false" customHeight="false" outlineLevel="0" collapsed="false">
      <c r="A24" s="2" t="s">
        <v>27</v>
      </c>
      <c r="B24" s="2" t="s">
        <v>82</v>
      </c>
    </row>
    <row r="25" customFormat="false" ht="15" hidden="false" customHeight="false" outlineLevel="0" collapsed="false">
      <c r="A25" s="2" t="s">
        <v>27</v>
      </c>
      <c r="B25" s="2" t="s">
        <v>83</v>
      </c>
    </row>
    <row r="26" customFormat="false" ht="15" hidden="false" customHeight="false" outlineLevel="0" collapsed="false">
      <c r="A26" s="2" t="s">
        <v>27</v>
      </c>
      <c r="B26" s="2" t="s">
        <v>84</v>
      </c>
    </row>
    <row r="27" customFormat="false" ht="15" hidden="false" customHeight="false" outlineLevel="0" collapsed="false">
      <c r="A27" s="2" t="s">
        <v>27</v>
      </c>
      <c r="B27" s="2" t="s">
        <v>87</v>
      </c>
    </row>
    <row r="28" customFormat="false" ht="15" hidden="false" customHeight="false" outlineLevel="0" collapsed="false">
      <c r="A28" s="2" t="s">
        <v>27</v>
      </c>
      <c r="B28" s="2" t="s">
        <v>88</v>
      </c>
    </row>
    <row r="29" customFormat="false" ht="15" hidden="false" customHeight="false" outlineLevel="0" collapsed="false">
      <c r="A29" s="2" t="s">
        <v>27</v>
      </c>
      <c r="B29" s="2" t="s">
        <v>90</v>
      </c>
    </row>
    <row r="30" customFormat="false" ht="15" hidden="false" customHeight="false" outlineLevel="0" collapsed="false">
      <c r="A30" s="2" t="s">
        <v>27</v>
      </c>
      <c r="B30" s="2" t="s">
        <v>91</v>
      </c>
    </row>
    <row r="31" customFormat="false" ht="15" hidden="false" customHeight="false" outlineLevel="0" collapsed="false">
      <c r="A31" s="2" t="s">
        <v>27</v>
      </c>
      <c r="B31" s="2" t="s">
        <v>94</v>
      </c>
    </row>
    <row r="32" customFormat="false" ht="15" hidden="false" customHeight="false" outlineLevel="0" collapsed="false">
      <c r="A32" s="2" t="s">
        <v>27</v>
      </c>
      <c r="B32" s="2" t="s">
        <v>95</v>
      </c>
    </row>
    <row r="33" customFormat="false" ht="15" hidden="false" customHeight="false" outlineLevel="0" collapsed="false">
      <c r="A33" s="2" t="s">
        <v>27</v>
      </c>
      <c r="B33" s="2" t="s">
        <v>96</v>
      </c>
    </row>
    <row r="34" customFormat="false" ht="15" hidden="false" customHeight="false" outlineLevel="0" collapsed="false">
      <c r="A34" s="2" t="s">
        <v>27</v>
      </c>
      <c r="B34" s="2" t="s">
        <v>97</v>
      </c>
    </row>
    <row r="35" customFormat="false" ht="15" hidden="false" customHeight="false" outlineLevel="0" collapsed="false">
      <c r="A35" s="2" t="s">
        <v>27</v>
      </c>
      <c r="B35" s="2" t="s">
        <v>98</v>
      </c>
    </row>
    <row r="36" customFormat="false" ht="15" hidden="false" customHeight="false" outlineLevel="0" collapsed="false">
      <c r="A36" s="2" t="s">
        <v>27</v>
      </c>
      <c r="B36" s="2" t="s">
        <v>99</v>
      </c>
    </row>
    <row r="37" customFormat="false" ht="15" hidden="false" customHeight="false" outlineLevel="0" collapsed="false">
      <c r="A37" s="2" t="s">
        <v>27</v>
      </c>
      <c r="B37" s="2" t="s">
        <v>102</v>
      </c>
    </row>
    <row r="38" customFormat="false" ht="15" hidden="false" customHeight="false" outlineLevel="0" collapsed="false">
      <c r="A38" s="2" t="s">
        <v>27</v>
      </c>
      <c r="B38" s="2" t="s">
        <v>104</v>
      </c>
    </row>
    <row r="39" customFormat="false" ht="15" hidden="false" customHeight="false" outlineLevel="0" collapsed="false">
      <c r="A39" s="2" t="s">
        <v>27</v>
      </c>
      <c r="B39" s="2" t="s">
        <v>105</v>
      </c>
    </row>
    <row r="40" customFormat="false" ht="15" hidden="false" customHeight="false" outlineLevel="0" collapsed="false">
      <c r="A40" s="2" t="s">
        <v>27</v>
      </c>
      <c r="B40" s="2" t="s">
        <v>106</v>
      </c>
    </row>
    <row r="41" customFormat="false" ht="15" hidden="false" customHeight="false" outlineLevel="0" collapsed="false">
      <c r="A41" s="2" t="s">
        <v>27</v>
      </c>
      <c r="B41" s="2" t="s">
        <v>107</v>
      </c>
    </row>
    <row r="42" customFormat="false" ht="15" hidden="false" customHeight="false" outlineLevel="0" collapsed="false">
      <c r="A42" s="2" t="s">
        <v>27</v>
      </c>
      <c r="B42" s="2" t="s">
        <v>108</v>
      </c>
    </row>
    <row r="43" customFormat="false" ht="15" hidden="false" customHeight="false" outlineLevel="0" collapsed="false">
      <c r="A43" s="2" t="s">
        <v>27</v>
      </c>
      <c r="B43" s="2" t="s">
        <v>109</v>
      </c>
    </row>
    <row r="44" customFormat="false" ht="15" hidden="false" customHeight="false" outlineLevel="0" collapsed="false">
      <c r="A44" s="2" t="s">
        <v>27</v>
      </c>
      <c r="B44" s="2" t="s">
        <v>110</v>
      </c>
    </row>
    <row r="45" customFormat="false" ht="15" hidden="false" customHeight="false" outlineLevel="0" collapsed="false">
      <c r="A45" s="2" t="s">
        <v>27</v>
      </c>
      <c r="B45" s="2" t="s">
        <v>113</v>
      </c>
    </row>
    <row r="46" customFormat="false" ht="15" hidden="false" customHeight="false" outlineLevel="0" collapsed="false">
      <c r="A46" s="2" t="s">
        <v>27</v>
      </c>
      <c r="B46" s="2" t="s">
        <v>114</v>
      </c>
    </row>
    <row r="47" customFormat="false" ht="15" hidden="false" customHeight="false" outlineLevel="0" collapsed="false">
      <c r="A47" s="2" t="s">
        <v>27</v>
      </c>
      <c r="B47" s="2" t="s">
        <v>115</v>
      </c>
    </row>
    <row r="48" customFormat="false" ht="15" hidden="false" customHeight="false" outlineLevel="0" collapsed="false">
      <c r="A48" s="2" t="s">
        <v>27</v>
      </c>
      <c r="B48" s="2" t="s">
        <v>116</v>
      </c>
    </row>
    <row r="49" customFormat="false" ht="15" hidden="false" customHeight="false" outlineLevel="0" collapsed="false">
      <c r="A49" s="2" t="s">
        <v>27</v>
      </c>
      <c r="B49" s="2" t="s">
        <v>117</v>
      </c>
    </row>
    <row r="50" customFormat="false" ht="15" hidden="false" customHeight="false" outlineLevel="0" collapsed="false">
      <c r="A50" s="2" t="s">
        <v>27</v>
      </c>
      <c r="B50" s="2" t="s">
        <v>118</v>
      </c>
    </row>
    <row r="51" customFormat="false" ht="15" hidden="false" customHeight="false" outlineLevel="0" collapsed="false">
      <c r="A51" s="2" t="s">
        <v>27</v>
      </c>
      <c r="B51" s="2" t="s">
        <v>122</v>
      </c>
    </row>
    <row r="52" customFormat="false" ht="15" hidden="false" customHeight="false" outlineLevel="0" collapsed="false">
      <c r="A52" s="2" t="s">
        <v>27</v>
      </c>
      <c r="B52" s="2" t="s">
        <v>124</v>
      </c>
    </row>
    <row r="53" customFormat="false" ht="15" hidden="false" customHeight="false" outlineLevel="0" collapsed="false">
      <c r="A53" s="2" t="s">
        <v>27</v>
      </c>
      <c r="B53" s="2" t="s">
        <v>126</v>
      </c>
    </row>
    <row r="54" customFormat="false" ht="15" hidden="false" customHeight="false" outlineLevel="0" collapsed="false">
      <c r="A54" s="2" t="s">
        <v>27</v>
      </c>
      <c r="B54" s="2" t="s">
        <v>127</v>
      </c>
    </row>
    <row r="55" customFormat="false" ht="15" hidden="false" customHeight="false" outlineLevel="0" collapsed="false">
      <c r="A55" s="2" t="s">
        <v>27</v>
      </c>
      <c r="B55" s="2" t="s">
        <v>131</v>
      </c>
    </row>
    <row r="56" customFormat="false" ht="15" hidden="false" customHeight="false" outlineLevel="0" collapsed="false">
      <c r="A56" s="2" t="s">
        <v>27</v>
      </c>
      <c r="B56" s="2" t="s">
        <v>132</v>
      </c>
    </row>
    <row r="57" customFormat="false" ht="15" hidden="false" customHeight="false" outlineLevel="0" collapsed="false">
      <c r="A57" s="2" t="s">
        <v>27</v>
      </c>
      <c r="B57" s="2" t="s">
        <v>134</v>
      </c>
    </row>
    <row r="58" customFormat="false" ht="15" hidden="false" customHeight="false" outlineLevel="0" collapsed="false">
      <c r="A58" s="2" t="s">
        <v>27</v>
      </c>
      <c r="B58" s="2" t="s">
        <v>136</v>
      </c>
    </row>
    <row r="59" customFormat="false" ht="15" hidden="false" customHeight="false" outlineLevel="0" collapsed="false">
      <c r="A59" s="2" t="s">
        <v>27</v>
      </c>
      <c r="B59" s="2" t="s">
        <v>138</v>
      </c>
    </row>
    <row r="60" customFormat="false" ht="15" hidden="false" customHeight="false" outlineLevel="0" collapsed="false">
      <c r="A60" s="2" t="s">
        <v>27</v>
      </c>
      <c r="B60" s="2" t="s">
        <v>139</v>
      </c>
    </row>
    <row r="61" customFormat="false" ht="15" hidden="false" customHeight="false" outlineLevel="0" collapsed="false">
      <c r="A61" s="2" t="s">
        <v>27</v>
      </c>
      <c r="B61" s="2" t="s">
        <v>140</v>
      </c>
    </row>
    <row r="62" customFormat="false" ht="15" hidden="false" customHeight="false" outlineLevel="0" collapsed="false">
      <c r="A62" s="2" t="s">
        <v>27</v>
      </c>
      <c r="B62" s="2" t="s">
        <v>141</v>
      </c>
    </row>
    <row r="63" customFormat="false" ht="15" hidden="false" customHeight="false" outlineLevel="0" collapsed="false">
      <c r="A63" s="2" t="s">
        <v>27</v>
      </c>
      <c r="B63" s="2" t="s">
        <v>142</v>
      </c>
    </row>
    <row r="64" customFormat="false" ht="15" hidden="false" customHeight="false" outlineLevel="0" collapsed="false">
      <c r="A64" s="2" t="s">
        <v>27</v>
      </c>
      <c r="B64" s="2" t="s">
        <v>143</v>
      </c>
    </row>
    <row r="65" customFormat="false" ht="15" hidden="false" customHeight="false" outlineLevel="0" collapsed="false">
      <c r="A65" s="2" t="s">
        <v>27</v>
      </c>
      <c r="B65" s="2" t="s">
        <v>145</v>
      </c>
    </row>
    <row r="66" customFormat="false" ht="15" hidden="false" customHeight="false" outlineLevel="0" collapsed="false">
      <c r="A66" s="2" t="s">
        <v>27</v>
      </c>
      <c r="B66" s="2" t="s">
        <v>147</v>
      </c>
    </row>
    <row r="67" customFormat="false" ht="15" hidden="false" customHeight="false" outlineLevel="0" collapsed="false">
      <c r="A67" s="2" t="s">
        <v>27</v>
      </c>
      <c r="B67" s="2" t="s">
        <v>148</v>
      </c>
    </row>
    <row r="68" customFormat="false" ht="15" hidden="false" customHeight="false" outlineLevel="0" collapsed="false">
      <c r="A68" s="2" t="s">
        <v>12</v>
      </c>
      <c r="B68" s="2" t="s">
        <v>6</v>
      </c>
    </row>
    <row r="69" customFormat="false" ht="15" hidden="false" customHeight="false" outlineLevel="0" collapsed="false">
      <c r="A69" s="2" t="s">
        <v>12</v>
      </c>
      <c r="B69" s="2" t="s">
        <v>59</v>
      </c>
    </row>
    <row r="70" customFormat="false" ht="15" hidden="false" customHeight="false" outlineLevel="0" collapsed="false">
      <c r="A70" s="2" t="s">
        <v>12</v>
      </c>
      <c r="B70" s="2" t="s">
        <v>53</v>
      </c>
    </row>
    <row r="71" customFormat="false" ht="15" hidden="false" customHeight="false" outlineLevel="0" collapsed="false">
      <c r="A71" s="2" t="s">
        <v>12</v>
      </c>
      <c r="B71" s="2" t="s">
        <v>46</v>
      </c>
    </row>
    <row r="72" customFormat="false" ht="15" hidden="false" customHeight="false" outlineLevel="0" collapsed="false">
      <c r="A72" s="2" t="s">
        <v>12</v>
      </c>
      <c r="B72" s="2" t="s">
        <v>39</v>
      </c>
    </row>
    <row r="73" customFormat="false" ht="15" hidden="false" customHeight="false" outlineLevel="0" collapsed="false">
      <c r="A73" s="2" t="s">
        <v>13</v>
      </c>
      <c r="B73" s="2" t="s">
        <v>6</v>
      </c>
    </row>
    <row r="74" customFormat="false" ht="15" hidden="false" customHeight="false" outlineLevel="0" collapsed="false">
      <c r="A74" s="2" t="s">
        <v>13</v>
      </c>
      <c r="B74" s="2" t="s">
        <v>67</v>
      </c>
    </row>
    <row r="75" customFormat="false" ht="15" hidden="false" customHeight="false" outlineLevel="0" collapsed="false">
      <c r="A75" s="2" t="s">
        <v>13</v>
      </c>
      <c r="B75" s="2" t="s">
        <v>64</v>
      </c>
    </row>
    <row r="76" customFormat="false" ht="15" hidden="false" customHeight="false" outlineLevel="0" collapsed="false">
      <c r="A76" s="2" t="s">
        <v>26</v>
      </c>
      <c r="B76" s="2" t="s">
        <v>6</v>
      </c>
    </row>
    <row r="77" customFormat="false" ht="15" hidden="false" customHeight="false" outlineLevel="0" collapsed="false">
      <c r="A77" s="2" t="s">
        <v>26</v>
      </c>
      <c r="B77" s="2" t="s">
        <v>38</v>
      </c>
    </row>
    <row r="78" customFormat="false" ht="15" hidden="false" customHeight="false" outlineLevel="0" collapsed="false">
      <c r="A78" s="2" t="s">
        <v>26</v>
      </c>
      <c r="B78" s="2" t="s">
        <v>45</v>
      </c>
    </row>
    <row r="79" customFormat="false" ht="15" hidden="false" customHeight="false" outlineLevel="0" collapsed="false">
      <c r="A79" s="2" t="s">
        <v>26</v>
      </c>
      <c r="B79" s="2" t="s">
        <v>52</v>
      </c>
    </row>
    <row r="80" customFormat="false" ht="15" hidden="false" customHeight="false" outlineLevel="0" collapsed="false">
      <c r="A80" s="2" t="s">
        <v>26</v>
      </c>
      <c r="B80" s="2" t="s">
        <v>58</v>
      </c>
    </row>
    <row r="81" customFormat="false" ht="15" hidden="false" customHeight="false" outlineLevel="0" collapsed="false">
      <c r="A81" s="2" t="s">
        <v>26</v>
      </c>
      <c r="B81" s="2" t="s">
        <v>63</v>
      </c>
    </row>
    <row r="82" customFormat="false" ht="15" hidden="false" customHeight="false" outlineLevel="0" collapsed="false">
      <c r="A82" s="2" t="s">
        <v>26</v>
      </c>
      <c r="B82" s="2" t="s">
        <v>66</v>
      </c>
    </row>
    <row r="83" customFormat="false" ht="15" hidden="false" customHeight="false" outlineLevel="0" collapsed="false">
      <c r="A83" s="2" t="s">
        <v>26</v>
      </c>
      <c r="B83" s="2" t="s">
        <v>69</v>
      </c>
    </row>
    <row r="84" customFormat="false" ht="15" hidden="false" customHeight="false" outlineLevel="0" collapsed="false">
      <c r="A84" s="2" t="s">
        <v>26</v>
      </c>
      <c r="B84" s="2" t="s">
        <v>71</v>
      </c>
    </row>
    <row r="85" customFormat="false" ht="15" hidden="false" customHeight="false" outlineLevel="0" collapsed="false">
      <c r="A85" s="2" t="s">
        <v>26</v>
      </c>
      <c r="B85" s="2" t="s">
        <v>73</v>
      </c>
    </row>
    <row r="86" customFormat="false" ht="15" hidden="false" customHeight="false" outlineLevel="0" collapsed="false">
      <c r="A86" s="2" t="s">
        <v>26</v>
      </c>
      <c r="B86" s="2" t="s">
        <v>75</v>
      </c>
    </row>
    <row r="87" customFormat="false" ht="15" hidden="false" customHeight="false" outlineLevel="0" collapsed="false">
      <c r="A87" s="2" t="s">
        <v>29</v>
      </c>
      <c r="B87" s="2" t="s">
        <v>6</v>
      </c>
    </row>
    <row r="88" customFormat="false" ht="15" hidden="false" customHeight="false" outlineLevel="0" collapsed="false">
      <c r="A88" s="2" t="s">
        <v>29</v>
      </c>
      <c r="B88" s="2" t="s">
        <v>61</v>
      </c>
    </row>
    <row r="89" customFormat="false" ht="15" hidden="false" customHeight="false" outlineLevel="0" collapsed="false">
      <c r="A89" s="2" t="s">
        <v>29</v>
      </c>
      <c r="B89" s="2" t="s">
        <v>41</v>
      </c>
    </row>
    <row r="90" customFormat="false" ht="15" hidden="false" customHeight="false" outlineLevel="0" collapsed="false">
      <c r="A90" s="2" t="s">
        <v>29</v>
      </c>
      <c r="B90" s="2" t="s">
        <v>48</v>
      </c>
    </row>
  </sheetData>
  <autoFilter ref="A1:B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2"/>
    <col collapsed="false" customWidth="true" hidden="false" outlineLevel="0" max="5" min="4" style="0" width="35"/>
  </cols>
  <sheetData>
    <row r="1" customFormat="false" ht="55.2" hidden="false" customHeight="false" outlineLevel="0" collapsed="false">
      <c r="A1" s="1" t="s">
        <v>2991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23.85" hidden="false" customHeight="false" outlineLevel="0" collapsed="false">
      <c r="A3" s="2" t="s">
        <v>182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5" t="s">
        <v>5</v>
      </c>
      <c r="B5" s="8" t="s">
        <v>6</v>
      </c>
      <c r="C5" s="2"/>
      <c r="D5" s="2" t="s">
        <v>183</v>
      </c>
      <c r="E5" s="2"/>
    </row>
    <row r="6" customFormat="false" ht="15" hidden="false" customHeight="false" outlineLevel="0" collapsed="false">
      <c r="A6" s="5" t="s">
        <v>8</v>
      </c>
      <c r="B6" s="8" t="s">
        <v>6</v>
      </c>
      <c r="C6" s="2"/>
      <c r="D6" s="2"/>
      <c r="E6" s="2"/>
    </row>
    <row r="7" customFormat="false" ht="23.85" hidden="false" customHeight="false" outlineLevel="0" collapsed="false">
      <c r="A7" s="5" t="s">
        <v>9</v>
      </c>
      <c r="B7" s="8" t="s">
        <v>6</v>
      </c>
      <c r="C7" s="2"/>
      <c r="D7" s="2" t="s">
        <v>2992</v>
      </c>
      <c r="E7" s="2"/>
    </row>
    <row r="8" customFormat="false" ht="35.05" hidden="false" customHeight="false" outlineLevel="0" collapsed="false">
      <c r="A8" s="5" t="s">
        <v>186</v>
      </c>
      <c r="B8" s="8" t="s">
        <v>6</v>
      </c>
      <c r="C8" s="2"/>
      <c r="D8" s="2" t="s">
        <v>2993</v>
      </c>
      <c r="E8" s="2"/>
    </row>
    <row r="9" customFormat="false" ht="15" hidden="false" customHeight="false" outlineLevel="0" collapsed="false">
      <c r="A9" s="5" t="s">
        <v>10</v>
      </c>
      <c r="B9" s="8" t="s">
        <v>6</v>
      </c>
      <c r="C9" s="2"/>
      <c r="D9" s="2"/>
      <c r="E9" s="2"/>
    </row>
    <row r="10" customFormat="false" ht="15" hidden="false" customHeight="false" outlineLevel="0" collapsed="false">
      <c r="A10" s="5" t="s">
        <v>11</v>
      </c>
      <c r="B10" s="8" t="s">
        <v>6</v>
      </c>
      <c r="C10" s="2"/>
      <c r="D10" s="2"/>
      <c r="E10" s="2"/>
    </row>
    <row r="11" customFormat="false" ht="15" hidden="false" customHeight="false" outlineLevel="0" collapsed="false">
      <c r="A11" s="5" t="s">
        <v>187</v>
      </c>
      <c r="B11" s="8" t="s">
        <v>6</v>
      </c>
      <c r="C11" s="2"/>
      <c r="D11" s="2"/>
      <c r="E11" s="2"/>
    </row>
    <row r="12" customFormat="false" ht="15" hidden="false" customHeight="false" outlineLevel="0" collapsed="false">
      <c r="A12" s="5" t="s">
        <v>13</v>
      </c>
      <c r="B12" s="8" t="s">
        <v>6</v>
      </c>
      <c r="C12" s="2"/>
      <c r="D12" s="2"/>
      <c r="E12" s="2"/>
    </row>
    <row r="13" customFormat="false" ht="15" hidden="false" customHeight="false" outlineLevel="0" collapsed="false">
      <c r="A13" s="5" t="s">
        <v>188</v>
      </c>
      <c r="B13" s="8" t="s">
        <v>6</v>
      </c>
      <c r="C13" s="2"/>
      <c r="D13" s="2"/>
      <c r="E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35"/>
  </cols>
  <sheetData>
    <row r="1" customFormat="false" ht="15" hidden="false" customHeight="false" outlineLevel="0" collapsed="false">
      <c r="A1" s="3" t="s">
        <v>2994</v>
      </c>
      <c r="B1" s="3" t="s">
        <v>2995</v>
      </c>
      <c r="C1" s="3" t="s">
        <v>2996</v>
      </c>
    </row>
    <row r="2" customFormat="false" ht="23.85" hidden="false" customHeight="false" outlineLevel="0" collapsed="false">
      <c r="A2" s="2" t="s">
        <v>2997</v>
      </c>
      <c r="B2" s="2" t="s">
        <v>2998</v>
      </c>
      <c r="C2" s="2" t="s">
        <v>2999</v>
      </c>
    </row>
    <row r="3" customFormat="false" ht="23.85" hidden="false" customHeight="false" outlineLevel="0" collapsed="false">
      <c r="A3" s="2" t="s">
        <v>3000</v>
      </c>
      <c r="B3" s="2" t="s">
        <v>3001</v>
      </c>
      <c r="C3" s="2" t="s">
        <v>3002</v>
      </c>
    </row>
    <row r="4" customFormat="false" ht="23.85" hidden="false" customHeight="false" outlineLevel="0" collapsed="false">
      <c r="A4" s="2" t="s">
        <v>3003</v>
      </c>
      <c r="B4" s="2" t="s">
        <v>3004</v>
      </c>
      <c r="C4" s="2" t="s">
        <v>3005</v>
      </c>
    </row>
    <row r="5" customFormat="false" ht="23.85" hidden="false" customHeight="false" outlineLevel="0" collapsed="false">
      <c r="A5" s="2" t="s">
        <v>3006</v>
      </c>
      <c r="B5" s="2" t="s">
        <v>3007</v>
      </c>
      <c r="C5" s="2" t="s">
        <v>3008</v>
      </c>
    </row>
    <row r="6" customFormat="false" ht="68.65" hidden="false" customHeight="false" outlineLevel="0" collapsed="false">
      <c r="A6" s="2" t="s">
        <v>1056</v>
      </c>
      <c r="B6" s="2" t="s">
        <v>3009</v>
      </c>
      <c r="C6" s="2" t="s">
        <v>3010</v>
      </c>
    </row>
    <row r="7" customFormat="false" ht="15" hidden="false" customHeight="false" outlineLevel="0" collapsed="false">
      <c r="A7" s="0" t="s">
        <v>3011</v>
      </c>
      <c r="B7" s="0" t="s">
        <v>3012</v>
      </c>
      <c r="C7" s="0" t="s">
        <v>3013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24"/>
  </cols>
  <sheetData>
    <row r="1" customFormat="false" ht="15" hidden="false" customHeight="false" outlineLevel="0" collapsed="false">
      <c r="A1" s="3" t="s">
        <v>3014</v>
      </c>
      <c r="B1" s="3" t="s">
        <v>3015</v>
      </c>
      <c r="C1" s="3" t="s">
        <v>3016</v>
      </c>
      <c r="D1" s="3" t="s">
        <v>2357</v>
      </c>
      <c r="E1" s="3" t="s">
        <v>1014</v>
      </c>
    </row>
    <row r="2" customFormat="false" ht="23.85" hidden="false" customHeight="false" outlineLevel="0" collapsed="false">
      <c r="A2" s="2" t="s">
        <v>3017</v>
      </c>
      <c r="B2" s="2" t="s">
        <v>3018</v>
      </c>
      <c r="C2" s="2" t="str">
        <f aca="false">IF(SUMPRODUCT(--ISNA(MATCH(Paint_Pigments!B2:B1000,Paints!A2:A1000,0)))=0,"Pass","Review")</f>
        <v>Review</v>
      </c>
      <c r="D2" s="2" t="s">
        <v>3019</v>
      </c>
      <c r="E2" s="2" t="s">
        <v>3020</v>
      </c>
    </row>
    <row r="3" customFormat="false" ht="35.05" hidden="false" customHeight="false" outlineLevel="0" collapsed="false">
      <c r="A3" s="2" t="s">
        <v>3021</v>
      </c>
      <c r="B3" s="2" t="s">
        <v>3022</v>
      </c>
      <c r="C3" s="2" t="str">
        <f aca="false">IF(SUMPRODUCT(--ISNA(MATCH(Paint_Pigments!C2:C1000,Pigments!A2:A1000,0)))=0,"Pass","Review")</f>
        <v>Review</v>
      </c>
      <c r="D3" s="2" t="s">
        <v>3019</v>
      </c>
      <c r="E3" s="2" t="s">
        <v>3023</v>
      </c>
    </row>
    <row r="4" customFormat="false" ht="35.05" hidden="false" customHeight="false" outlineLevel="0" collapsed="false">
      <c r="A4" s="2" t="s">
        <v>3024</v>
      </c>
      <c r="B4" s="2" t="s">
        <v>3025</v>
      </c>
      <c r="C4" s="2" t="s">
        <v>3026</v>
      </c>
      <c r="D4" s="2" t="s">
        <v>3027</v>
      </c>
      <c r="E4" s="2" t="s">
        <v>3028</v>
      </c>
    </row>
    <row r="5" customFormat="false" ht="35.05" hidden="false" customHeight="false" outlineLevel="0" collapsed="false">
      <c r="A5" s="2" t="s">
        <v>3029</v>
      </c>
      <c r="B5" s="2" t="s">
        <v>3030</v>
      </c>
      <c r="C5" s="2" t="s">
        <v>3026</v>
      </c>
      <c r="D5" s="2" t="s">
        <v>3027</v>
      </c>
      <c r="E5" s="2" t="s">
        <v>3031</v>
      </c>
    </row>
    <row r="6" customFormat="false" ht="46.25" hidden="false" customHeight="false" outlineLevel="0" collapsed="false">
      <c r="A6" s="2" t="s">
        <v>3032</v>
      </c>
      <c r="B6" s="2" t="s">
        <v>3033</v>
      </c>
      <c r="C6" s="2" t="s">
        <v>3026</v>
      </c>
      <c r="D6" s="2" t="s">
        <v>3027</v>
      </c>
      <c r="E6" s="2" t="s">
        <v>3034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3" t="s">
        <v>3035</v>
      </c>
      <c r="B1" s="3" t="s">
        <v>2357</v>
      </c>
      <c r="C1" s="3" t="s">
        <v>3036</v>
      </c>
    </row>
    <row r="2" customFormat="false" ht="35.05" hidden="false" customHeight="false" outlineLevel="0" collapsed="false">
      <c r="A2" s="2" t="s">
        <v>3037</v>
      </c>
      <c r="B2" s="2" t="s">
        <v>3038</v>
      </c>
      <c r="C2" s="2" t="s">
        <v>3039</v>
      </c>
    </row>
    <row r="3" customFormat="false" ht="35.05" hidden="false" customHeight="false" outlineLevel="0" collapsed="false">
      <c r="A3" s="2" t="s">
        <v>3040</v>
      </c>
      <c r="B3" s="2" t="s">
        <v>3038</v>
      </c>
      <c r="C3" s="2" t="s">
        <v>3041</v>
      </c>
    </row>
    <row r="4" customFormat="false" ht="46.25" hidden="false" customHeight="false" outlineLevel="0" collapsed="false">
      <c r="A4" s="2" t="s">
        <v>3042</v>
      </c>
      <c r="B4" s="2" t="s">
        <v>3038</v>
      </c>
      <c r="C4" s="2" t="s">
        <v>3043</v>
      </c>
    </row>
    <row r="5" customFormat="false" ht="46.25" hidden="false" customHeight="false" outlineLevel="0" collapsed="false">
      <c r="A5" s="2" t="s">
        <v>3044</v>
      </c>
      <c r="B5" s="2" t="s">
        <v>3038</v>
      </c>
      <c r="C5" s="2" t="s">
        <v>3045</v>
      </c>
    </row>
    <row r="6" customFormat="false" ht="57.45" hidden="false" customHeight="false" outlineLevel="0" collapsed="false">
      <c r="A6" s="2" t="s">
        <v>3046</v>
      </c>
      <c r="B6" s="2" t="s">
        <v>3038</v>
      </c>
      <c r="C6" s="2" t="s">
        <v>3047</v>
      </c>
    </row>
    <row r="7" customFormat="false" ht="35.05" hidden="false" customHeight="false" outlineLevel="0" collapsed="false">
      <c r="A7" s="2" t="s">
        <v>3048</v>
      </c>
      <c r="B7" s="2" t="s">
        <v>3049</v>
      </c>
      <c r="C7" s="2" t="s">
        <v>3050</v>
      </c>
    </row>
    <row r="8" customFormat="false" ht="46.25" hidden="false" customHeight="false" outlineLevel="0" collapsed="false">
      <c r="A8" s="2" t="s">
        <v>3051</v>
      </c>
      <c r="B8" s="2" t="s">
        <v>3052</v>
      </c>
      <c r="C8" s="2" t="s">
        <v>3053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2026-05-18T16:03:31Z</dcterms:created>
  <dc:creator>openpyxl</dc:creator>
  <dc:description/>
  <dc:language>en-US</dc:language>
  <cp:lastModifiedBy/>
  <dcterms:modified xsi:type="dcterms:W3CDTF">2026-05-18T16:26:15Z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